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184b3ecfeb42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d6d0a4318c5a4bae"/>
    <x:sheet xmlns:r="http://schemas.openxmlformats.org/officeDocument/2006/relationships" name="AI 사전판독" sheetId="2" r:id="R32f91b8e7067435e"/>
    <x:sheet xmlns:r="http://schemas.openxmlformats.org/officeDocument/2006/relationships" name="검수 대장" sheetId="3" r:id="Rd436dd1de8354b8c"/>
    <x:sheet xmlns:r="http://schemas.openxmlformats.org/officeDocument/2006/relationships" name="경로 비교" sheetId="4" r:id="Rb6e7e241a0004f79"/>
    <x:sheet xmlns:r="http://schemas.openxmlformats.org/officeDocument/2006/relationships" name="C* 민감도" sheetId="5" r:id="Rbb6ad6630e9e44a2"/>
    <x:sheet xmlns:r="http://schemas.openxmlformats.org/officeDocument/2006/relationships" name="횡단보도 40" sheetId="6" r:id="R8a6a1b7c3f8e41ee"/>
    <x:sheet xmlns:r="http://schemas.openxmlformats.org/officeDocument/2006/relationships" name="엣지 매핑" sheetId="7" r:id="Rc5656b15029246dc"/>
    <x:sheet xmlns:r="http://schemas.openxmlformats.org/officeDocument/2006/relationships" name="방법·출처" sheetId="8" r:id="Re3c1b48b6f0248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0"/>
    <x:numFmt numFmtId="202" formatCode="0.00&quot;%&quot;"/>
    <x:numFmt numFmtId="203" formatCode="0.0000000"/>
    <x:numFmt numFmtId="204" formatCode="yyyy-mm-dd"/>
    <x:numFmt numFmtId="205" formatCode="#,##0.00"/>
  </x:numFmts>
  <x:fonts count="8">
    <x:font>
      <x:sz val="11"/>
      <x:name val="Carlito"/>
    </x:font>
    <x:font>
      <x:b/>
      <x:sz val="16"/>
      <x:color rgb="FF173F5F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11"/>
      <x:name val="Arial"/>
    </x:font>
    <x:font>
      <x:i/>
      <x:sz val="10"/>
      <x:color rgb="FFB42318"/>
      <x:name val="Arial"/>
    </x:font>
    <x:font>
      <x:b/>
      <x:sz val="11"/>
      <x:color rgb="FF173F5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F4F6F8"/>
      </x:patternFill>
    </x:fill>
    <x:fill>
      <x:patternFill patternType="solid">
        <x:fgColor rgb="FFFFF3DC"/>
      </x:patternFill>
    </x:fill>
    <x:fill>
      <x:patternFill patternType="solid">
        <x:fgColor rgb="FFEAF1F7"/>
      </x:patternFill>
    </x:fill>
    <x:fill>
      <x:patternFill patternType="solid">
        <x:fgColor rgb="FFFDECEA"/>
      </x:patternFill>
    </x:fill>
  </x:fills>
  <x:borders count="6">
    <x:border/>
    <x:border>
      <x:bottom style="thin">
        <x:color rgb="FFD0D5DD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bottom style="thin">
        <x:color rgb="FFFFFFFF"/>
      </x:bottom>
    </x:border>
    <x:border>
      <x:top style="thin">
        <x:color rgb="FFD0D5DD"/>
      </x:top>
      <x:bottom style="thin">
        <x:color rgb="FFD0D5DD"/>
      </x:bottom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0"/>
    </x:xf>
    <x:xf numFmtId="200" fontId="4" fillId="0" borderId="0" xfId="0" applyNumberFormat="1" applyFont="1" applyFill="1" applyBorder="1" applyAlignment="1">
      <x:alignment vertical="center" wrapText="0"/>
    </x:xf>
    <x:xf numFmtId="201" fontId="4" fillId="0" borderId="0" xfId="0" applyNumberFormat="1" applyFont="1" applyFill="1" applyBorder="1" applyAlignment="1">
      <x:alignment vertical="center" wrapText="0"/>
    </x:xf>
    <x:xf numFmtId="202" fontId="4" fillId="0" borderId="0" xfId="0" applyNumberFormat="1" applyFont="1" applyFill="1" applyBorder="1" applyAlignment="1">
      <x:alignment vertical="center" wrapText="0"/>
    </x:xf>
    <x:xf numFmtId="0" fontId="4" fillId="0" borderId="1" xfId="0" applyNumberFormat="1" applyFont="1" applyFill="1" applyBorder="1" applyAlignment="1">
      <x:alignment vertical="center" wrapText="0"/>
    </x:xf>
    <x:xf numFmtId="200" fontId="4" fillId="0" borderId="1" xfId="0" applyNumberFormat="1" applyFont="1" applyFill="1" applyBorder="1" applyAlignment="1">
      <x:alignment vertical="center" wrapText="0"/>
    </x:xf>
    <x:xf numFmtId="0" fontId="4" fillId="0" borderId="4" xfId="0" applyNumberFormat="1" applyFont="1" applyFill="1" applyBorder="1" applyAlignment="1">
      <x:alignment vertical="center" wrapText="0"/>
    </x:xf>
    <x:xf numFmtId="200" fontId="4" fillId="0" borderId="4" xfId="0" applyNumberFormat="1" applyFont="1" applyFill="1" applyBorder="1" applyAlignment="1">
      <x:alignment vertical="center" wrapText="0"/>
    </x:xf>
    <x:xf numFmtId="201" fontId="4" fillId="0" borderId="4" xfId="0" applyNumberFormat="1" applyFont="1" applyFill="1" applyBorder="1" applyAlignment="1">
      <x:alignment vertical="center" wrapText="0"/>
    </x:xf>
    <x:xf numFmtId="202" fontId="4" fillId="0" borderId="4" xfId="0" applyNumberFormat="1" applyFont="1" applyFill="1" applyBorder="1" applyAlignment="1">
      <x:alignment vertical="center" wrapText="0"/>
    </x:xf>
    <x:xf numFmtId="0" fontId="4" fillId="3" borderId="1" xfId="0" applyNumberFormat="1" applyFont="1" applyFill="1" applyBorder="1" applyAlignment="1">
      <x:alignment vertical="center" wrapText="0"/>
    </x:xf>
    <x:xf numFmtId="0" fontId="4" fillId="3" borderId="4" xfId="0" applyNumberFormat="1" applyFont="1" applyFill="1" applyBorder="1" applyAlignment="1">
      <x:alignment vertical="center" wrapText="0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1" fontId="4" fillId="0" borderId="1" xfId="0" applyNumberFormat="1" applyFont="1" applyFill="1" applyBorder="1" applyAlignment="1">
      <x:alignment vertical="center" wrapText="1"/>
    </x:xf>
    <x:xf numFmtId="201" fontId="4" fillId="0" borderId="4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0"/>
    </x:xf>
    <x:xf numFmtId="0" fontId="4" fillId="4" borderId="4" xfId="0" applyNumberFormat="1" applyFont="1" applyFill="1" applyBorder="1" applyAlignment="1">
      <x:alignment vertical="center" wrapText="0"/>
    </x:xf>
    <x:xf numFmtId="203" fontId="4" fillId="0" borderId="1" xfId="0" applyNumberFormat="1" applyFont="1" applyFill="1" applyBorder="1" applyAlignment="1">
      <x:alignment vertical="center" wrapText="0"/>
    </x:xf>
    <x:xf numFmtId="203" fontId="4" fillId="0" borderId="4" xfId="0" applyNumberFormat="1" applyFont="1" applyFill="1" applyBorder="1" applyAlignment="1">
      <x:alignment vertical="center" wrapText="0"/>
    </x:xf>
    <x:xf numFmtId="201" fontId="4" fillId="0" borderId="1" xfId="0" applyNumberFormat="1" applyFont="1" applyFill="1" applyBorder="1" applyAlignment="1">
      <x:alignment vertical="center" wrapText="0"/>
    </x:xf>
    <x:xf numFmtId="201" fontId="4" fillId="4" borderId="1" xfId="0" applyNumberFormat="1" applyFont="1" applyFill="1" applyBorder="1" applyAlignment="1">
      <x:alignment vertical="center" wrapText="0"/>
    </x:xf>
    <x:xf numFmtId="201" fontId="4" fillId="4" borderId="4" xfId="0" applyNumberFormat="1" applyFont="1" applyFill="1" applyBorder="1" applyAlignment="1">
      <x:alignment vertical="center" wrapText="0"/>
    </x:xf>
    <x:xf numFmtId="204" fontId="4" fillId="4" borderId="1" xfId="0" applyNumberFormat="1" applyFont="1" applyFill="1" applyBorder="1" applyAlignment="1">
      <x:alignment vertical="center" wrapText="0"/>
    </x:xf>
    <x:xf numFmtId="204" fontId="4" fillId="4" borderId="4" xfId="0" applyNumberFormat="1" applyFont="1" applyFill="1" applyBorder="1" applyAlignment="1">
      <x:alignment vertical="center" wrapText="0"/>
    </x:xf>
    <x:xf numFmtId="205" fontId="4" fillId="0" borderId="1" xfId="0" applyNumberFormat="1" applyFont="1" applyFill="1" applyBorder="1" applyAlignment="1">
      <x:alignment vertical="center" wrapText="0"/>
    </x:xf>
    <x:xf numFmtId="205" fontId="4" fillId="0" borderId="4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/>
    <x:xf numFmtId="205" fontId="4" fillId="0" borderId="1" xfId="0" applyNumberFormat="1" applyFont="1" applyFill="1" applyBorder="1" applyAlignment="1">
      <x:alignment vertical="center" wrapText="1"/>
    </x:xf>
    <x:xf numFmtId="205" fontId="4" fillId="0" borderId="4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2" fontId="4" fillId="0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4" fillId="6" borderId="1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/>
  </x:cellXfs>
  <x:cellStyles count="1">
    <x:cellStyle name="Normal" xfId="0"/>
  </x:cellStyles>
  <x:dxfs count="28">
    <x:dxf>
      <x:font>
        <x:b/>
        <x:color rgb="FFA85D00"/>
      </x:font>
      <x:fill>
        <x:patternFill patternType="solid">
          <x:bgColor rgb="FFFFF3DC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A85D00"/>
      </x:font>
      <x:fill>
        <x:patternFill patternType="solid">
          <x:bgColor rgb="FFFFF3DC"/>
        </x:patternFill>
      </x:fill>
    </x:dxf>
    <x:dxf>
      <x:font>
        <x:b/>
        <x:color rgb="FF147A4B"/>
      </x:font>
      <x:fill>
        <x:patternFill patternType="solid">
          <x:bgColor rgb="FFE9F7EF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color rgb="FFA85D00"/>
      </x:font>
      <x:fill>
        <x:patternFill patternType="solid">
          <x:bgColor rgb="FFFFF3DC"/>
        </x:patternFill>
      </x:fill>
    </x:dxf>
    <x:dxf>
      <x:font>
        <x:b/>
        <x:color rgb="FF147A4B"/>
      </x:font>
      <x:fill>
        <x:patternFill patternType="solid">
          <x:bgColor rgb="FFE9F7EF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color rgb="FFA85D00"/>
      </x:font>
      <x:fill>
        <x:patternFill patternType="solid">
          <x:bgColor rgb="FFFFF3DC"/>
        </x:patternFill>
      </x:fill>
    </x:dxf>
    <x:dxf>
      <x:font>
        <x:b/>
        <x:color rgb="FF147A4B"/>
      </x:font>
      <x:fill>
        <x:patternFill patternType="solid">
          <x:bgColor rgb="FFE9F7EF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color rgb="FFA85D00"/>
      </x:font>
      <x:fill>
        <x:patternFill patternType="solid">
          <x:bgColor rgb="FFFFF3DC"/>
        </x:patternFill>
      </x:fill>
    </x:dxf>
    <x:dxf>
      <x:font>
        <x:b/>
        <x:color rgb="FFA85D00"/>
      </x:font>
      <x:fill>
        <x:patternFill patternType="solid">
          <x:bgColor rgb="FFFFF3DC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147A4B"/>
      </x:font>
      <x:fill>
        <x:patternFill patternType="solid">
          <x:bgColor rgb="FFE9F7EF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color rgb="FFA85D00"/>
      </x:font>
      <x:fill>
        <x:patternFill patternType="solid">
          <x:bgColor rgb="FFFFF3DC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173F5F"/>
      </x:font>
      <x:fill>
        <x:patternFill patternType="solid">
          <x:bgColor rgb="FFEAF1F7"/>
        </x:patternFill>
      </x:fill>
    </x:dxf>
    <x:dxf>
      <x:font>
        <x:b/>
        <x:color rgb="FF257D76"/>
      </x:font>
      <x:fill>
        <x:patternFill patternType="solid">
          <x:bgColor rgb="FFE8F5F2"/>
        </x:patternFill>
      </x:fill>
    </x:dxf>
    <x:dxf>
      <x:font>
        <x:b/>
        <x:color rgb="FFA85D00"/>
      </x:font>
      <x:fill>
        <x:patternFill patternType="solid">
          <x:bgColor rgb="FFFFF3DC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color rgb="FFA85D00"/>
      </x:font>
      <x:fill>
        <x:patternFill patternType="solid">
          <x:bgColor rgb="FFFFF3DC"/>
        </x:patternFill>
      </x:fill>
    </x:dxf>
    <x:dxf>
      <x:font>
        <x:color rgb="FF147A4B"/>
      </x:font>
      <x:fill>
        <x:patternFill patternType="solid">
          <x:bgColor rgb="FFE9F7EF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color rgb="FFA85D00"/>
      </x:font>
      <x:fill>
        <x:patternFill patternType="solid">
          <x:bgColor rgb="FFFFF3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4d6486cbc548c7" /><Relationship Type="http://schemas.openxmlformats.org/officeDocument/2006/relationships/theme" Target="/xl/theme/theme1.xml" Id="R19e8e2f850f44685" /><Relationship Type="http://schemas.openxmlformats.org/officeDocument/2006/relationships/sharedStrings" Target="/xl/sharedStrings.xml" Id="R741d2b4aa0464b07" /><Relationship Type="http://schemas.openxmlformats.org/officeDocument/2006/relationships/worksheet" Target="/xl/worksheets/sheet1.xml" Id="Rd6d0a4318c5a4bae" /><Relationship Type="http://schemas.openxmlformats.org/officeDocument/2006/relationships/worksheet" Target="/xl/worksheets/sheet2.xml" Id="R32f91b8e7067435e" /><Relationship Type="http://schemas.openxmlformats.org/officeDocument/2006/relationships/worksheet" Target="/xl/worksheets/sheet3.xml" Id="Rd436dd1de8354b8c" /><Relationship Type="http://schemas.openxmlformats.org/officeDocument/2006/relationships/worksheet" Target="/xl/worksheets/sheet4.xml" Id="Rb6e7e241a0004f79" /><Relationship Type="http://schemas.openxmlformats.org/officeDocument/2006/relationships/worksheet" Target="/xl/worksheets/sheet5.xml" Id="Rbb6ad6630e9e44a2" /><Relationship Type="http://schemas.openxmlformats.org/officeDocument/2006/relationships/worksheet" Target="/xl/worksheets/sheet6.xml" Id="R8a6a1b7c3f8e41ee" /><Relationship Type="http://schemas.openxmlformats.org/officeDocument/2006/relationships/worksheet" Target="/xl/worksheets/sheet7.xml" Id="Rc5656b15029246dc" /><Relationship Type="http://schemas.openxmlformats.org/officeDocument/2006/relationships/worksheet" Target="/xl/worksheets/sheet8.xml" Id="Re3c1b48b6f0248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318c16a4a8d440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공공데이터 제약 적용 후 거리 변화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B 거리 증분(%)</c:v>
          </c:tx>
          <c:spPr>
            <a:solidFill xmlns:a="http://schemas.openxmlformats.org/drawingml/2006/main">
              <a:srgbClr val="257D76"/>
            </a:solidFill>
          </c:spPr>
          <c:cat>
            <c:strRef>
              <c:f>'요약'!$A$36:$A$45</c:f>
              <c:strCache>
                <c:ptCount val="0"/>
              </c:strCache>
            </c:strRef>
          </c:cat>
          <c:val>
            <c:numRef>
              <c:f>'요약'!$B$36:$B$45</c:f>
              <c:numCache>
                <c:formatCode>0.00"%"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&quot;%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5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18c16a4a8d440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b8dc1f094984f49" /></Relationships>
</file>

<file path=xl/worksheets/sheet1.xml><?xml version="1.0" encoding="utf-8"?>
<x:worksheet xmlns:x="http://schemas.openxmlformats.org/spreadsheetml/2006/main">
  <x:sheetPr>
    <x:tabColor rgb="FF173F5F"/>
  </x:sheetPr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8" hidden="0" customWidth="1"/>
    <x:col min="4" max="4" width="34" hidden="0" customWidth="1"/>
    <x:col min="5" max="5" width="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>
      <x:c r="A1" s="39"/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</x:row>
    <x:row r="2" ht="22" customHeight="1">
      <x:c r="A2" s="1" t="str">
        <x:v>ON:WAY 안양 대표 회랑 MVP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</x:row>
    <x:row r="3" ht="22" customHeight="1">
      <x:c r="A3" s="2" t="str">
        <x:v>안양역–안양청년1번가–안양1동 남부 생활권 · 2026-09-15 기준</x:v>
      </x:c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</x:row>
    <x:row r="4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</x:row>
    <x:row r="5">
      <x:c r="A5" s="39"/>
      <x:c r="B5" s="39"/>
      <x:c r="C5" s="39"/>
      <x:c r="D5" s="39"/>
      <x:c r="E5" s="39"/>
      <x:c r="F5" s="39"/>
      <x:c r="G5" s="39"/>
      <x:c r="H5" s="39"/>
      <x:c r="I5" s="39"/>
      <x:c r="J5" s="39"/>
      <x:c r="K5" s="39"/>
      <x:c r="L5" s="39"/>
      <x:c r="M5" s="39"/>
      <x:c r="N5" s="39"/>
    </x:row>
    <x:row r="6" ht="30" customHeight="1">
      <x:c r="A6" s="12" t="str">
        <x:v>지표</x:v>
      </x:c>
      <x:c r="B6" s="13" t="str">
        <x:v>현재값</x:v>
      </x:c>
      <x:c r="C6" s="39"/>
      <x:c r="D6" s="39"/>
      <x:c r="E6" s="39"/>
      <x:c r="F6" s="39"/>
      <x:c r="G6" s="39"/>
      <x:c r="H6" s="39"/>
      <x:c r="I6" s="39"/>
      <x:c r="J6" s="39"/>
      <x:c r="K6" s="39"/>
      <x:c r="L6" s="39"/>
      <x:c r="M6" s="39"/>
      <x:c r="N6" s="39"/>
    </x:row>
    <x:row r="7">
      <x:c r="A7" s="32" t="str">
        <x:v>선정 횡단보도</x:v>
      </x:c>
      <x:c r="B7" s="27" t="n">
        <x:f>COUNTA('횡단보도 40'!$A$7:$A$46)</x:f>
        <x:v>40</x:v>
      </x:c>
      <x:c r="C7" s="39"/>
      <x:c r="D7" s="39"/>
      <x:c r="E7" s="39"/>
      <x:c r="F7" s="39"/>
      <x:c r="G7" s="39"/>
      <x:c r="H7" s="39"/>
      <x:c r="I7" s="39"/>
      <x:c r="J7" s="39"/>
      <x:c r="K7" s="39"/>
      <x:c r="L7" s="39"/>
      <x:c r="M7" s="39"/>
      <x:c r="N7" s="39"/>
    </x:row>
    <x:row r="8">
      <x:c r="A8" s="33" t="str">
        <x:v>추정 접근부</x:v>
      </x:c>
      <x:c r="B8" s="29" t="n">
        <x:f>COUNTA('검수 대장'!$A$7:$A$86)</x:f>
        <x:v>80</x:v>
      </x:c>
      <x:c r="C8" s="39"/>
      <x:c r="D8" s="39"/>
      <x:c r="E8" s="39"/>
      <x:c r="F8" s="39"/>
      <x:c r="G8" s="39"/>
      <x:c r="H8" s="39"/>
      <x:c r="I8" s="39"/>
      <x:c r="J8" s="39"/>
      <x:c r="K8" s="39"/>
      <x:c r="L8" s="39"/>
      <x:c r="M8" s="39"/>
      <x:c r="N8" s="39"/>
    </x:row>
    <x:row r="9">
      <x:c r="A9" s="33" t="str">
        <x:v>로드뷰 근거 확보</x:v>
      </x:c>
      <x:c r="B9" s="29" t="n">
        <x:f>COUNTA('AI 사전판독'!$A$7:$A$86)</x:f>
        <x:v>80</x:v>
      </x:c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</x:row>
    <x:row r="10">
      <x:c r="A10" s="33" t="str">
        <x:v>AI 1차 사전판독</x:v>
      </x:c>
      <x:c r="B10" s="29" t="n">
        <x:f>COUNTIFS('AI 사전판독'!$N$7:$N$86,"pass")+COUNTIFS('AI 사전판독'!$N$7:$N$86,"block")+COUNTIFS('AI 사전판독'!$N$7:$N$86,"unknown")</x:f>
        <x:v>80</x:v>
      </x:c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</x:row>
    <x:row r="11">
      <x:c r="A11" s="33" t="str">
        <x:v>AI 반복판독</x:v>
      </x:c>
      <x:c r="B11" s="29" t="n">
        <x:f>COUNTIFS('AI 사전판독'!$U$7:$U$86,"pass")+COUNTIFS('AI 사전판독'!$U$7:$U$86,"block")+COUNTIFS('AI 사전판독'!$U$7:$U$86,"unknown")</x:f>
        <x:v>40</x:v>
      </x:c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</x:row>
    <x:row r="12">
      <x:c r="A12" s="33" t="str">
        <x:v>최종 AI pass</x:v>
      </x:c>
      <x:c r="B12" s="29" t="n">
        <x:f>COUNTIFS('AI 사전판독'!$Z$7:$Z$86,"pass")</x:f>
        <x:v>25</x:v>
      </x:c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</x:row>
    <x:row r="13">
      <x:c r="A13" s="33" t="str">
        <x:v>최종 AI block 후보</x:v>
      </x:c>
      <x:c r="B13" s="29" t="n">
        <x:f>COUNTIFS('AI 사전판독'!$Z$7:$Z$86,"block")</x:f>
        <x:v>5</x:v>
      </x:c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</x:row>
    <x:row r="14">
      <x:c r="A14" s="33" t="str">
        <x:v>최종 AI unknown</x:v>
      </x:c>
      <x:c r="B14" s="29" t="n">
        <x:f>COUNTIFS('AI 사전판독'!$Z$7:$Z$86,"unknown")</x:f>
        <x:v>50</x:v>
      </x:c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</x:row>
    <x:row r="15">
      <x:c r="A15" s="33" t="str">
        <x:v>AI 반복 일치율</x:v>
      </x:c>
      <x:c r="B15" s="30" t="n">
        <x:v>0.95</x:v>
      </x:c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</x:row>
    <x:row r="16">
      <x:c r="A16" s="33" t="str">
        <x:v>AI 반복 Cohen's κ</x:v>
      </x:c>
      <x:c r="B16" s="30" t="n">
        <x:v>0.9065</x:v>
      </x:c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</x:row>
    <x:row r="17">
      <x:c r="A17" s="33" t="str">
        <x:v>사람 1차 검수 입력</x:v>
      </x:c>
      <x:c r="B17" s="29" t="n">
        <x:f>COUNTIFS('검수 대장'!$S$7:$S$86,"pass")+COUNTIFS('검수 대장'!$S$7:$S$86,"block")+COUNTIFS('검수 대장'!$S$7:$S$86,"unknown")</x:f>
        <x:v>0</x:v>
      </x:c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</x:row>
    <x:row r="18">
      <x:c r="A18" s="33" t="str">
        <x:v>사람 2인 검수 완료</x:v>
      </x:c>
      <x:c r="B18" s="29" t="n">
        <x:f>COUNTIFS('검수 대장'!$M$7:$M$86,"reviewed_agree")+COUNTIFS('검수 대장'!$M$7:$M$86,"adjudicated")</x:f>
        <x:v>0</x:v>
      </x:c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</x:row>
    <x:row r="19">
      <x:c r="A19" s="33" t="str">
        <x:v>사람 승인 AI 후보</x:v>
      </x:c>
      <x:c r="B19" s="29" t="n">
        <x:f>COUNTIFS('검수 대장'!$AE$7:$AE$86,"Y")</x:f>
        <x:v>0</x:v>
      </x:c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</x:row>
    <x:row r="20">
      <x:c r="A20" s="33" t="str">
        <x:v>공식 C 상태</x:v>
      </x:c>
      <x:c r="B20" s="28" t="str">
        <x:v>B와 동일</x:v>
      </x:c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</x:row>
    <x:row r="21">
      <x:c r="A21" s="33" t="str">
        <x:v>B에서 변경된 OD 경로</x:v>
      </x:c>
      <x:c r="B21" s="29" t="n">
        <x:f>COUNTIFS('경로 비교'!$B$7:$B$36,"B",'경로 비교'!$K$7:$K$36,"Y")</x:f>
        <x:v>5</x:v>
      </x:c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</x:row>
    <x:row r="22">
      <x:c r="A22" s="33" t="str">
        <x:v>B 최대 거리 증분</x:v>
      </x:c>
      <x:c r="B22" s="31" t="n">
        <x:f>MAX('경로 비교'!$I$7:$I$36)</x:f>
        <x:v>0.6</x:v>
      </x:c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</x:row>
    <x:row r="23">
      <x:c r="A23" s="33" t="str">
        <x:v>C* 변경 경로(비공식)</x:v>
      </x:c>
      <x:c r="B23" s="29" t="n">
        <x:f>COUNTIFS('C* 민감도'!$M$7:$M$16,"Y")</x:f>
        <x:v>9</x:v>
      </x:c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</x:row>
    <x:row r="26" ht="30" customHeight="1">
      <x:c r="A26" s="12" t="str">
        <x:v>구분</x:v>
      </x:c>
      <x:c r="B26" s="34" t="str">
        <x:v>이번 산출물</x:v>
      </x:c>
      <x:c r="C26" s="34" t="str">
        <x:v>현재 상태</x:v>
      </x:c>
      <x:c r="D26" s="13" t="str">
        <x:v>다음 완료 조건</x:v>
      </x:c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</x:row>
    <x:row r="27">
      <x:c r="A27" s="36" t="str">
        <x:v>표본</x:v>
      </x:c>
      <x:c r="B27" s="36" t="str">
        <x:v>횡단보도 40건·양단 80개</x:v>
      </x:c>
      <x:c r="C27" s="36" t="str">
        <x:v>완료</x:v>
      </x:c>
      <x:c r="D27" s="36" t="str">
        <x:v>회랑 범위를 유지</x:v>
      </x:c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</x:row>
    <x:row r="28">
      <x:c r="A28" s="37" t="str">
        <x:v>AI 사전판독</x:v>
      </x:c>
      <x:c r="B28" s="37" t="str">
        <x:v>1차 80개+반복 40개</x:v>
      </x:c>
      <x:c r="C28" s="37" t="str">
        <x:v>완료</x:v>
      </x:c>
      <x:c r="D28" s="37" t="str">
        <x:v>사람 판독의 우선순위로 사용</x:v>
      </x:c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</x:row>
    <x:row r="29">
      <x:c r="A29" s="37" t="str">
        <x:v>사람 검수</x:v>
      </x:c>
      <x:c r="B29" s="37" t="str">
        <x:v>1차 80개·독립 2차 40개</x:v>
      </x:c>
      <x:c r="C29" s="37" t="str">
        <x:v>0/80·0/40</x:v>
      </x:c>
      <x:c r="D29" s="37" t="str">
        <x:v>AI 결과를 가린 채 독립 입력</x:v>
      </x:c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</x:row>
    <x:row r="30">
      <x:c r="A30" s="37" t="str">
        <x:v>경로 A/B</x:v>
      </x:c>
      <x:c r="B30" s="37" t="str">
        <x:v>동일 OD 10쌍 계산</x:v>
      </x:c>
      <x:c r="C30" s="37" t="str">
        <x:v>5/10 변경</x:v>
      </x:c>
      <x:c r="D30" s="37" t="str">
        <x:v>보도 그래프로 교체하면 재계산</x:v>
      </x:c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</x:row>
    <x:row r="31">
      <x:c r="A31" s="37" t="str">
        <x:v>경로 C</x:v>
      </x:c>
      <x:c r="B31" s="37" t="str">
        <x:v>사람 승인 0건 기준선</x:v>
      </x:c>
      <x:c r="C31" s="37" t="str">
        <x:f>IF(B19=0,"B와 동일","C 재계산 필요")</x:f>
        <x:v>B와 동일</x:v>
      </x:c>
      <x:c r="D31" s="37" t="str">
        <x:v>5개 block 후보 검수→승인→재계산</x:v>
      </x:c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</x:row>
    <x:row r="35" ht="30" customHeight="1">
      <x:c r="A35" s="12" t="str">
        <x:v>OD</x:v>
      </x:c>
      <x:c r="B35" s="13" t="str">
        <x:v>B 거리 증분(%)</x:v>
      </x:c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</x:row>
    <x:row r="36">
      <x:c r="A36" s="26" t="str">
        <x:v>OD01</x:v>
      </x:c>
      <x:c r="B36" s="38" t="n">
        <x:v>0.6</x:v>
      </x:c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</x:row>
    <x:row r="37">
      <x:c r="A37" s="28" t="str">
        <x:v>OD02</x:v>
      </x:c>
      <x:c r="B37" s="31" t="n">
        <x:v>0.52</x:v>
      </x:c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</x:row>
    <x:row r="38">
      <x:c r="A38" s="28" t="str">
        <x:v>OD03</x:v>
      </x:c>
      <x:c r="B38" s="31" t="n">
        <x:v>0.36</x:v>
      </x:c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</x:row>
    <x:row r="39">
      <x:c r="A39" s="28" t="str">
        <x:v>OD04</x:v>
      </x:c>
      <x:c r="B39" s="31" t="n">
        <x:v>0.32</x:v>
      </x:c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</x:row>
    <x:row r="40">
      <x:c r="A40" s="28" t="str">
        <x:v>OD05</x:v>
      </x:c>
      <x:c r="B40" s="31" t="n">
        <x:v>0.28</x:v>
      </x:c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</x:row>
    <x:row r="41">
      <x:c r="A41" s="28" t="str">
        <x:v>OD06</x:v>
      </x:c>
      <x:c r="B41" s="31" t="n">
        <x:v>0</x:v>
      </x:c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</x:row>
    <x:row r="42">
      <x:c r="A42" s="28" t="str">
        <x:v>OD07</x:v>
      </x:c>
      <x:c r="B42" s="31" t="n">
        <x:v>0</x:v>
      </x:c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</x:row>
    <x:row r="43">
      <x:c r="A43" s="28" t="str">
        <x:v>OD08</x:v>
      </x:c>
      <x:c r="B43" s="31" t="n">
        <x:v>0</x:v>
      </x:c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</x:row>
    <x:row r="44">
      <x:c r="A44" s="28" t="str">
        <x:v>OD09</x:v>
      </x:c>
      <x:c r="B44" s="31" t="n">
        <x:v>0</x:v>
      </x:c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</x:row>
    <x:row r="45">
      <x:c r="A45" s="28" t="str">
        <x:v>OD10</x:v>
      </x:c>
      <x:c r="B45" s="31" t="n">
        <x:v>0</x:v>
      </x:c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</x:row>
  </x:sheetData>
  <x:conditionalFormatting sqref="B17:B19">
    <x:cfRule type="cellIs" dxfId="0" priority="1" operator="equal">
      <x:formula>0</x:formula>
    </x:cfRule>
  </x:conditionalFormatting>
  <x:conditionalFormatting sqref="B13:B13">
    <x:cfRule type="cellIs" dxfId="1" priority="2" operator="greaterThan">
      <x:formula>0</x:formula>
    </x:cfRule>
  </x:conditionalFormatting>
  <x:conditionalFormatting sqref="C29:C31">
    <x:cfRule type="containsText" dxfId="2" priority="3" operator="containsText" text="0/"/>
  </x:conditionalFormatting>
  <x:pageMargins left="0.7" right="0.7" top="0.75" bottom="0.75" header="0.3" footer="0.3"/>
  <x:drawing xmlns:r="http://schemas.openxmlformats.org/officeDocument/2006/relationships" r:id="R8b8dc1f094984f49"/>
</x:worksheet>
</file>

<file path=xl/worksheets/sheet2.xml><?xml version="1.0" encoding="utf-8"?>
<x:worksheet xmlns:x="http://schemas.openxmlformats.org/spreadsheetml/2006/main">
  <x:sheetPr>
    <x:tabColor rgb="FF6B4EFF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5" hidden="0" customWidth="1"/>
    <x:col min="2" max="2" width="10" hidden="0" customWidth="1"/>
    <x:col min="3" max="3" width="7" hidden="0" customWidth="1"/>
    <x:col min="4" max="4" width="13" hidden="0" customWidth="1"/>
    <x:col min="5" max="5" width="20" hidden="0" customWidth="1"/>
    <x:col min="6" max="6" width="15" hidden="0" customWidth="1"/>
    <x:col min="7" max="7" width="48" hidden="0" customWidth="1"/>
    <x:col min="8" max="8" width="55" hidden="0" customWidth="1"/>
    <x:col min="9" max="9" width="22" hidden="0" customWidth="1"/>
    <x:col min="10" max="10" width="12" hidden="0" customWidth="1"/>
    <x:col min="11" max="11" width="12" hidden="0" customWidth="1"/>
    <x:col min="12" max="12" width="13" hidden="0" customWidth="1"/>
    <x:col min="13" max="13" width="18" hidden="0" customWidth="1"/>
    <x:col min="14" max="14" width="11" hidden="0" customWidth="1"/>
    <x:col min="15" max="15" width="42" hidden="0" customWidth="1"/>
    <x:col min="16" max="16" width="22" hidden="0" customWidth="1"/>
    <x:col min="17" max="17" width="12" hidden="0" customWidth="1"/>
    <x:col min="18" max="18" width="12" hidden="0" customWidth="1"/>
    <x:col min="19" max="19" width="13" hidden="0" customWidth="1"/>
    <x:col min="20" max="20" width="18" hidden="0" customWidth="1"/>
    <x:col min="21" max="21" width="11" hidden="0" customWidth="1"/>
    <x:col min="22" max="22" width="42" hidden="0" customWidth="1"/>
    <x:col min="23" max="23" width="13" hidden="0" customWidth="1"/>
    <x:col min="24" max="24" width="14" hidden="0" customWidth="1"/>
    <x:col min="25" max="25" width="20" hidden="0" customWidth="1"/>
    <x:col min="26" max="26" width="13" hidden="0" customWidth="1"/>
    <x:col min="27" max="27" width="45" hidden="0" customWidth="1"/>
    <x:col min="28" max="28" width="30" hidden="0" customWidth="1"/>
    <x:col min="29" max="29" width="12" hidden="0" customWidth="1"/>
    <x:col min="30" max="30" width="13" hidden="0" customWidth="1"/>
    <x:col min="31" max="31" width="13" hidden="0" customWidth="1"/>
    <x:col min="32" max="32" width="22" hidden="0" customWidth="1"/>
  </x:cols>
  <x:sheetData>
    <x:row r="1">
      <x:c r="A1" s="39"/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  <x:c r="AA1" s="39"/>
      <x:c r="AB1" s="39"/>
      <x:c r="AC1" s="39"/>
      <x:c r="AD1" s="39"/>
      <x:c r="AE1" s="39"/>
      <x:c r="AF1" s="39"/>
    </x:row>
    <x:row r="2" ht="22" customHeight="1">
      <x:c r="A2" s="1" t="str">
        <x:v>AI 사전판독 80개</x:v>
      </x:c>
    </x:row>
    <x:row r="3" ht="22" customHeight="1">
      <x:c r="A3" s="2" t="str">
        <x:v>로드뷰 기반 후보 생성·우선순위화 결과 · 사람 2인의 공식 검수를 대체하지 않음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</x:row>
    <x:row r="5">
      <x:c r="A5" s="2" t="str">
        <x:v>판독 규칙: 낮춤/무단차+점자블록+통행공간이 모두 선명할 때만 pass · 불일치는 unknown · 사람 승인 전 공식 C 미반영</x:v>
      </x:c>
    </x:row>
    <x:row r="6" ht="30" customHeight="1">
      <x:c r="A6" s="12" t="str">
        <x:v>접근부 ID</x:v>
      </x:c>
      <x:c r="B6" s="34" t="str">
        <x:v>표본 ID</x:v>
      </x:c>
      <x:c r="C6" s="34" t="str">
        <x:v>측면</x:v>
      </x:c>
      <x:c r="D6" s="34" t="str">
        <x:v>반복판독 대상</x:v>
      </x:c>
      <x:c r="E6" s="34" t="str">
        <x:v>촬영일시</x:v>
      </x:c>
      <x:c r="F6" s="34" t="str">
        <x:v>촬영점 거리(m)</x:v>
      </x:c>
      <x:c r="G6" s="34" t="str">
        <x:v>로드뷰 링크</x:v>
      </x:c>
      <x:c r="H6" s="34" t="str">
        <x:v>해결된 로드뷰 URL</x:v>
      </x:c>
      <x:c r="I6" s="34" t="str">
        <x:v>AI 판독자 1</x:v>
      </x:c>
      <x:c r="J6" s="34" t="str">
        <x:v>판독일 1</x:v>
      </x:c>
      <x:c r="K6" s="34" t="str">
        <x:v>보도턱 1</x:v>
      </x:c>
      <x:c r="L6" s="34" t="str">
        <x:v>점자블록 1</x:v>
      </x:c>
      <x:c r="M6" s="34" t="str">
        <x:v>장애물 1</x:v>
      </x:c>
      <x:c r="N6" s="34" t="str">
        <x:v>결과 1</x:v>
      </x:c>
      <x:c r="O6" s="34" t="str">
        <x:v>메모 1</x:v>
      </x:c>
      <x:c r="P6" s="34" t="str">
        <x:v>AI 판독자 2</x:v>
      </x:c>
      <x:c r="Q6" s="34" t="str">
        <x:v>판독일 2</x:v>
      </x:c>
      <x:c r="R6" s="34" t="str">
        <x:v>보도턱 2</x:v>
      </x:c>
      <x:c r="S6" s="34" t="str">
        <x:v>점자블록 2</x:v>
      </x:c>
      <x:c r="T6" s="34" t="str">
        <x:v>장애물 2</x:v>
      </x:c>
      <x:c r="U6" s="34" t="str">
        <x:v>결과 2</x:v>
      </x:c>
      <x:c r="V6" s="34" t="str">
        <x:v>메모 2</x:v>
      </x:c>
      <x:c r="W6" s="34" t="str">
        <x:v>최종 보도턱</x:v>
      </x:c>
      <x:c r="X6" s="34" t="str">
        <x:v>최종 점자블록</x:v>
      </x:c>
      <x:c r="Y6" s="34" t="str">
        <x:v>최종 장애물</x:v>
      </x:c>
      <x:c r="Z6" s="34" t="str">
        <x:v>최종 AI 결과</x:v>
      </x:c>
      <x:c r="AA6" s="34" t="str">
        <x:v>최종 메모</x:v>
      </x:c>
      <x:c r="AB6" s="34" t="str">
        <x:v>AI 후보 라벨</x:v>
      </x:c>
      <x:c r="AC6" s="34" t="str">
        <x:v>AI 신뢰도</x:v>
      </x:c>
      <x:c r="AD6" s="34" t="str">
        <x:v>사람검수 필요</x:v>
      </x:c>
      <x:c r="AE6" s="34" t="str">
        <x:v>AI 사람승인</x:v>
      </x:c>
      <x:c r="AF6" s="13" t="str">
        <x:v>공식 C 반영</x:v>
      </x:c>
    </x:row>
    <x:row r="7" ht="36" customHeight="1">
      <x:c r="A7" s="36" t="str">
        <x:v>CW01-A</x:v>
      </x:c>
      <x:c r="B7" s="36" t="str">
        <x:v>CW01</x:v>
      </x:c>
      <x:c r="C7" s="36" t="str">
        <x:v>A</x:v>
      </x:c>
      <x:c r="D7" s="36" t="str">
        <x:v>Y</x:v>
      </x:c>
      <x:c r="E7" s="36" t="str">
        <x:v>2025-11-17 14:28:24</x:v>
      </x:c>
      <x:c r="F7" s="41" t="n">
        <x:v>12.5</x:v>
      </x:c>
      <x:c r="G7" s="36" t="str">
        <x:v>https://map.kakao.com/link/roadview/37.4024015,126.9226461</x:v>
      </x:c>
      <x:c r="H7" s="36" t="str">
        <x:v>https://map.kakao.com/?panoid=1202971200&amp;pan=327.8&amp;zoom=0&amp;map_type=TYPE_MAP&amp;map_attribute=ROADVIEW&amp;urlX=482904.0&amp;urlY=1084204.0</x:v>
      </x:c>
      <x:c r="I7" s="36" t="str">
        <x:v>Codex_AI_precheck_1</x:v>
      </x:c>
      <x:c r="J7" s="36" t="str">
        <x:v>2026-09-15</x:v>
      </x:c>
      <x:c r="K7" s="36" t="str">
        <x:v>있음</x:v>
      </x:c>
      <x:c r="L7" s="36" t="str">
        <x:v>없음</x:v>
      </x:c>
      <x:c r="M7" s="36" t="str">
        <x:v>없음</x:v>
      </x:c>
      <x:c r="N7" s="36" t="str">
        <x:v>block</x:v>
      </x:c>
      <x:c r="O7" s="36" t="str">
        <x:v>횡단 지점은 보이지만 점자블록이 보이지 않음</x:v>
      </x:c>
      <x:c r="P7" s="36" t="str">
        <x:v>Codex_AI_precheck_2</x:v>
      </x:c>
      <x:c r="Q7" s="36" t="str">
        <x:v>2026-09-15</x:v>
      </x:c>
      <x:c r="R7" s="36" t="str">
        <x:v>있음</x:v>
      </x:c>
      <x:c r="S7" s="36" t="str">
        <x:v>없음</x:v>
      </x:c>
      <x:c r="T7" s="36" t="str">
        <x:v>없음</x:v>
      </x:c>
      <x:c r="U7" s="36" t="str">
        <x:v>block</x:v>
      </x:c>
      <x:c r="V7" s="36" t="str">
        <x:v>역순·착지부 중심 재판독에서도 점자블록 부재 후보</x:v>
      </x:c>
      <x:c r="W7" s="36" t="str">
        <x:v>있음</x:v>
      </x:c>
      <x:c r="X7" s="36" t="str">
        <x:v>없음</x:v>
      </x:c>
      <x:c r="Y7" s="36" t="str">
        <x:v>없음</x:v>
      </x:c>
      <x:c r="Z7" s="36" t="str">
        <x:v>block</x:v>
      </x:c>
      <x:c r="AA7" s="36" t="str">
        <x:v>횡단 지점은 보이지만 점자블록이 보이지 않음</x:v>
      </x:c>
      <x:c r="AB7" s="36" t="str">
        <x:v>tactile_absent_candidate</x:v>
      </x:c>
      <x:c r="AC7" s="41" t="n">
        <x:v>0.76</x:v>
      </x:c>
      <x:c r="AD7" s="36" t="str">
        <x:v>Y</x:v>
      </x:c>
      <x:c r="AE7" s="43" t="str"/>
      <x:c r="AF7" s="36" t="str">
        <x:v>미반영(사람 승인 전)</x:v>
      </x:c>
    </x:row>
    <x:row r="8" ht="36" customHeight="1">
      <x:c r="A8" s="37" t="str">
        <x:v>CW01-B</x:v>
      </x:c>
      <x:c r="B8" s="37" t="str">
        <x:v>CW01</x:v>
      </x:c>
      <x:c r="C8" s="37" t="str">
        <x:v>B</x:v>
      </x:c>
      <x:c r="D8" s="37" t="str">
        <x:v>Y</x:v>
      </x:c>
      <x:c r="E8" s="37" t="str">
        <x:v>2025-11-17 14:28:24</x:v>
      </x:c>
      <x:c r="F8" s="42" t="n">
        <x:v>3.44</x:v>
      </x:c>
      <x:c r="G8" s="37" t="str">
        <x:v>https://map.kakao.com/link/roadview/37.4024484,126.9227305</x:v>
      </x:c>
      <x:c r="H8" s="37" t="str">
        <x:v>https://map.kakao.com/?panoid=1202971200&amp;pan=327.8&amp;zoom=0&amp;map_type=TYPE_MAP&amp;map_attribute=ROADVIEW&amp;urlX=482904.0&amp;urlY=1084204.0</x:v>
      </x:c>
      <x:c r="I8" s="37" t="str">
        <x:v>Codex_AI_precheck_1</x:v>
      </x:c>
      <x:c r="J8" s="37" t="str">
        <x:v>2026-09-15</x:v>
      </x:c>
      <x:c r="K8" s="37" t="str">
        <x:v>판독불가</x:v>
      </x:c>
      <x:c r="L8" s="37" t="str">
        <x:v>판독불가</x:v>
      </x:c>
      <x:c r="M8" s="37" t="str">
        <x:v>시야불충분</x:v>
      </x:c>
      <x:c r="N8" s="37" t="str">
        <x:v>unknown</x:v>
      </x:c>
      <x:c r="O8" s="37" t="str">
        <x:v>착지부가 카메라 직하부·화면 밖에 있어 핵심 시설을 확인할 수 없음</x:v>
      </x:c>
      <x:c r="P8" s="37" t="str">
        <x:v>Codex_AI_precheck_2</x:v>
      </x:c>
      <x:c r="Q8" s="37" t="str">
        <x:v>2026-09-15</x:v>
      </x:c>
      <x:c r="R8" s="37" t="str">
        <x:v>판독불가</x:v>
      </x:c>
      <x:c r="S8" s="37" t="str">
        <x:v>판독불가</x:v>
      </x:c>
      <x:c r="T8" s="37" t="str">
        <x:v>시야불충분</x:v>
      </x:c>
      <x:c r="U8" s="37" t="str">
        <x:v>unknown</x:v>
      </x:c>
      <x:c r="V8" s="37" t="str">
        <x:v>착지부가 카메라 직하부·화면 밖에 있어 핵심 시설을 확인할 수 없음</x:v>
      </x:c>
      <x:c r="W8" s="37" t="str">
        <x:v>판독불가</x:v>
      </x:c>
      <x:c r="X8" s="37" t="str">
        <x:v>판독불가</x:v>
      </x:c>
      <x:c r="Y8" s="37" t="str">
        <x:v>시야불충분</x:v>
      </x:c>
      <x:c r="Z8" s="37" t="str">
        <x:v>unknown</x:v>
      </x:c>
      <x:c r="AA8" s="37" t="str">
        <x:v>착지부가 카메라 직하부·화면 밖에 있어 핵심 시설을 확인할 수 없음</x:v>
      </x:c>
      <x:c r="AB8" s="37" t="str">
        <x:v>visibility_review_needed</x:v>
      </x:c>
      <x:c r="AC8" s="42" t="n">
        <x:v>0.52</x:v>
      </x:c>
      <x:c r="AD8" s="37" t="str">
        <x:v>Y</x:v>
      </x:c>
      <x:c r="AE8" s="44" t="str"/>
      <x:c r="AF8" s="37" t="str">
        <x:v>미반영(사람 승인 전)</x:v>
      </x:c>
    </x:row>
    <x:row r="9" ht="36" customHeight="1">
      <x:c r="A9" s="37" t="str">
        <x:v>CW02-A</x:v>
      </x:c>
      <x:c r="B9" s="37" t="str">
        <x:v>CW02</x:v>
      </x:c>
      <x:c r="C9" s="37" t="str">
        <x:v>A</x:v>
      </x:c>
      <x:c r="D9" s="37" t="str">
        <x:v>N</x:v>
      </x:c>
      <x:c r="E9" s="37" t="str">
        <x:v>2025-12-01 13:09:30</x:v>
      </x:c>
      <x:c r="F9" s="42" t="n">
        <x:v>18.01</x:v>
      </x:c>
      <x:c r="G9" s="37" t="str">
        <x:v>https://map.kakao.com/link/roadview/37.4022411,126.9216533</x:v>
      </x:c>
      <x:c r="H9" s="37" t="str">
        <x:v>https://map.kakao.com/?panoid=1203476225&amp;pan=326.4&amp;zoom=0&amp;map_type=TYPE_MAP&amp;map_attribute=ROADVIEW&amp;urlX=482616.0&amp;urlY=1084126.0</x:v>
      </x:c>
      <x:c r="I9" s="37" t="str">
        <x:v>Codex_AI_precheck_1</x:v>
      </x:c>
      <x:c r="J9" s="37" t="str">
        <x:v>2026-09-15</x:v>
      </x:c>
      <x:c r="K9" s="37" t="str">
        <x:v>판독불가</x:v>
      </x:c>
      <x:c r="L9" s="37" t="str">
        <x:v>판독불가</x:v>
      </x:c>
      <x:c r="M9" s="37" t="str">
        <x:v>지오메트리불일치</x:v>
      </x:c>
      <x:c r="N9" s="37" t="str">
        <x:v>unknown</x:v>
      </x:c>
      <x:c r="O9" s="37" t="str">
        <x:v>접근부 추정점과 영상의 실제 횡단 착지부가 정합하지 않음</x:v>
      </x:c>
      <x:c r="P9" s="37" t="str"/>
      <x:c r="Q9" s="37" t="str"/>
      <x:c r="R9" s="37" t="str"/>
      <x:c r="S9" s="37" t="str"/>
      <x:c r="T9" s="37" t="str"/>
      <x:c r="U9" s="37" t="str"/>
      <x:c r="V9" s="37" t="str"/>
      <x:c r="W9" s="37" t="str">
        <x:v>판독불가</x:v>
      </x:c>
      <x:c r="X9" s="37" t="str">
        <x:v>판독불가</x:v>
      </x:c>
      <x:c r="Y9" s="37" t="str">
        <x:v>지오메트리불일치</x:v>
      </x:c>
      <x:c r="Z9" s="37" t="str">
        <x:v>unknown</x:v>
      </x:c>
      <x:c r="AA9" s="37" t="str">
        <x:v>접근부 추정점과 영상의 실제 횡단 착지부가 정합하지 않음</x:v>
      </x:c>
      <x:c r="AB9" s="37" t="str">
        <x:v>geometry_mismatch_candidate</x:v>
      </x:c>
      <x:c r="AC9" s="42" t="n">
        <x:v>0.58</x:v>
      </x:c>
      <x:c r="AD9" s="37" t="str">
        <x:v>Y</x:v>
      </x:c>
      <x:c r="AE9" s="44" t="str"/>
      <x:c r="AF9" s="37" t="str">
        <x:v>미반영(사람 승인 전)</x:v>
      </x:c>
    </x:row>
    <x:row r="10" ht="36" customHeight="1">
      <x:c r="A10" s="37" t="str">
        <x:v>CW02-B</x:v>
      </x:c>
      <x:c r="B10" s="37" t="str">
        <x:v>CW02</x:v>
      </x:c>
      <x:c r="C10" s="37" t="str">
        <x:v>B</x:v>
      </x:c>
      <x:c r="D10" s="37" t="str">
        <x:v>N</x:v>
      </x:c>
      <x:c r="E10" s="37" t="str">
        <x:v>2025-12-01 13:09:30</x:v>
      </x:c>
      <x:c r="F10" s="42" t="n">
        <x:v>14.06</x:v>
      </x:c>
      <x:c r="G10" s="37" t="str">
        <x:v>https://map.kakao.com/link/roadview/37.4022677,126.9215795</x:v>
      </x:c>
      <x:c r="H10" s="37" t="str">
        <x:v>https://map.kakao.com/?panoid=1203476225&amp;pan=326.4&amp;zoom=0&amp;map_type=TYPE_MAP&amp;map_attribute=ROADVIEW&amp;urlX=482616.0&amp;urlY=1084126.0</x:v>
      </x:c>
      <x:c r="I10" s="37" t="str">
        <x:v>Codex_AI_precheck_1</x:v>
      </x:c>
      <x:c r="J10" s="37" t="str">
        <x:v>2026-09-15</x:v>
      </x:c>
      <x:c r="K10" s="37" t="str">
        <x:v>판독불가</x:v>
      </x:c>
      <x:c r="L10" s="37" t="str">
        <x:v>판독불가</x:v>
      </x:c>
      <x:c r="M10" s="37" t="str">
        <x:v>지오메트리불일치</x:v>
      </x:c>
      <x:c r="N10" s="37" t="str">
        <x:v>unknown</x:v>
      </x:c>
      <x:c r="O10" s="37" t="str">
        <x:v>접근부 추정점과 영상의 실제 횡단 착지부가 정합하지 않음</x:v>
      </x:c>
      <x:c r="P10" s="37" t="str"/>
      <x:c r="Q10" s="37" t="str"/>
      <x:c r="R10" s="37" t="str"/>
      <x:c r="S10" s="37" t="str"/>
      <x:c r="T10" s="37" t="str"/>
      <x:c r="U10" s="37" t="str"/>
      <x:c r="V10" s="37" t="str"/>
      <x:c r="W10" s="37" t="str">
        <x:v>판독불가</x:v>
      </x:c>
      <x:c r="X10" s="37" t="str">
        <x:v>판독불가</x:v>
      </x:c>
      <x:c r="Y10" s="37" t="str">
        <x:v>지오메트리불일치</x:v>
      </x:c>
      <x:c r="Z10" s="37" t="str">
        <x:v>unknown</x:v>
      </x:c>
      <x:c r="AA10" s="37" t="str">
        <x:v>접근부 추정점과 영상의 실제 횡단 착지부가 정합하지 않음</x:v>
      </x:c>
      <x:c r="AB10" s="37" t="str">
        <x:v>geometry_mismatch_candidate</x:v>
      </x:c>
      <x:c r="AC10" s="42" t="n">
        <x:v>0.58</x:v>
      </x:c>
      <x:c r="AD10" s="37" t="str">
        <x:v>Y</x:v>
      </x:c>
      <x:c r="AE10" s="44" t="str"/>
      <x:c r="AF10" s="37" t="str">
        <x:v>미반영(사람 승인 전)</x:v>
      </x:c>
    </x:row>
    <x:row r="11" ht="36" customHeight="1">
      <x:c r="A11" s="37" t="str">
        <x:v>CW03-A</x:v>
      </x:c>
      <x:c r="B11" s="37" t="str">
        <x:v>CW03</x:v>
      </x:c>
      <x:c r="C11" s="37" t="str">
        <x:v>A</x:v>
      </x:c>
      <x:c r="D11" s="37" t="str">
        <x:v>Y</x:v>
      </x:c>
      <x:c r="E11" s="37" t="str">
        <x:v>2025-11-17 14:28:34</x:v>
      </x:c>
      <x:c r="F11" s="42" t="n">
        <x:v>7.59</x:v>
      </x:c>
      <x:c r="G11" s="37" t="str">
        <x:v>https://map.kakao.com/link/roadview/37.4030023,126.9222590</x:v>
      </x:c>
      <x:c r="H11" s="37" t="str">
        <x:v>https://map.kakao.com/?panoid=1202971207&amp;pan=327.3&amp;zoom=0&amp;map_type=TYPE_MAP&amp;map_attribute=ROADVIEW&amp;urlX=482811.0&amp;urlY=1084352.0</x:v>
      </x:c>
      <x:c r="I11" s="37" t="str">
        <x:v>Codex_AI_precheck_1</x:v>
      </x:c>
      <x:c r="J11" s="37" t="str">
        <x:v>2026-09-15</x:v>
      </x:c>
      <x:c r="K11" s="37" t="str">
        <x:v>판독불가</x:v>
      </x:c>
      <x:c r="L11" s="37" t="str">
        <x:v>판독불가</x:v>
      </x:c>
      <x:c r="M11" s="37" t="str">
        <x:v>차량/적치물가림</x:v>
      </x:c>
      <x:c r="N11" s="37" t="str">
        <x:v>unknown</x:v>
      </x:c>
      <x:c r="O11" s="37" t="str">
        <x:v>차량·적치물 또는 공사물로 핵심 시설이 가려짐</x:v>
      </x:c>
      <x:c r="P11" s="37" t="str">
        <x:v>Codex_AI_precheck_2</x:v>
      </x:c>
      <x:c r="Q11" s="37" t="str">
        <x:v>2026-09-15</x:v>
      </x:c>
      <x:c r="R11" s="37" t="str">
        <x:v>판독불가</x:v>
      </x:c>
      <x:c r="S11" s="37" t="str">
        <x:v>판독불가</x:v>
      </x:c>
      <x:c r="T11" s="37" t="str">
        <x:v>차량/적치물가림</x:v>
      </x:c>
      <x:c r="U11" s="37" t="str">
        <x:v>unknown</x:v>
      </x:c>
      <x:c r="V11" s="37" t="str">
        <x:v>차량·적치물 또는 공사물로 핵심 시설이 가려짐</x:v>
      </x:c>
      <x:c r="W11" s="37" t="str">
        <x:v>판독불가</x:v>
      </x:c>
      <x:c r="X11" s="37" t="str">
        <x:v>판독불가</x:v>
      </x:c>
      <x:c r="Y11" s="37" t="str">
        <x:v>차량/적치물가림</x:v>
      </x:c>
      <x:c r="Z11" s="37" t="str">
        <x:v>unknown</x:v>
      </x:c>
      <x:c r="AA11" s="37" t="str">
        <x:v>차량·적치물 또는 공사물로 핵심 시설이 가려짐</x:v>
      </x:c>
      <x:c r="AB11" s="37" t="str">
        <x:v>occlusion_review_needed</x:v>
      </x:c>
      <x:c r="AC11" s="42" t="n">
        <x:v>0.52</x:v>
      </x:c>
      <x:c r="AD11" s="37" t="str">
        <x:v>Y</x:v>
      </x:c>
      <x:c r="AE11" s="44" t="str"/>
      <x:c r="AF11" s="37" t="str">
        <x:v>미반영(사람 승인 전)</x:v>
      </x:c>
    </x:row>
    <x:row r="12" ht="36" customHeight="1">
      <x:c r="A12" s="37" t="str">
        <x:v>CW03-B</x:v>
      </x:c>
      <x:c r="B12" s="37" t="str">
        <x:v>CW03</x:v>
      </x:c>
      <x:c r="C12" s="37" t="str">
        <x:v>B</x:v>
      </x:c>
      <x:c r="D12" s="37" t="str">
        <x:v>Y</x:v>
      </x:c>
      <x:c r="E12" s="37" t="str">
        <x:v>2025-11-17 14:28:34</x:v>
      </x:c>
      <x:c r="F12" s="42" t="n">
        <x:v>5.11</x:v>
      </x:c>
      <x:c r="G12" s="37" t="str">
        <x:v>https://map.kakao.com/link/roadview/37.4030385,126.9223242</x:v>
      </x:c>
      <x:c r="H12" s="37" t="str">
        <x:v>https://map.kakao.com/?panoid=1202971207&amp;pan=327.3&amp;zoom=0&amp;map_type=TYPE_MAP&amp;map_attribute=ROADVIEW&amp;urlX=482811.0&amp;urlY=1084352.0</x:v>
      </x:c>
      <x:c r="I12" s="37" t="str">
        <x:v>Codex_AI_precheck_1</x:v>
      </x:c>
      <x:c r="J12" s="37" t="str">
        <x:v>2026-09-15</x:v>
      </x:c>
      <x:c r="K12" s="37" t="str">
        <x:v>판독불가</x:v>
      </x:c>
      <x:c r="L12" s="37" t="str">
        <x:v>판독불가</x:v>
      </x:c>
      <x:c r="M12" s="37" t="str">
        <x:v>지오메트리불일치</x:v>
      </x:c>
      <x:c r="N12" s="37" t="str">
        <x:v>unknown</x:v>
      </x:c>
      <x:c r="O12" s="37" t="str">
        <x:v>접근부 추정점과 영상의 실제 횡단 착지부가 정합하지 않음</x:v>
      </x:c>
      <x:c r="P12" s="37" t="str">
        <x:v>Codex_AI_precheck_2</x:v>
      </x:c>
      <x:c r="Q12" s="37" t="str">
        <x:v>2026-09-15</x:v>
      </x:c>
      <x:c r="R12" s="37" t="str">
        <x:v>판독불가</x:v>
      </x:c>
      <x:c r="S12" s="37" t="str">
        <x:v>판독불가</x:v>
      </x:c>
      <x:c r="T12" s="37" t="str">
        <x:v>지오메트리불일치</x:v>
      </x:c>
      <x:c r="U12" s="37" t="str">
        <x:v>unknown</x:v>
      </x:c>
      <x:c r="V12" s="37" t="str">
        <x:v>접근부 추정점과 영상의 실제 횡단 착지부가 정합하지 않음</x:v>
      </x:c>
      <x:c r="W12" s="37" t="str">
        <x:v>판독불가</x:v>
      </x:c>
      <x:c r="X12" s="37" t="str">
        <x:v>판독불가</x:v>
      </x:c>
      <x:c r="Y12" s="37" t="str">
        <x:v>지오메트리불일치</x:v>
      </x:c>
      <x:c r="Z12" s="37" t="str">
        <x:v>unknown</x:v>
      </x:c>
      <x:c r="AA12" s="37" t="str">
        <x:v>접근부 추정점과 영상의 실제 횡단 착지부가 정합하지 않음</x:v>
      </x:c>
      <x:c r="AB12" s="37" t="str">
        <x:v>geometry_mismatch_candidate</x:v>
      </x:c>
      <x:c r="AC12" s="42" t="n">
        <x:v>0.58</x:v>
      </x:c>
      <x:c r="AD12" s="37" t="str">
        <x:v>Y</x:v>
      </x:c>
      <x:c r="AE12" s="44" t="str"/>
      <x:c r="AF12" s="37" t="str">
        <x:v>미반영(사람 승인 전)</x:v>
      </x:c>
    </x:row>
    <x:row r="13" ht="36" customHeight="1">
      <x:c r="A13" s="37" t="str">
        <x:v>CW04-A</x:v>
      </x:c>
      <x:c r="B13" s="37" t="str">
        <x:v>CW04</x:v>
      </x:c>
      <x:c r="C13" s="37" t="str">
        <x:v>A</x:v>
      </x:c>
      <x:c r="D13" s="37" t="str">
        <x:v>N</x:v>
      </x:c>
      <x:c r="E13" s="37" t="str">
        <x:v>2025-12-01 13:09:31</x:v>
      </x:c>
      <x:c r="F13" s="42" t="n">
        <x:v>6.44</x:v>
      </x:c>
      <x:c r="G13" s="37" t="str">
        <x:v>https://map.kakao.com/link/roadview/37.4022197,126.9213442</x:v>
      </x:c>
      <x:c r="H13" s="37" t="str">
        <x:v>https://map.kakao.com/?panoid=1203476229&amp;pan=326.3&amp;zoom=0&amp;map_type=TYPE_MAP&amp;map_attribute=ROADVIEW&amp;urlX=482602.0&amp;urlY=1084147.0</x:v>
      </x:c>
      <x:c r="I13" s="37" t="str">
        <x:v>Codex_AI_precheck_1</x:v>
      </x:c>
      <x:c r="J13" s="37" t="str">
        <x:v>2026-09-15</x:v>
      </x:c>
      <x:c r="K13" s="37" t="str">
        <x:v>판독불가</x:v>
      </x:c>
      <x:c r="L13" s="37" t="str">
        <x:v>판독불가</x:v>
      </x:c>
      <x:c r="M13" s="37" t="str">
        <x:v>공사</x:v>
      </x:c>
      <x:c r="N13" s="37" t="str">
        <x:v>block</x:v>
      </x:c>
      <x:c r="O13" s="37" t="str">
        <x:v>횡단 진행 방향이 공사 가림막으로 막힌 후보</x:v>
      </x:c>
      <x:c r="P13" s="37" t="str"/>
      <x:c r="Q13" s="37" t="str"/>
      <x:c r="R13" s="37" t="str"/>
      <x:c r="S13" s="37" t="str"/>
      <x:c r="T13" s="37" t="str"/>
      <x:c r="U13" s="37" t="str"/>
      <x:c r="V13" s="37" t="str"/>
      <x:c r="W13" s="37" t="str">
        <x:v>판독불가</x:v>
      </x:c>
      <x:c r="X13" s="37" t="str">
        <x:v>판독불가</x:v>
      </x:c>
      <x:c r="Y13" s="37" t="str">
        <x:v>공사</x:v>
      </x:c>
      <x:c r="Z13" s="37" t="str">
        <x:v>block</x:v>
      </x:c>
      <x:c r="AA13" s="37" t="str">
        <x:v>횡단 진행 방향이 공사 가림막으로 막힌 후보</x:v>
      </x:c>
      <x:c r="AB13" s="37" t="str">
        <x:v>construction_block_candidate</x:v>
      </x:c>
      <x:c r="AC13" s="42" t="n">
        <x:v>0.82</x:v>
      </x:c>
      <x:c r="AD13" s="37" t="str">
        <x:v>Y</x:v>
      </x:c>
      <x:c r="AE13" s="44" t="str"/>
      <x:c r="AF13" s="37" t="str">
        <x:v>미반영(사람 승인 전)</x:v>
      </x:c>
    </x:row>
    <x:row r="14" ht="36" customHeight="1">
      <x:c r="A14" s="37" t="str">
        <x:v>CW04-B</x:v>
      </x:c>
      <x:c r="B14" s="37" t="str">
        <x:v>CW04</x:v>
      </x:c>
      <x:c r="C14" s="37" t="str">
        <x:v>B</x:v>
      </x:c>
      <x:c r="D14" s="37" t="str">
        <x:v>N</x:v>
      </x:c>
      <x:c r="E14" s="37" t="str">
        <x:v>2025-12-01 13:09:31</x:v>
      </x:c>
      <x:c r="F14" s="42" t="n">
        <x:v>8.52</x:v>
      </x:c>
      <x:c r="G14" s="37" t="str">
        <x:v>https://map.kakao.com/link/roadview/37.4022967,126.9214828</x:v>
      </x:c>
      <x:c r="H14" s="37" t="str">
        <x:v>https://map.kakao.com/?panoid=1203476229&amp;pan=326.3&amp;zoom=0&amp;map_type=TYPE_MAP&amp;map_attribute=ROADVIEW&amp;urlX=482602.0&amp;urlY=1084147.0</x:v>
      </x:c>
      <x:c r="I14" s="37" t="str">
        <x:v>Codex_AI_precheck_1</x:v>
      </x:c>
      <x:c r="J14" s="37" t="str">
        <x:v>2026-09-15</x:v>
      </x:c>
      <x:c r="K14" s="37" t="str">
        <x:v>있음</x:v>
      </x:c>
      <x:c r="L14" s="37" t="str">
        <x:v>있음</x:v>
      </x:c>
      <x:c r="M14" s="37" t="str">
        <x:v>없음</x:v>
      </x:c>
      <x:c r="N14" s="37" t="str">
        <x:v>pass</x:v>
      </x:c>
      <x:c r="O14" s="37" t="str">
        <x:v>경사로와 점자블록이 보이고 통행공간이 열려 있음</x:v>
      </x:c>
      <x:c r="P14" s="37" t="str"/>
      <x:c r="Q14" s="37" t="str"/>
      <x:c r="R14" s="37" t="str"/>
      <x:c r="S14" s="37" t="str"/>
      <x:c r="T14" s="37" t="str"/>
      <x:c r="U14" s="37" t="str"/>
      <x:c r="V14" s="37" t="str"/>
      <x:c r="W14" s="37" t="str">
        <x:v>있음</x:v>
      </x:c>
      <x:c r="X14" s="37" t="str">
        <x:v>있음</x:v>
      </x:c>
      <x:c r="Y14" s="37" t="str">
        <x:v>없음</x:v>
      </x:c>
      <x:c r="Z14" s="37" t="str">
        <x:v>pass</x:v>
      </x:c>
      <x:c r="AA14" s="37" t="str">
        <x:v>경사로와 점자블록이 보이고 통행공간이 열려 있음</x:v>
      </x:c>
      <x:c r="AB14" s="37" t="str">
        <x:v>likely_accessible_candidate</x:v>
      </x:c>
      <x:c r="AC14" s="42" t="n">
        <x:v>0.82</x:v>
      </x:c>
      <x:c r="AD14" s="37" t="str">
        <x:v>Y</x:v>
      </x:c>
      <x:c r="AE14" s="44" t="str"/>
      <x:c r="AF14" s="37" t="str">
        <x:v>미반영(사람 승인 전)</x:v>
      </x:c>
    </x:row>
    <x:row r="15" ht="36" customHeight="1">
      <x:c r="A15" s="37" t="str">
        <x:v>CW05-A</x:v>
      </x:c>
      <x:c r="B15" s="37" t="str">
        <x:v>CW05</x:v>
      </x:c>
      <x:c r="C15" s="37" t="str">
        <x:v>A</x:v>
      </x:c>
      <x:c r="D15" s="37" t="str">
        <x:v>Y</x:v>
      </x:c>
      <x:c r="E15" s="37" t="str">
        <x:v>2025-11-17 14:28:18</x:v>
      </x:c>
      <x:c r="F15" s="42" t="n">
        <x:v>7.78</x:v>
      </x:c>
      <x:c r="G15" s="37" t="str">
        <x:v>https://map.kakao.com/link/roadview/37.4021576,126.9229168</x:v>
      </x:c>
      <x:c r="H15" s="37" t="str">
        <x:v>https://map.kakao.com/?panoid=1202971196&amp;pan=327.5&amp;zoom=0&amp;map_type=TYPE_MAP&amp;map_attribute=ROADVIEW&amp;urlX=482957.0&amp;urlY=1084120.0</x:v>
      </x:c>
      <x:c r="I15" s="37" t="str">
        <x:v>Codex_AI_precheck_1</x:v>
      </x:c>
      <x:c r="J15" s="37" t="str">
        <x:v>2026-09-15</x:v>
      </x:c>
      <x:c r="K15" s="37" t="str">
        <x:v>있음</x:v>
      </x:c>
      <x:c r="L15" s="37" t="str">
        <x:v>있음</x:v>
      </x:c>
      <x:c r="M15" s="37" t="str">
        <x:v>없음</x:v>
      </x:c>
      <x:c r="N15" s="37" t="str">
        <x:v>pass</x:v>
      </x:c>
      <x:c r="O15" s="37" t="str">
        <x:v>경사로와 점자블록이 보이고 통행공간이 열려 있음</x:v>
      </x:c>
      <x:c r="P15" s="37" t="str">
        <x:v>Codex_AI_precheck_2</x:v>
      </x:c>
      <x:c r="Q15" s="37" t="str">
        <x:v>2026-09-15</x:v>
      </x:c>
      <x:c r="R15" s="37" t="str">
        <x:v>있음</x:v>
      </x:c>
      <x:c r="S15" s="37" t="str">
        <x:v>있음</x:v>
      </x:c>
      <x:c r="T15" s="37" t="str">
        <x:v>없음</x:v>
      </x:c>
      <x:c r="U15" s="37" t="str">
        <x:v>pass</x:v>
      </x:c>
      <x:c r="V15" s="37" t="str">
        <x:v>역순·착지부 중심 재판독에서 경사로와 점자블록을 확인</x:v>
      </x:c>
      <x:c r="W15" s="37" t="str">
        <x:v>있음</x:v>
      </x:c>
      <x:c r="X15" s="37" t="str">
        <x:v>있음</x:v>
      </x:c>
      <x:c r="Y15" s="37" t="str">
        <x:v>없음</x:v>
      </x:c>
      <x:c r="Z15" s="37" t="str">
        <x:v>pass</x:v>
      </x:c>
      <x:c r="AA15" s="37" t="str">
        <x:v>경사로와 점자블록이 보이고 통행공간이 열려 있음</x:v>
      </x:c>
      <x:c r="AB15" s="37" t="str">
        <x:v>likely_accessible_candidate</x:v>
      </x:c>
      <x:c r="AC15" s="42" t="n">
        <x:v>0.82</x:v>
      </x:c>
      <x:c r="AD15" s="37" t="str">
        <x:v>Y</x:v>
      </x:c>
      <x:c r="AE15" s="44" t="str"/>
      <x:c r="AF15" s="37" t="str">
        <x:v>미반영(사람 승인 전)</x:v>
      </x:c>
    </x:row>
    <x:row r="16" ht="36" customHeight="1">
      <x:c r="A16" s="37" t="str">
        <x:v>CW05-B</x:v>
      </x:c>
      <x:c r="B16" s="37" t="str">
        <x:v>CW05</x:v>
      </x:c>
      <x:c r="C16" s="37" t="str">
        <x:v>B</x:v>
      </x:c>
      <x:c r="D16" s="37" t="str">
        <x:v>Y</x:v>
      </x:c>
      <x:c r="E16" s="37" t="str">
        <x:v>2025-11-17 14:28:18</x:v>
      </x:c>
      <x:c r="F16" s="42" t="n">
        <x:v>4.33</x:v>
      </x:c>
      <x:c r="G16" s="37" t="str">
        <x:v>https://map.kakao.com/link/roadview/37.4021979,126.9229954</x:v>
      </x:c>
      <x:c r="H16" s="37" t="str">
        <x:v>https://map.kakao.com/?panoid=1202971196&amp;pan=327.5&amp;zoom=0&amp;map_type=TYPE_MAP&amp;map_attribute=ROADVIEW&amp;urlX=482957.0&amp;urlY=1084120.0</x:v>
      </x:c>
      <x:c r="I16" s="37" t="str">
        <x:v>Codex_AI_precheck_1</x:v>
      </x:c>
      <x:c r="J16" s="37" t="str">
        <x:v>2026-09-15</x:v>
      </x:c>
      <x:c r="K16" s="37" t="str">
        <x:v>판독불가</x:v>
      </x:c>
      <x:c r="L16" s="37" t="str">
        <x:v>판독불가</x:v>
      </x:c>
      <x:c r="M16" s="37" t="str">
        <x:v>시야불충분</x:v>
      </x:c>
      <x:c r="N16" s="37" t="str">
        <x:v>unknown</x:v>
      </x:c>
      <x:c r="O16" s="37" t="str">
        <x:v>착지부가 카메라 직하부·화면 밖에 있어 핵심 시설을 확인할 수 없음</x:v>
      </x:c>
      <x:c r="P16" s="37" t="str">
        <x:v>Codex_AI_precheck_2</x:v>
      </x:c>
      <x:c r="Q16" s="37" t="str">
        <x:v>2026-09-15</x:v>
      </x:c>
      <x:c r="R16" s="37" t="str">
        <x:v>판독불가</x:v>
      </x:c>
      <x:c r="S16" s="37" t="str">
        <x:v>판독불가</x:v>
      </x:c>
      <x:c r="T16" s="37" t="str">
        <x:v>시야불충분</x:v>
      </x:c>
      <x:c r="U16" s="37" t="str">
        <x:v>unknown</x:v>
      </x:c>
      <x:c r="V16" s="37" t="str">
        <x:v>착지부가 카메라 직하부·화면 밖에 있어 핵심 시설을 확인할 수 없음</x:v>
      </x:c>
      <x:c r="W16" s="37" t="str">
        <x:v>판독불가</x:v>
      </x:c>
      <x:c r="X16" s="37" t="str">
        <x:v>판독불가</x:v>
      </x:c>
      <x:c r="Y16" s="37" t="str">
        <x:v>시야불충분</x:v>
      </x:c>
      <x:c r="Z16" s="37" t="str">
        <x:v>unknown</x:v>
      </x:c>
      <x:c r="AA16" s="37" t="str">
        <x:v>착지부가 카메라 직하부·화면 밖에 있어 핵심 시설을 확인할 수 없음</x:v>
      </x:c>
      <x:c r="AB16" s="37" t="str">
        <x:v>visibility_review_needed</x:v>
      </x:c>
      <x:c r="AC16" s="42" t="n">
        <x:v>0.52</x:v>
      </x:c>
      <x:c r="AD16" s="37" t="str">
        <x:v>Y</x:v>
      </x:c>
      <x:c r="AE16" s="44" t="str"/>
      <x:c r="AF16" s="37" t="str">
        <x:v>미반영(사람 승인 전)</x:v>
      </x:c>
    </x:row>
    <x:row r="17" ht="36" customHeight="1">
      <x:c r="A17" s="37" t="str">
        <x:v>CW06-A</x:v>
      </x:c>
      <x:c r="B17" s="37" t="str">
        <x:v>CW06</x:v>
      </x:c>
      <x:c r="C17" s="37" t="str">
        <x:v>A</x:v>
      </x:c>
      <x:c r="D17" s="37" t="str">
        <x:v>N</x:v>
      </x:c>
      <x:c r="E17" s="37" t="str">
        <x:v>2025-12-01 14:54:27</x:v>
      </x:c>
      <x:c r="F17" s="42" t="n">
        <x:v>7.79</x:v>
      </x:c>
      <x:c r="G17" s="37" t="str">
        <x:v>https://map.kakao.com/link/roadview/37.4017671,126.9216657</x:v>
      </x:c>
      <x:c r="H17" s="37" t="str">
        <x:v>https://map.kakao.com/?panoid=1203482543&amp;pan=57.9&amp;zoom=0&amp;map_type=TYPE_MAP&amp;map_attribute=ROADVIEW&amp;urlX=482642.0&amp;urlY=1084005.0</x:v>
      </x:c>
      <x:c r="I17" s="37" t="str">
        <x:v>Codex_AI_precheck_1</x:v>
      </x:c>
      <x:c r="J17" s="37" t="str">
        <x:v>2026-09-15</x:v>
      </x:c>
      <x:c r="K17" s="37" t="str">
        <x:v>판독불가</x:v>
      </x:c>
      <x:c r="L17" s="37" t="str">
        <x:v>판독불가</x:v>
      </x:c>
      <x:c r="M17" s="37" t="str">
        <x:v>차량/적치물가림</x:v>
      </x:c>
      <x:c r="N17" s="37" t="str">
        <x:v>unknown</x:v>
      </x:c>
      <x:c r="O17" s="37" t="str">
        <x:v>차량·적치물 또는 공사물로 핵심 시설이 가려짐</x:v>
      </x:c>
      <x:c r="P17" s="37" t="str"/>
      <x:c r="Q17" s="37" t="str"/>
      <x:c r="R17" s="37" t="str"/>
      <x:c r="S17" s="37" t="str"/>
      <x:c r="T17" s="37" t="str"/>
      <x:c r="U17" s="37" t="str"/>
      <x:c r="V17" s="37" t="str"/>
      <x:c r="W17" s="37" t="str">
        <x:v>판독불가</x:v>
      </x:c>
      <x:c r="X17" s="37" t="str">
        <x:v>판독불가</x:v>
      </x:c>
      <x:c r="Y17" s="37" t="str">
        <x:v>차량/적치물가림</x:v>
      </x:c>
      <x:c r="Z17" s="37" t="str">
        <x:v>unknown</x:v>
      </x:c>
      <x:c r="AA17" s="37" t="str">
        <x:v>차량·적치물 또는 공사물로 핵심 시설이 가려짐</x:v>
      </x:c>
      <x:c r="AB17" s="37" t="str">
        <x:v>occlusion_review_needed</x:v>
      </x:c>
      <x:c r="AC17" s="42" t="n">
        <x:v>0.52</x:v>
      </x:c>
      <x:c r="AD17" s="37" t="str">
        <x:v>Y</x:v>
      </x:c>
      <x:c r="AE17" s="44" t="str"/>
      <x:c r="AF17" s="37" t="str">
        <x:v>미반영(사람 승인 전)</x:v>
      </x:c>
    </x:row>
    <x:row r="18" ht="36" customHeight="1">
      <x:c r="A18" s="37" t="str">
        <x:v>CW06-B</x:v>
      </x:c>
      <x:c r="B18" s="37" t="str">
        <x:v>CW06</x:v>
      </x:c>
      <x:c r="C18" s="37" t="str">
        <x:v>B</x:v>
      </x:c>
      <x:c r="D18" s="37" t="str">
        <x:v>N</x:v>
      </x:c>
      <x:c r="E18" s="37" t="str">
        <x:v>2025-12-01 14:54:27</x:v>
      </x:c>
      <x:c r="F18" s="42" t="n">
        <x:v>11.18</x:v>
      </x:c>
      <x:c r="G18" s="37" t="str">
        <x:v>https://map.kakao.com/link/roadview/37.4018449,126.9215863</x:v>
      </x:c>
      <x:c r="H18" s="37" t="str">
        <x:v>https://map.kakao.com/?panoid=1203482543&amp;pan=57.9&amp;zoom=0&amp;map_type=TYPE_MAP&amp;map_attribute=ROADVIEW&amp;urlX=482642.0&amp;urlY=1084005.0</x:v>
      </x:c>
      <x:c r="I18" s="37" t="str">
        <x:v>Codex_AI_precheck_1</x:v>
      </x:c>
      <x:c r="J18" s="37" t="str">
        <x:v>2026-09-15</x:v>
      </x:c>
      <x:c r="K18" s="37" t="str">
        <x:v>판독불가</x:v>
      </x:c>
      <x:c r="L18" s="37" t="str">
        <x:v>판독불가</x:v>
      </x:c>
      <x:c r="M18" s="37" t="str">
        <x:v>차량/적치물가림</x:v>
      </x:c>
      <x:c r="N18" s="37" t="str">
        <x:v>unknown</x:v>
      </x:c>
      <x:c r="O18" s="37" t="str">
        <x:v>차량·적치물 또는 공사물로 핵심 시설이 가려짐</x:v>
      </x:c>
      <x:c r="P18" s="37" t="str"/>
      <x:c r="Q18" s="37" t="str"/>
      <x:c r="R18" s="37" t="str"/>
      <x:c r="S18" s="37" t="str"/>
      <x:c r="T18" s="37" t="str"/>
      <x:c r="U18" s="37" t="str"/>
      <x:c r="V18" s="37" t="str"/>
      <x:c r="W18" s="37" t="str">
        <x:v>판독불가</x:v>
      </x:c>
      <x:c r="X18" s="37" t="str">
        <x:v>판독불가</x:v>
      </x:c>
      <x:c r="Y18" s="37" t="str">
        <x:v>차량/적치물가림</x:v>
      </x:c>
      <x:c r="Z18" s="37" t="str">
        <x:v>unknown</x:v>
      </x:c>
      <x:c r="AA18" s="37" t="str">
        <x:v>차량·적치물 또는 공사물로 핵심 시설이 가려짐</x:v>
      </x:c>
      <x:c r="AB18" s="37" t="str">
        <x:v>occlusion_review_needed</x:v>
      </x:c>
      <x:c r="AC18" s="42" t="n">
        <x:v>0.52</x:v>
      </x:c>
      <x:c r="AD18" s="37" t="str">
        <x:v>Y</x:v>
      </x:c>
      <x:c r="AE18" s="44" t="str"/>
      <x:c r="AF18" s="37" t="str">
        <x:v>미반영(사람 승인 전)</x:v>
      </x:c>
    </x:row>
    <x:row r="19" ht="36" customHeight="1">
      <x:c r="A19" s="37" t="str">
        <x:v>CW07-A</x:v>
      </x:c>
      <x:c r="B19" s="37" t="str">
        <x:v>CW07</x:v>
      </x:c>
      <x:c r="C19" s="37" t="str">
        <x:v>A</x:v>
      </x:c>
      <x:c r="D19" s="37" t="str">
        <x:v>Y</x:v>
      </x:c>
      <x:c r="E19" s="37" t="str">
        <x:v>2025-12-01 13:09:25</x:v>
      </x:c>
      <x:c r="F19" s="42" t="n">
        <x:v>10.14</x:v>
      </x:c>
      <x:c r="G19" s="37" t="str">
        <x:v>https://map.kakao.com/link/roadview/37.4017233,126.9217302</x:v>
      </x:c>
      <x:c r="H19" s="37" t="str">
        <x:v>https://map.kakao.com/?panoid=1203476201&amp;pan=325.8&amp;zoom=0&amp;map_type=TYPE_MAP&amp;map_attribute=ROADVIEW&amp;urlX=482700.0&amp;urlY=1084002.0</x:v>
      </x:c>
      <x:c r="I19" s="37" t="str">
        <x:v>Codex_AI_precheck_1</x:v>
      </x:c>
      <x:c r="J19" s="37" t="str">
        <x:v>2026-09-15</x:v>
      </x:c>
      <x:c r="K19" s="37" t="str">
        <x:v>판독불가</x:v>
      </x:c>
      <x:c r="L19" s="37" t="str">
        <x:v>판독불가</x:v>
      </x:c>
      <x:c r="M19" s="37" t="str">
        <x:v>지오메트리불일치</x:v>
      </x:c>
      <x:c r="N19" s="37" t="str">
        <x:v>unknown</x:v>
      </x:c>
      <x:c r="O19" s="37" t="str">
        <x:v>접근부 추정점과 영상의 실제 횡단 착지부가 정합하지 않음</x:v>
      </x:c>
      <x:c r="P19" s="37" t="str">
        <x:v>Codex_AI_precheck_2</x:v>
      </x:c>
      <x:c r="Q19" s="37" t="str">
        <x:v>2026-09-15</x:v>
      </x:c>
      <x:c r="R19" s="37" t="str">
        <x:v>판독불가</x:v>
      </x:c>
      <x:c r="S19" s="37" t="str">
        <x:v>판독불가</x:v>
      </x:c>
      <x:c r="T19" s="37" t="str">
        <x:v>지오메트리불일치</x:v>
      </x:c>
      <x:c r="U19" s="37" t="str">
        <x:v>unknown</x:v>
      </x:c>
      <x:c r="V19" s="37" t="str">
        <x:v>접근부 추정점과 영상의 실제 횡단 착지부가 정합하지 않음</x:v>
      </x:c>
      <x:c r="W19" s="37" t="str">
        <x:v>판독불가</x:v>
      </x:c>
      <x:c r="X19" s="37" t="str">
        <x:v>판독불가</x:v>
      </x:c>
      <x:c r="Y19" s="37" t="str">
        <x:v>지오메트리불일치</x:v>
      </x:c>
      <x:c r="Z19" s="37" t="str">
        <x:v>unknown</x:v>
      </x:c>
      <x:c r="AA19" s="37" t="str">
        <x:v>접근부 추정점과 영상의 실제 횡단 착지부가 정합하지 않음</x:v>
      </x:c>
      <x:c r="AB19" s="37" t="str">
        <x:v>geometry_mismatch_candidate</x:v>
      </x:c>
      <x:c r="AC19" s="42" t="n">
        <x:v>0.58</x:v>
      </x:c>
      <x:c r="AD19" s="37" t="str">
        <x:v>Y</x:v>
      </x:c>
      <x:c r="AE19" s="44" t="str"/>
      <x:c r="AF19" s="37" t="str">
        <x:v>미반영(사람 승인 전)</x:v>
      </x:c>
    </x:row>
    <x:row r="20" ht="36" customHeight="1">
      <x:c r="A20" s="37" t="str">
        <x:v>CW07-B</x:v>
      </x:c>
      <x:c r="B20" s="37" t="str">
        <x:v>CW07</x:v>
      </x:c>
      <x:c r="C20" s="37" t="str">
        <x:v>B</x:v>
      </x:c>
      <x:c r="D20" s="37" t="str">
        <x:v>Y</x:v>
      </x:c>
      <x:c r="E20" s="37" t="str">
        <x:v>2025-12-01 13:09:25</x:v>
      </x:c>
      <x:c r="F20" s="42" t="n">
        <x:v>4.46</x:v>
      </x:c>
      <x:c r="G20" s="37" t="str">
        <x:v>https://map.kakao.com/link/roadview/37.4017508,126.9217986</x:v>
      </x:c>
      <x:c r="H20" s="37" t="str">
        <x:v>https://map.kakao.com/?panoid=1203476201&amp;pan=325.8&amp;zoom=0&amp;map_type=TYPE_MAP&amp;map_attribute=ROADVIEW&amp;urlX=482700.0&amp;urlY=1084002.0</x:v>
      </x:c>
      <x:c r="I20" s="37" t="str">
        <x:v>Codex_AI_precheck_1</x:v>
      </x:c>
      <x:c r="J20" s="37" t="str">
        <x:v>2026-09-15</x:v>
      </x:c>
      <x:c r="K20" s="37" t="str">
        <x:v>판독불가</x:v>
      </x:c>
      <x:c r="L20" s="37" t="str">
        <x:v>판독불가</x:v>
      </x:c>
      <x:c r="M20" s="37" t="str">
        <x:v>지오메트리불일치</x:v>
      </x:c>
      <x:c r="N20" s="37" t="str">
        <x:v>unknown</x:v>
      </x:c>
      <x:c r="O20" s="37" t="str">
        <x:v>접근부 추정점과 영상의 실제 횡단 착지부가 정합하지 않음</x:v>
      </x:c>
      <x:c r="P20" s="37" t="str">
        <x:v>Codex_AI_precheck_2</x:v>
      </x:c>
      <x:c r="Q20" s="37" t="str">
        <x:v>2026-09-15</x:v>
      </x:c>
      <x:c r="R20" s="37" t="str">
        <x:v>판독불가</x:v>
      </x:c>
      <x:c r="S20" s="37" t="str">
        <x:v>판독불가</x:v>
      </x:c>
      <x:c r="T20" s="37" t="str">
        <x:v>지오메트리불일치</x:v>
      </x:c>
      <x:c r="U20" s="37" t="str">
        <x:v>unknown</x:v>
      </x:c>
      <x:c r="V20" s="37" t="str">
        <x:v>접근부 추정점과 영상의 실제 횡단 착지부가 정합하지 않음</x:v>
      </x:c>
      <x:c r="W20" s="37" t="str">
        <x:v>판독불가</x:v>
      </x:c>
      <x:c r="X20" s="37" t="str">
        <x:v>판독불가</x:v>
      </x:c>
      <x:c r="Y20" s="37" t="str">
        <x:v>지오메트리불일치</x:v>
      </x:c>
      <x:c r="Z20" s="37" t="str">
        <x:v>unknown</x:v>
      </x:c>
      <x:c r="AA20" s="37" t="str">
        <x:v>접근부 추정점과 영상의 실제 횡단 착지부가 정합하지 않음</x:v>
      </x:c>
      <x:c r="AB20" s="37" t="str">
        <x:v>geometry_mismatch_candidate</x:v>
      </x:c>
      <x:c r="AC20" s="42" t="n">
        <x:v>0.58</x:v>
      </x:c>
      <x:c r="AD20" s="37" t="str">
        <x:v>Y</x:v>
      </x:c>
      <x:c r="AE20" s="44" t="str"/>
      <x:c r="AF20" s="37" t="str">
        <x:v>미반영(사람 승인 전)</x:v>
      </x:c>
    </x:row>
    <x:row r="21" ht="36" customHeight="1">
      <x:c r="A21" s="37" t="str">
        <x:v>CW08-A</x:v>
      </x:c>
      <x:c r="B21" s="37" t="str">
        <x:v>CW08</x:v>
      </x:c>
      <x:c r="C21" s="37" t="str">
        <x:v>A</x:v>
      </x:c>
      <x:c r="D21" s="37" t="str">
        <x:v>N</x:v>
      </x:c>
      <x:c r="E21" s="37" t="str">
        <x:v>2025-11-17 14:28:06</x:v>
      </x:c>
      <x:c r="F21" s="42" t="n">
        <x:v>5.99</x:v>
      </x:c>
      <x:c r="G21" s="37" t="str">
        <x:v>https://map.kakao.com/link/roadview/37.4015163,126.9234502</x:v>
      </x:c>
      <x:c r="H21" s="37" t="str">
        <x:v>https://map.kakao.com/?panoid=1202971188&amp;pan=326.1&amp;zoom=0&amp;map_type=TYPE_MAP&amp;map_attribute=ROADVIEW&amp;urlX=483066.0&amp;urlY=1083952.0</x:v>
      </x:c>
      <x:c r="I21" s="37" t="str">
        <x:v>Codex_AI_precheck_1</x:v>
      </x:c>
      <x:c r="J21" s="37" t="str">
        <x:v>2026-09-15</x:v>
      </x:c>
      <x:c r="K21" s="37" t="str">
        <x:v>판독불가</x:v>
      </x:c>
      <x:c r="L21" s="37" t="str">
        <x:v>판독불가</x:v>
      </x:c>
      <x:c r="M21" s="37" t="str">
        <x:v>차량/적치물가림</x:v>
      </x:c>
      <x:c r="N21" s="37" t="str">
        <x:v>unknown</x:v>
      </x:c>
      <x:c r="O21" s="37" t="str">
        <x:v>차량·적치물 또는 공사물로 핵심 시설이 가려짐</x:v>
      </x:c>
      <x:c r="P21" s="37" t="str"/>
      <x:c r="Q21" s="37" t="str"/>
      <x:c r="R21" s="37" t="str"/>
      <x:c r="S21" s="37" t="str"/>
      <x:c r="T21" s="37" t="str"/>
      <x:c r="U21" s="37" t="str"/>
      <x:c r="V21" s="37" t="str"/>
      <x:c r="W21" s="37" t="str">
        <x:v>판독불가</x:v>
      </x:c>
      <x:c r="X21" s="37" t="str">
        <x:v>판독불가</x:v>
      </x:c>
      <x:c r="Y21" s="37" t="str">
        <x:v>차량/적치물가림</x:v>
      </x:c>
      <x:c r="Z21" s="37" t="str">
        <x:v>unknown</x:v>
      </x:c>
      <x:c r="AA21" s="37" t="str">
        <x:v>차량·적치물 또는 공사물로 핵심 시설이 가려짐</x:v>
      </x:c>
      <x:c r="AB21" s="37" t="str">
        <x:v>occlusion_review_needed</x:v>
      </x:c>
      <x:c r="AC21" s="42" t="n">
        <x:v>0.52</x:v>
      </x:c>
      <x:c r="AD21" s="37" t="str">
        <x:v>Y</x:v>
      </x:c>
      <x:c r="AE21" s="44" t="str"/>
      <x:c r="AF21" s="37" t="str">
        <x:v>미반영(사람 승인 전)</x:v>
      </x:c>
    </x:row>
    <x:row r="22" ht="36" customHeight="1">
      <x:c r="A22" s="37" t="str">
        <x:v>CW08-B</x:v>
      </x:c>
      <x:c r="B22" s="37" t="str">
        <x:v>CW08</x:v>
      </x:c>
      <x:c r="C22" s="37" t="str">
        <x:v>B</x:v>
      </x:c>
      <x:c r="D22" s="37" t="str">
        <x:v>N</x:v>
      </x:c>
      <x:c r="E22" s="37" t="str">
        <x:v>2025-11-17 14:28:06</x:v>
      </x:c>
      <x:c r="F22" s="42" t="n">
        <x:v>1.9</x:v>
      </x:c>
      <x:c r="G22" s="37" t="str">
        <x:v>https://map.kakao.com/link/roadview/37.4015517,126.9235192</x:v>
      </x:c>
      <x:c r="H22" s="37" t="str">
        <x:v>https://map.kakao.com/?panoid=1202971188&amp;pan=326.1&amp;zoom=0&amp;map_type=TYPE_MAP&amp;map_attribute=ROADVIEW&amp;urlX=483066.0&amp;urlY=1083952.0</x:v>
      </x:c>
      <x:c r="I22" s="37" t="str">
        <x:v>Codex_AI_precheck_1</x:v>
      </x:c>
      <x:c r="J22" s="37" t="str">
        <x:v>2026-09-15</x:v>
      </x:c>
      <x:c r="K22" s="37" t="str">
        <x:v>판독불가</x:v>
      </x:c>
      <x:c r="L22" s="37" t="str">
        <x:v>판독불가</x:v>
      </x:c>
      <x:c r="M22" s="37" t="str">
        <x:v>시야불충분</x:v>
      </x:c>
      <x:c r="N22" s="37" t="str">
        <x:v>unknown</x:v>
      </x:c>
      <x:c r="O22" s="37" t="str">
        <x:v>착지부가 카메라 직하부·화면 밖에 있어 핵심 시설을 확인할 수 없음</x:v>
      </x:c>
      <x:c r="P22" s="37" t="str"/>
      <x:c r="Q22" s="37" t="str"/>
      <x:c r="R22" s="37" t="str"/>
      <x:c r="S22" s="37" t="str"/>
      <x:c r="T22" s="37" t="str"/>
      <x:c r="U22" s="37" t="str"/>
      <x:c r="V22" s="37" t="str"/>
      <x:c r="W22" s="37" t="str">
        <x:v>판독불가</x:v>
      </x:c>
      <x:c r="X22" s="37" t="str">
        <x:v>판독불가</x:v>
      </x:c>
      <x:c r="Y22" s="37" t="str">
        <x:v>시야불충분</x:v>
      </x:c>
      <x:c r="Z22" s="37" t="str">
        <x:v>unknown</x:v>
      </x:c>
      <x:c r="AA22" s="37" t="str">
        <x:v>착지부가 카메라 직하부·화면 밖에 있어 핵심 시설을 확인할 수 없음</x:v>
      </x:c>
      <x:c r="AB22" s="37" t="str">
        <x:v>visibility_review_needed</x:v>
      </x:c>
      <x:c r="AC22" s="42" t="n">
        <x:v>0.52</x:v>
      </x:c>
      <x:c r="AD22" s="37" t="str">
        <x:v>Y</x:v>
      </x:c>
      <x:c r="AE22" s="44" t="str"/>
      <x:c r="AF22" s="37" t="str">
        <x:v>미반영(사람 승인 전)</x:v>
      </x:c>
    </x:row>
    <x:row r="23" ht="36" customHeight="1">
      <x:c r="A23" s="37" t="str">
        <x:v>CW09-A</x:v>
      </x:c>
      <x:c r="B23" s="37" t="str">
        <x:v>CW09</x:v>
      </x:c>
      <x:c r="C23" s="37" t="str">
        <x:v>A</x:v>
      </x:c>
      <x:c r="D23" s="37" t="str">
        <x:v>Y</x:v>
      </x:c>
      <x:c r="E23" s="37" t="str">
        <x:v>2025-11-18 11:48:15</x:v>
      </x:c>
      <x:c r="F23" s="42" t="n">
        <x:v>5.53</x:v>
      </x:c>
      <x:c r="G23" s="37" t="str">
        <x:v>https://map.kakao.com/link/roadview/37.4012456,126.9222473</x:v>
      </x:c>
      <x:c r="H23" s="37" t="str">
        <x:v>https://map.kakao.com/?panoid=1202871501&amp;pan=287.0&amp;zoom=0&amp;map_type=TYPE_MAP&amp;map_attribute=ROADVIEW&amp;urlX=482792.0&amp;urlY=1083853.0</x:v>
      </x:c>
      <x:c r="I23" s="37" t="str">
        <x:v>Codex_AI_precheck_1</x:v>
      </x:c>
      <x:c r="J23" s="37" t="str">
        <x:v>2026-09-15</x:v>
      </x:c>
      <x:c r="K23" s="37" t="str">
        <x:v>판독불가</x:v>
      </x:c>
      <x:c r="L23" s="37" t="str">
        <x:v>판독불가</x:v>
      </x:c>
      <x:c r="M23" s="37" t="str">
        <x:v>지오메트리불일치</x:v>
      </x:c>
      <x:c r="N23" s="37" t="str">
        <x:v>unknown</x:v>
      </x:c>
      <x:c r="O23" s="37" t="str">
        <x:v>접근부 추정점과 영상의 실제 횡단 착지부가 정합하지 않음</x:v>
      </x:c>
      <x:c r="P23" s="37" t="str">
        <x:v>Codex_AI_precheck_2</x:v>
      </x:c>
      <x:c r="Q23" s="37" t="str">
        <x:v>2026-09-15</x:v>
      </x:c>
      <x:c r="R23" s="37" t="str">
        <x:v>판독불가</x:v>
      </x:c>
      <x:c r="S23" s="37" t="str">
        <x:v>판독불가</x:v>
      </x:c>
      <x:c r="T23" s="37" t="str">
        <x:v>지오메트리불일치</x:v>
      </x:c>
      <x:c r="U23" s="37" t="str">
        <x:v>unknown</x:v>
      </x:c>
      <x:c r="V23" s="37" t="str">
        <x:v>접근부 추정점과 영상의 실제 횡단 착지부가 정합하지 않음</x:v>
      </x:c>
      <x:c r="W23" s="37" t="str">
        <x:v>판독불가</x:v>
      </x:c>
      <x:c r="X23" s="37" t="str">
        <x:v>판독불가</x:v>
      </x:c>
      <x:c r="Y23" s="37" t="str">
        <x:v>지오메트리불일치</x:v>
      </x:c>
      <x:c r="Z23" s="37" t="str">
        <x:v>unknown</x:v>
      </x:c>
      <x:c r="AA23" s="37" t="str">
        <x:v>접근부 추정점과 영상의 실제 횡단 착지부가 정합하지 않음</x:v>
      </x:c>
      <x:c r="AB23" s="37" t="str">
        <x:v>geometry_mismatch_candidate</x:v>
      </x:c>
      <x:c r="AC23" s="42" t="n">
        <x:v>0.58</x:v>
      </x:c>
      <x:c r="AD23" s="37" t="str">
        <x:v>Y</x:v>
      </x:c>
      <x:c r="AE23" s="44" t="str"/>
      <x:c r="AF23" s="37" t="str">
        <x:v>미반영(사람 승인 전)</x:v>
      </x:c>
    </x:row>
    <x:row r="24" ht="36" customHeight="1">
      <x:c r="A24" s="37" t="str">
        <x:v>CW09-B</x:v>
      </x:c>
      <x:c r="B24" s="37" t="str">
        <x:v>CW09</x:v>
      </x:c>
      <x:c r="C24" s="37" t="str">
        <x:v>B</x:v>
      </x:c>
      <x:c r="D24" s="37" t="str">
        <x:v>Y</x:v>
      </x:c>
      <x:c r="E24" s="37" t="str">
        <x:v>2025-12-01 13:09:18</x:v>
      </x:c>
      <x:c r="F24" s="42" t="n">
        <x:v>6.57</x:v>
      </x:c>
      <x:c r="G24" s="37" t="str">
        <x:v>https://map.kakao.com/link/roadview/37.4012922,126.9223251</x:v>
      </x:c>
      <x:c r="H24" s="37" t="str">
        <x:v>https://map.kakao.com/?panoid=1203476172&amp;pan=320.5&amp;zoom=0&amp;map_type=TYPE_MAP&amp;map_attribute=ROADVIEW&amp;urlX=482806.0&amp;urlY=1083863.0</x:v>
      </x:c>
      <x:c r="I24" s="37" t="str">
        <x:v>Codex_AI_precheck_1</x:v>
      </x:c>
      <x:c r="J24" s="37" t="str">
        <x:v>2026-09-15</x:v>
      </x:c>
      <x:c r="K24" s="37" t="str">
        <x:v>판독불가</x:v>
      </x:c>
      <x:c r="L24" s="37" t="str">
        <x:v>판독불가</x:v>
      </x:c>
      <x:c r="M24" s="37" t="str">
        <x:v>지오메트리불일치</x:v>
      </x:c>
      <x:c r="N24" s="37" t="str">
        <x:v>unknown</x:v>
      </x:c>
      <x:c r="O24" s="37" t="str">
        <x:v>접근부 추정점과 영상의 실제 횡단 착지부가 정합하지 않음</x:v>
      </x:c>
      <x:c r="P24" s="37" t="str">
        <x:v>Codex_AI_precheck_2</x:v>
      </x:c>
      <x:c r="Q24" s="37" t="str">
        <x:v>2026-09-15</x:v>
      </x:c>
      <x:c r="R24" s="37" t="str">
        <x:v>판독불가</x:v>
      </x:c>
      <x:c r="S24" s="37" t="str">
        <x:v>판독불가</x:v>
      </x:c>
      <x:c r="T24" s="37" t="str">
        <x:v>지오메트리불일치</x:v>
      </x:c>
      <x:c r="U24" s="37" t="str">
        <x:v>unknown</x:v>
      </x:c>
      <x:c r="V24" s="37" t="str">
        <x:v>접근부 추정점과 영상의 실제 횡단 착지부가 정합하지 않음</x:v>
      </x:c>
      <x:c r="W24" s="37" t="str">
        <x:v>판독불가</x:v>
      </x:c>
      <x:c r="X24" s="37" t="str">
        <x:v>판독불가</x:v>
      </x:c>
      <x:c r="Y24" s="37" t="str">
        <x:v>지오메트리불일치</x:v>
      </x:c>
      <x:c r="Z24" s="37" t="str">
        <x:v>unknown</x:v>
      </x:c>
      <x:c r="AA24" s="37" t="str">
        <x:v>접근부 추정점과 영상의 실제 횡단 착지부가 정합하지 않음</x:v>
      </x:c>
      <x:c r="AB24" s="37" t="str">
        <x:v>geometry_mismatch_candidate</x:v>
      </x:c>
      <x:c r="AC24" s="42" t="n">
        <x:v>0.58</x:v>
      </x:c>
      <x:c r="AD24" s="37" t="str">
        <x:v>Y</x:v>
      </x:c>
      <x:c r="AE24" s="44" t="str"/>
      <x:c r="AF24" s="37" t="str">
        <x:v>미반영(사람 승인 전)</x:v>
      </x:c>
    </x:row>
    <x:row r="25" ht="36" customHeight="1">
      <x:c r="A25" s="37" t="str">
        <x:v>CW10-A</x:v>
      </x:c>
      <x:c r="B25" s="37" t="str">
        <x:v>CW10</x:v>
      </x:c>
      <x:c r="C25" s="37" t="str">
        <x:v>A</x:v>
      </x:c>
      <x:c r="D25" s="37" t="str">
        <x:v>N</x:v>
      </x:c>
      <x:c r="E25" s="37" t="str">
        <x:v>2025-11-17 14:28:00</x:v>
      </x:c>
      <x:c r="F25" s="42" t="n">
        <x:v>5.56</x:v>
      </x:c>
      <x:c r="G25" s="37" t="str">
        <x:v>https://map.kakao.com/link/roadview/37.4012278,126.9236803</x:v>
      </x:c>
      <x:c r="H25" s="37" t="str">
        <x:v>https://map.kakao.com/?panoid=1202971184&amp;pan=327.6&amp;zoom=0&amp;map_type=TYPE_MAP&amp;map_attribute=ROADVIEW&amp;urlX=483119.0&amp;urlY=1083867.0</x:v>
      </x:c>
      <x:c r="I25" s="37" t="str">
        <x:v>Codex_AI_precheck_1</x:v>
      </x:c>
      <x:c r="J25" s="37" t="str">
        <x:v>2026-09-15</x:v>
      </x:c>
      <x:c r="K25" s="37" t="str">
        <x:v>판독불가</x:v>
      </x:c>
      <x:c r="L25" s="37" t="str">
        <x:v>판독불가</x:v>
      </x:c>
      <x:c r="M25" s="37" t="str">
        <x:v>차량/적치물가림</x:v>
      </x:c>
      <x:c r="N25" s="37" t="str">
        <x:v>unknown</x:v>
      </x:c>
      <x:c r="O25" s="37" t="str">
        <x:v>차량·적치물 또는 공사물로 핵심 시설이 가려짐</x:v>
      </x:c>
      <x:c r="P25" s="37" t="str"/>
      <x:c r="Q25" s="37" t="str"/>
      <x:c r="R25" s="37" t="str"/>
      <x:c r="S25" s="37" t="str"/>
      <x:c r="T25" s="37" t="str"/>
      <x:c r="U25" s="37" t="str"/>
      <x:c r="V25" s="37" t="str"/>
      <x:c r="W25" s="37" t="str">
        <x:v>판독불가</x:v>
      </x:c>
      <x:c r="X25" s="37" t="str">
        <x:v>판독불가</x:v>
      </x:c>
      <x:c r="Y25" s="37" t="str">
        <x:v>차량/적치물가림</x:v>
      </x:c>
      <x:c r="Z25" s="37" t="str">
        <x:v>unknown</x:v>
      </x:c>
      <x:c r="AA25" s="37" t="str">
        <x:v>차량·적치물 또는 공사물로 핵심 시설이 가려짐</x:v>
      </x:c>
      <x:c r="AB25" s="37" t="str">
        <x:v>occlusion_review_needed</x:v>
      </x:c>
      <x:c r="AC25" s="42" t="n">
        <x:v>0.52</x:v>
      </x:c>
      <x:c r="AD25" s="37" t="str">
        <x:v>Y</x:v>
      </x:c>
      <x:c r="AE25" s="44" t="str"/>
      <x:c r="AF25" s="37" t="str">
        <x:v>미반영(사람 승인 전)</x:v>
      </x:c>
    </x:row>
    <x:row r="26" ht="36" customHeight="1">
      <x:c r="A26" s="37" t="str">
        <x:v>CW10-B</x:v>
      </x:c>
      <x:c r="B26" s="37" t="str">
        <x:v>CW10</x:v>
      </x:c>
      <x:c r="C26" s="37" t="str">
        <x:v>B</x:v>
      </x:c>
      <x:c r="D26" s="37" t="str">
        <x:v>N</x:v>
      </x:c>
      <x:c r="E26" s="37" t="str">
        <x:v>2025-11-17 14:28:00</x:v>
      </x:c>
      <x:c r="F26" s="42" t="n">
        <x:v>4.13</x:v>
      </x:c>
      <x:c r="G26" s="37" t="str">
        <x:v>https://map.kakao.com/link/roadview/37.4012772,126.9237673</x:v>
      </x:c>
      <x:c r="H26" s="37" t="str">
        <x:v>https://map.kakao.com/?panoid=1202971184&amp;pan=327.6&amp;zoom=0&amp;map_type=TYPE_MAP&amp;map_attribute=ROADVIEW&amp;urlX=483119.0&amp;urlY=1083867.0</x:v>
      </x:c>
      <x:c r="I26" s="37" t="str">
        <x:v>Codex_AI_precheck_1</x:v>
      </x:c>
      <x:c r="J26" s="37" t="str">
        <x:v>2026-09-15</x:v>
      </x:c>
      <x:c r="K26" s="37" t="str">
        <x:v>있음</x:v>
      </x:c>
      <x:c r="L26" s="37" t="str">
        <x:v>없음</x:v>
      </x:c>
      <x:c r="M26" s="37" t="str">
        <x:v>없음</x:v>
      </x:c>
      <x:c r="N26" s="37" t="str">
        <x:v>block</x:v>
      </x:c>
      <x:c r="O26" s="37" t="str">
        <x:v>횡단 지점은 보이지만 점자블록이 보이지 않음</x:v>
      </x:c>
      <x:c r="P26" s="37" t="str"/>
      <x:c r="Q26" s="37" t="str"/>
      <x:c r="R26" s="37" t="str"/>
      <x:c r="S26" s="37" t="str"/>
      <x:c r="T26" s="37" t="str"/>
      <x:c r="U26" s="37" t="str"/>
      <x:c r="V26" s="37" t="str"/>
      <x:c r="W26" s="37" t="str">
        <x:v>있음</x:v>
      </x:c>
      <x:c r="X26" s="37" t="str">
        <x:v>없음</x:v>
      </x:c>
      <x:c r="Y26" s="37" t="str">
        <x:v>없음</x:v>
      </x:c>
      <x:c r="Z26" s="37" t="str">
        <x:v>block</x:v>
      </x:c>
      <x:c r="AA26" s="37" t="str">
        <x:v>횡단 지점은 보이지만 점자블록이 보이지 않음</x:v>
      </x:c>
      <x:c r="AB26" s="37" t="str">
        <x:v>tactile_absent_candidate</x:v>
      </x:c>
      <x:c r="AC26" s="42" t="n">
        <x:v>0.76</x:v>
      </x:c>
      <x:c r="AD26" s="37" t="str">
        <x:v>Y</x:v>
      </x:c>
      <x:c r="AE26" s="44" t="str"/>
      <x:c r="AF26" s="37" t="str">
        <x:v>미반영(사람 승인 전)</x:v>
      </x:c>
    </x:row>
    <x:row r="27" ht="36" customHeight="1">
      <x:c r="A27" s="37" t="str">
        <x:v>CW11-A</x:v>
      </x:c>
      <x:c r="B27" s="37" t="str">
        <x:v>CW11</x:v>
      </x:c>
      <x:c r="C27" s="37" t="str">
        <x:v>A</x:v>
      </x:c>
      <x:c r="D27" s="37" t="str">
        <x:v>N</x:v>
      </x:c>
      <x:c r="E27" s="37" t="str">
        <x:v>2025-11-18 14:46:16</x:v>
      </x:c>
      <x:c r="F27" s="42" t="n">
        <x:v>13.98</x:v>
      </x:c>
      <x:c r="G27" s="37" t="str">
        <x:v>https://map.kakao.com/link/roadview/37.4010194,126.9226935</x:v>
      </x:c>
      <x:c r="H27" s="37" t="str">
        <x:v>https://map.kakao.com/?panoid=1202874755&amp;pan=320.5&amp;zoom=0&amp;map_type=TYPE_MAP&amp;map_attribute=ROADVIEW&amp;urlX=482856.0&amp;urlY=1083789.0</x:v>
      </x:c>
      <x:c r="I27" s="37" t="str">
        <x:v>Codex_AI_precheck_1</x:v>
      </x:c>
      <x:c r="J27" s="37" t="str">
        <x:v>2026-09-15</x:v>
      </x:c>
      <x:c r="K27" s="37" t="str">
        <x:v>판독불가</x:v>
      </x:c>
      <x:c r="L27" s="37" t="str">
        <x:v>판독불가</x:v>
      </x:c>
      <x:c r="M27" s="37" t="str">
        <x:v>지오메트리불일치</x:v>
      </x:c>
      <x:c r="N27" s="37" t="str">
        <x:v>unknown</x:v>
      </x:c>
      <x:c r="O27" s="37" t="str">
        <x:v>접근부 추정점과 영상의 실제 횡단 착지부가 정합하지 않음</x:v>
      </x:c>
      <x:c r="P27" s="37" t="str"/>
      <x:c r="Q27" s="37" t="str"/>
      <x:c r="R27" s="37" t="str"/>
      <x:c r="S27" s="37" t="str"/>
      <x:c r="T27" s="37" t="str"/>
      <x:c r="U27" s="37" t="str"/>
      <x:c r="V27" s="37" t="str"/>
      <x:c r="W27" s="37" t="str">
        <x:v>판독불가</x:v>
      </x:c>
      <x:c r="X27" s="37" t="str">
        <x:v>판독불가</x:v>
      </x:c>
      <x:c r="Y27" s="37" t="str">
        <x:v>지오메트리불일치</x:v>
      </x:c>
      <x:c r="Z27" s="37" t="str">
        <x:v>unknown</x:v>
      </x:c>
      <x:c r="AA27" s="37" t="str">
        <x:v>접근부 추정점과 영상의 실제 횡단 착지부가 정합하지 않음</x:v>
      </x:c>
      <x:c r="AB27" s="37" t="str">
        <x:v>geometry_mismatch_candidate</x:v>
      </x:c>
      <x:c r="AC27" s="42" t="n">
        <x:v>0.58</x:v>
      </x:c>
      <x:c r="AD27" s="37" t="str">
        <x:v>Y</x:v>
      </x:c>
      <x:c r="AE27" s="44" t="str"/>
      <x:c r="AF27" s="37" t="str">
        <x:v>미반영(사람 승인 전)</x:v>
      </x:c>
    </x:row>
    <x:row r="28" ht="36" customHeight="1">
      <x:c r="A28" s="37" t="str">
        <x:v>CW11-B</x:v>
      </x:c>
      <x:c r="B28" s="37" t="str">
        <x:v>CW11</x:v>
      </x:c>
      <x:c r="C28" s="37" t="str">
        <x:v>B</x:v>
      </x:c>
      <x:c r="D28" s="37" t="str">
        <x:v>N</x:v>
      </x:c>
      <x:c r="E28" s="37" t="str">
        <x:v>2025-11-18 14:46:16</x:v>
      </x:c>
      <x:c r="F28" s="42" t="n">
        <x:v>18.48</x:v>
      </x:c>
      <x:c r="G28" s="37" t="str">
        <x:v>https://map.kakao.com/link/roadview/37.4010441,126.9227349</x:v>
      </x:c>
      <x:c r="H28" s="37" t="str">
        <x:v>https://map.kakao.com/?panoid=1202874755&amp;pan=320.5&amp;zoom=0&amp;map_type=TYPE_MAP&amp;map_attribute=ROADVIEW&amp;urlX=482856.0&amp;urlY=1083789.0</x:v>
      </x:c>
      <x:c r="I28" s="37" t="str">
        <x:v>Codex_AI_precheck_1</x:v>
      </x:c>
      <x:c r="J28" s="37" t="str">
        <x:v>2026-09-15</x:v>
      </x:c>
      <x:c r="K28" s="37" t="str">
        <x:v>판독불가</x:v>
      </x:c>
      <x:c r="L28" s="37" t="str">
        <x:v>판독불가</x:v>
      </x:c>
      <x:c r="M28" s="37" t="str">
        <x:v>지오메트리불일치</x:v>
      </x:c>
      <x:c r="N28" s="37" t="str">
        <x:v>unknown</x:v>
      </x:c>
      <x:c r="O28" s="37" t="str">
        <x:v>접근부 추정점과 영상의 실제 횡단 착지부가 정합하지 않음</x:v>
      </x:c>
      <x:c r="P28" s="37" t="str"/>
      <x:c r="Q28" s="37" t="str"/>
      <x:c r="R28" s="37" t="str"/>
      <x:c r="S28" s="37" t="str"/>
      <x:c r="T28" s="37" t="str"/>
      <x:c r="U28" s="37" t="str"/>
      <x:c r="V28" s="37" t="str"/>
      <x:c r="W28" s="37" t="str">
        <x:v>판독불가</x:v>
      </x:c>
      <x:c r="X28" s="37" t="str">
        <x:v>판독불가</x:v>
      </x:c>
      <x:c r="Y28" s="37" t="str">
        <x:v>지오메트리불일치</x:v>
      </x:c>
      <x:c r="Z28" s="37" t="str">
        <x:v>unknown</x:v>
      </x:c>
      <x:c r="AA28" s="37" t="str">
        <x:v>접근부 추정점과 영상의 실제 횡단 착지부가 정합하지 않음</x:v>
      </x:c>
      <x:c r="AB28" s="37" t="str">
        <x:v>geometry_mismatch_candidate</x:v>
      </x:c>
      <x:c r="AC28" s="42" t="n">
        <x:v>0.58</x:v>
      </x:c>
      <x:c r="AD28" s="37" t="str">
        <x:v>Y</x:v>
      </x:c>
      <x:c r="AE28" s="44" t="str"/>
      <x:c r="AF28" s="37" t="str">
        <x:v>미반영(사람 승인 전)</x:v>
      </x:c>
    </x:row>
    <x:row r="29" ht="36" customHeight="1">
      <x:c r="A29" s="37" t="str">
        <x:v>CW12-A</x:v>
      </x:c>
      <x:c r="B29" s="37" t="str">
        <x:v>CW12</x:v>
      </x:c>
      <x:c r="C29" s="37" t="str">
        <x:v>A</x:v>
      </x:c>
      <x:c r="D29" s="37" t="str">
        <x:v>Y</x:v>
      </x:c>
      <x:c r="E29" s="37" t="str">
        <x:v>2025-11-18 14:46:16</x:v>
      </x:c>
      <x:c r="F29" s="42" t="n">
        <x:v>8.94</x:v>
      </x:c>
      <x:c r="G29" s="37" t="str">
        <x:v>https://map.kakao.com/link/roadview/37.4009933,126.9226452</x:v>
      </x:c>
      <x:c r="H29" s="37" t="str">
        <x:v>https://map.kakao.com/?panoid=1202874755&amp;pan=320.5&amp;zoom=0&amp;map_type=TYPE_MAP&amp;map_attribute=ROADVIEW&amp;urlX=482856.0&amp;urlY=1083789.0</x:v>
      </x:c>
      <x:c r="I29" s="37" t="str">
        <x:v>Codex_AI_precheck_1</x:v>
      </x:c>
      <x:c r="J29" s="37" t="str">
        <x:v>2026-09-15</x:v>
      </x:c>
      <x:c r="K29" s="37" t="str">
        <x:v>판독불가</x:v>
      </x:c>
      <x:c r="L29" s="37" t="str">
        <x:v>판독불가</x:v>
      </x:c>
      <x:c r="M29" s="37" t="str">
        <x:v>지오메트리불일치</x:v>
      </x:c>
      <x:c r="N29" s="37" t="str">
        <x:v>unknown</x:v>
      </x:c>
      <x:c r="O29" s="37" t="str">
        <x:v>접근부 추정점과 영상의 실제 횡단 착지부가 정합하지 않음</x:v>
      </x:c>
      <x:c r="P29" s="37" t="str">
        <x:v>Codex_AI_precheck_2</x:v>
      </x:c>
      <x:c r="Q29" s="37" t="str">
        <x:v>2026-09-15</x:v>
      </x:c>
      <x:c r="R29" s="37" t="str">
        <x:v>판독불가</x:v>
      </x:c>
      <x:c r="S29" s="37" t="str">
        <x:v>판독불가</x:v>
      </x:c>
      <x:c r="T29" s="37" t="str">
        <x:v>지오메트리불일치</x:v>
      </x:c>
      <x:c r="U29" s="37" t="str">
        <x:v>unknown</x:v>
      </x:c>
      <x:c r="V29" s="37" t="str">
        <x:v>접근부 추정점과 영상의 실제 횡단 착지부가 정합하지 않음</x:v>
      </x:c>
      <x:c r="W29" s="37" t="str">
        <x:v>판독불가</x:v>
      </x:c>
      <x:c r="X29" s="37" t="str">
        <x:v>판독불가</x:v>
      </x:c>
      <x:c r="Y29" s="37" t="str">
        <x:v>지오메트리불일치</x:v>
      </x:c>
      <x:c r="Z29" s="37" t="str">
        <x:v>unknown</x:v>
      </x:c>
      <x:c r="AA29" s="37" t="str">
        <x:v>접근부 추정점과 영상의 실제 횡단 착지부가 정합하지 않음</x:v>
      </x:c>
      <x:c r="AB29" s="37" t="str">
        <x:v>geometry_mismatch_candidate</x:v>
      </x:c>
      <x:c r="AC29" s="42" t="n">
        <x:v>0.58</x:v>
      </x:c>
      <x:c r="AD29" s="37" t="str">
        <x:v>Y</x:v>
      </x:c>
      <x:c r="AE29" s="44" t="str"/>
      <x:c r="AF29" s="37" t="str">
        <x:v>미반영(사람 승인 전)</x:v>
      </x:c>
    </x:row>
    <x:row r="30" ht="36" customHeight="1">
      <x:c r="A30" s="37" t="str">
        <x:v>CW12-B</x:v>
      </x:c>
      <x:c r="B30" s="37" t="str">
        <x:v>CW12</x:v>
      </x:c>
      <x:c r="C30" s="37" t="str">
        <x:v>B</x:v>
      </x:c>
      <x:c r="D30" s="37" t="str">
        <x:v>Y</x:v>
      </x:c>
      <x:c r="E30" s="37" t="str">
        <x:v>2025-11-18 14:46:16</x:v>
      </x:c>
      <x:c r="F30" s="42" t="n">
        <x:v>12.22</x:v>
      </x:c>
      <x:c r="G30" s="37" t="str">
        <x:v>https://map.kakao.com/link/roadview/37.4010116,126.9226760</x:v>
      </x:c>
      <x:c r="H30" s="37" t="str">
        <x:v>https://map.kakao.com/?panoid=1202874755&amp;pan=320.5&amp;zoom=0&amp;map_type=TYPE_MAP&amp;map_attribute=ROADVIEW&amp;urlX=482856.0&amp;urlY=1083789.0</x:v>
      </x:c>
      <x:c r="I30" s="37" t="str">
        <x:v>Codex_AI_precheck_1</x:v>
      </x:c>
      <x:c r="J30" s="37" t="str">
        <x:v>2026-09-15</x:v>
      </x:c>
      <x:c r="K30" s="37" t="str">
        <x:v>판독불가</x:v>
      </x:c>
      <x:c r="L30" s="37" t="str">
        <x:v>판독불가</x:v>
      </x:c>
      <x:c r="M30" s="37" t="str">
        <x:v>지오메트리불일치</x:v>
      </x:c>
      <x:c r="N30" s="37" t="str">
        <x:v>unknown</x:v>
      </x:c>
      <x:c r="O30" s="37" t="str">
        <x:v>접근부 추정점과 영상의 실제 횡단 착지부가 정합하지 않음</x:v>
      </x:c>
      <x:c r="P30" s="37" t="str">
        <x:v>Codex_AI_precheck_2</x:v>
      </x:c>
      <x:c r="Q30" s="37" t="str">
        <x:v>2026-09-15</x:v>
      </x:c>
      <x:c r="R30" s="37" t="str">
        <x:v>판독불가</x:v>
      </x:c>
      <x:c r="S30" s="37" t="str">
        <x:v>판독불가</x:v>
      </x:c>
      <x:c r="T30" s="37" t="str">
        <x:v>지오메트리불일치</x:v>
      </x:c>
      <x:c r="U30" s="37" t="str">
        <x:v>unknown</x:v>
      </x:c>
      <x:c r="V30" s="37" t="str">
        <x:v>접근부 추정점과 영상의 실제 횡단 착지부가 정합하지 않음</x:v>
      </x:c>
      <x:c r="W30" s="37" t="str">
        <x:v>판독불가</x:v>
      </x:c>
      <x:c r="X30" s="37" t="str">
        <x:v>판독불가</x:v>
      </x:c>
      <x:c r="Y30" s="37" t="str">
        <x:v>지오메트리불일치</x:v>
      </x:c>
      <x:c r="Z30" s="37" t="str">
        <x:v>unknown</x:v>
      </x:c>
      <x:c r="AA30" s="37" t="str">
        <x:v>접근부 추정점과 영상의 실제 횡단 착지부가 정합하지 않음</x:v>
      </x:c>
      <x:c r="AB30" s="37" t="str">
        <x:v>geometry_mismatch_candidate</x:v>
      </x:c>
      <x:c r="AC30" s="42" t="n">
        <x:v>0.58</x:v>
      </x:c>
      <x:c r="AD30" s="37" t="str">
        <x:v>Y</x:v>
      </x:c>
      <x:c r="AE30" s="44" t="str"/>
      <x:c r="AF30" s="37" t="str">
        <x:v>미반영(사람 승인 전)</x:v>
      </x:c>
    </x:row>
    <x:row r="31" ht="36" customHeight="1">
      <x:c r="A31" s="37" t="str">
        <x:v>CW13-A</x:v>
      </x:c>
      <x:c r="B31" s="37" t="str">
        <x:v>CW13</x:v>
      </x:c>
      <x:c r="C31" s="37" t="str">
        <x:v>A</x:v>
      </x:c>
      <x:c r="D31" s="37" t="str">
        <x:v>N</x:v>
      </x:c>
      <x:c r="E31" s="37" t="str">
        <x:v>2025-11-18 15:01:57</x:v>
      </x:c>
      <x:c r="F31" s="42" t="n">
        <x:v>5.85</x:v>
      </x:c>
      <x:c r="G31" s="37" t="str">
        <x:v>https://map.kakao.com/link/roadview/37.4008374,126.9219404</x:v>
      </x:c>
      <x:c r="H31" s="37" t="str">
        <x:v>https://map.kakao.com/?panoid=1202874946&amp;pan=70.6&amp;zoom=0&amp;map_type=TYPE_MAP&amp;map_attribute=ROADVIEW&amp;urlX=482731.0&amp;urlY=1083764.0</x:v>
      </x:c>
      <x:c r="I31" s="37" t="str">
        <x:v>Codex_AI_precheck_1</x:v>
      </x:c>
      <x:c r="J31" s="37" t="str">
        <x:v>2026-09-15</x:v>
      </x:c>
      <x:c r="K31" s="37" t="str">
        <x:v>판독불가</x:v>
      </x:c>
      <x:c r="L31" s="37" t="str">
        <x:v>판독불가</x:v>
      </x:c>
      <x:c r="M31" s="37" t="str">
        <x:v>지오메트리불일치</x:v>
      </x:c>
      <x:c r="N31" s="37" t="str">
        <x:v>unknown</x:v>
      </x:c>
      <x:c r="O31" s="37" t="str">
        <x:v>접근부 추정점과 영상의 실제 횡단 착지부가 정합하지 않음</x:v>
      </x:c>
      <x:c r="P31" s="37" t="str"/>
      <x:c r="Q31" s="37" t="str"/>
      <x:c r="R31" s="37" t="str"/>
      <x:c r="S31" s="37" t="str"/>
      <x:c r="T31" s="37" t="str"/>
      <x:c r="U31" s="37" t="str"/>
      <x:c r="V31" s="37" t="str"/>
      <x:c r="W31" s="37" t="str">
        <x:v>판독불가</x:v>
      </x:c>
      <x:c r="X31" s="37" t="str">
        <x:v>판독불가</x:v>
      </x:c>
      <x:c r="Y31" s="37" t="str">
        <x:v>지오메트리불일치</x:v>
      </x:c>
      <x:c r="Z31" s="37" t="str">
        <x:v>unknown</x:v>
      </x:c>
      <x:c r="AA31" s="37" t="str">
        <x:v>접근부 추정점과 영상의 실제 횡단 착지부가 정합하지 않음</x:v>
      </x:c>
      <x:c r="AB31" s="37" t="str">
        <x:v>geometry_mismatch_candidate</x:v>
      </x:c>
      <x:c r="AC31" s="42" t="n">
        <x:v>0.58</x:v>
      </x:c>
      <x:c r="AD31" s="37" t="str">
        <x:v>Y</x:v>
      </x:c>
      <x:c r="AE31" s="44" t="str"/>
      <x:c r="AF31" s="37" t="str">
        <x:v>미반영(사람 승인 전)</x:v>
      </x:c>
    </x:row>
    <x:row r="32" ht="36" customHeight="1">
      <x:c r="A32" s="37" t="str">
        <x:v>CW13-B</x:v>
      </x:c>
      <x:c r="B32" s="37" t="str">
        <x:v>CW13</x:v>
      </x:c>
      <x:c r="C32" s="37" t="str">
        <x:v>B</x:v>
      </x:c>
      <x:c r="D32" s="37" t="str">
        <x:v>N</x:v>
      </x:c>
      <x:c r="E32" s="37" t="str">
        <x:v>2025-11-18 11:52:27</x:v>
      </x:c>
      <x:c r="F32" s="42" t="n">
        <x:v>4.31</x:v>
      </x:c>
      <x:c r="G32" s="37" t="str">
        <x:v>https://map.kakao.com/link/roadview/37.4008946,126.9218134</x:v>
      </x:c>
      <x:c r="H32" s="37" t="str">
        <x:v>https://map.kakao.com/?panoid=1202871529&amp;pan=231.4&amp;zoom=0&amp;map_type=TYPE_MAP&amp;map_attribute=ROADVIEW&amp;urlX=482700.0&amp;urlY=1083761.0</x:v>
      </x:c>
      <x:c r="I32" s="37" t="str">
        <x:v>Codex_AI_precheck_1</x:v>
      </x:c>
      <x:c r="J32" s="37" t="str">
        <x:v>2026-09-15</x:v>
      </x:c>
      <x:c r="K32" s="37" t="str">
        <x:v>있음</x:v>
      </x:c>
      <x:c r="L32" s="37" t="str">
        <x:v>없음</x:v>
      </x:c>
      <x:c r="M32" s="37" t="str">
        <x:v>없음</x:v>
      </x:c>
      <x:c r="N32" s="37" t="str">
        <x:v>block</x:v>
      </x:c>
      <x:c r="O32" s="37" t="str">
        <x:v>경사로는 보이나 점자블록이 보이지 않음</x:v>
      </x:c>
      <x:c r="P32" s="37" t="str"/>
      <x:c r="Q32" s="37" t="str"/>
      <x:c r="R32" s="37" t="str"/>
      <x:c r="S32" s="37" t="str"/>
      <x:c r="T32" s="37" t="str"/>
      <x:c r="U32" s="37" t="str"/>
      <x:c r="V32" s="37" t="str"/>
      <x:c r="W32" s="37" t="str">
        <x:v>있음</x:v>
      </x:c>
      <x:c r="X32" s="37" t="str">
        <x:v>없음</x:v>
      </x:c>
      <x:c r="Y32" s="37" t="str">
        <x:v>없음</x:v>
      </x:c>
      <x:c r="Z32" s="37" t="str">
        <x:v>block</x:v>
      </x:c>
      <x:c r="AA32" s="37" t="str">
        <x:v>경사로는 보이나 점자블록이 보이지 않음</x:v>
      </x:c>
      <x:c r="AB32" s="37" t="str">
        <x:v>tactile_absent_candidate</x:v>
      </x:c>
      <x:c r="AC32" s="42" t="n">
        <x:v>0.76</x:v>
      </x:c>
      <x:c r="AD32" s="37" t="str">
        <x:v>Y</x:v>
      </x:c>
      <x:c r="AE32" s="44" t="str"/>
      <x:c r="AF32" s="37" t="str">
        <x:v>미반영(사람 승인 전)</x:v>
      </x:c>
    </x:row>
    <x:row r="33" ht="36" customHeight="1">
      <x:c r="A33" s="37" t="str">
        <x:v>CW14-A</x:v>
      </x:c>
      <x:c r="B33" s="37" t="str">
        <x:v>CW14</x:v>
      </x:c>
      <x:c r="C33" s="37" t="str">
        <x:v>A</x:v>
      </x:c>
      <x:c r="D33" s="37" t="str">
        <x:v>Y</x:v>
      </x:c>
      <x:c r="E33" s="37" t="str">
        <x:v>2025-11-18 14:45:30</x:v>
      </x:c>
      <x:c r="F33" s="42" t="n">
        <x:v>11.15</x:v>
      </x:c>
      <x:c r="G33" s="37" t="str">
        <x:v>https://map.kakao.com/link/roadview/37.3995142,126.9238085</x:v>
      </x:c>
      <x:c r="H33" s="37" t="str">
        <x:v>https://map.kakao.com/?panoid=1202874714&amp;pan=322.6&amp;zoom=0&amp;map_type=TYPE_MAP&amp;map_attribute=ROADVIEW&amp;urlX=483161.0&amp;urlY=1083394.0</x:v>
      </x:c>
      <x:c r="I33" s="37" t="str">
        <x:v>Codex_AI_precheck_1</x:v>
      </x:c>
      <x:c r="J33" s="37" t="str">
        <x:v>2026-09-15</x:v>
      </x:c>
      <x:c r="K33" s="37" t="str">
        <x:v>있음</x:v>
      </x:c>
      <x:c r="L33" s="37" t="str">
        <x:v>있음</x:v>
      </x:c>
      <x:c r="M33" s="37" t="str">
        <x:v>없음</x:v>
      </x:c>
      <x:c r="N33" s="37" t="str">
        <x:v>pass</x:v>
      </x:c>
      <x:c r="O33" s="37" t="str">
        <x:v>경사로와 점자블록이 보이고 통행공간이 열려 있음</x:v>
      </x:c>
      <x:c r="P33" s="37" t="str">
        <x:v>Codex_AI_precheck_2</x:v>
      </x:c>
      <x:c r="Q33" s="37" t="str">
        <x:v>2026-09-15</x:v>
      </x:c>
      <x:c r="R33" s="37" t="str">
        <x:v>있음</x:v>
      </x:c>
      <x:c r="S33" s="37" t="str">
        <x:v>있음</x:v>
      </x:c>
      <x:c r="T33" s="37" t="str">
        <x:v>없음</x:v>
      </x:c>
      <x:c r="U33" s="37" t="str">
        <x:v>pass</x:v>
      </x:c>
      <x:c r="V33" s="37" t="str">
        <x:v>역순·착지부 중심 재판독에서 경사로와 점자블록을 확인</x:v>
      </x:c>
      <x:c r="W33" s="37" t="str">
        <x:v>있음</x:v>
      </x:c>
      <x:c r="X33" s="37" t="str">
        <x:v>있음</x:v>
      </x:c>
      <x:c r="Y33" s="37" t="str">
        <x:v>없음</x:v>
      </x:c>
      <x:c r="Z33" s="37" t="str">
        <x:v>pass</x:v>
      </x:c>
      <x:c r="AA33" s="37" t="str">
        <x:v>경사로와 점자블록이 보이고 통행공간이 열려 있음</x:v>
      </x:c>
      <x:c r="AB33" s="37" t="str">
        <x:v>likely_accessible_candidate</x:v>
      </x:c>
      <x:c r="AC33" s="42" t="n">
        <x:v>0.82</x:v>
      </x:c>
      <x:c r="AD33" s="37" t="str">
        <x:v>Y</x:v>
      </x:c>
      <x:c r="AE33" s="44" t="str"/>
      <x:c r="AF33" s="37" t="str">
        <x:v>미반영(사람 승인 전)</x:v>
      </x:c>
    </x:row>
    <x:row r="34" ht="36" customHeight="1">
      <x:c r="A34" s="37" t="str">
        <x:v>CW14-B</x:v>
      </x:c>
      <x:c r="B34" s="37" t="str">
        <x:v>CW14</x:v>
      </x:c>
      <x:c r="C34" s="37" t="str">
        <x:v>B</x:v>
      </x:c>
      <x:c r="D34" s="37" t="str">
        <x:v>Y</x:v>
      </x:c>
      <x:c r="E34" s="37" t="str">
        <x:v>2025-11-18 14:45:30</x:v>
      </x:c>
      <x:c r="F34" s="42" t="n">
        <x:v>7.04</x:v>
      </x:c>
      <x:c r="G34" s="37" t="str">
        <x:v>https://map.kakao.com/link/roadview/37.3996042,126.9239531</x:v>
      </x:c>
      <x:c r="H34" s="37" t="str">
        <x:v>https://map.kakao.com/?panoid=1202874714&amp;pan=322.6&amp;zoom=0&amp;map_type=TYPE_MAP&amp;map_attribute=ROADVIEW&amp;urlX=483161.0&amp;urlY=1083394.0</x:v>
      </x:c>
      <x:c r="I34" s="37" t="str">
        <x:v>Codex_AI_precheck_1</x:v>
      </x:c>
      <x:c r="J34" s="37" t="str">
        <x:v>2026-09-15</x:v>
      </x:c>
      <x:c r="K34" s="37" t="str">
        <x:v>있음</x:v>
      </x:c>
      <x:c r="L34" s="37" t="str">
        <x:v>있음</x:v>
      </x:c>
      <x:c r="M34" s="37" t="str">
        <x:v>없음</x:v>
      </x:c>
      <x:c r="N34" s="37" t="str">
        <x:v>pass</x:v>
      </x:c>
      <x:c r="O34" s="37" t="str">
        <x:v>경사로와 점자블록이 보이고 통행공간이 열려 있음</x:v>
      </x:c>
      <x:c r="P34" s="37" t="str">
        <x:v>Codex_AI_precheck_2</x:v>
      </x:c>
      <x:c r="Q34" s="37" t="str">
        <x:v>2026-09-15</x:v>
      </x:c>
      <x:c r="R34" s="37" t="str">
        <x:v>있음</x:v>
      </x:c>
      <x:c r="S34" s="37" t="str">
        <x:v>있음</x:v>
      </x:c>
      <x:c r="T34" s="37" t="str">
        <x:v>없음</x:v>
      </x:c>
      <x:c r="U34" s="37" t="str">
        <x:v>pass</x:v>
      </x:c>
      <x:c r="V34" s="37" t="str">
        <x:v>역순·착지부 중심 재판독에서 경사로와 점자블록을 확인</x:v>
      </x:c>
      <x:c r="W34" s="37" t="str">
        <x:v>있음</x:v>
      </x:c>
      <x:c r="X34" s="37" t="str">
        <x:v>있음</x:v>
      </x:c>
      <x:c r="Y34" s="37" t="str">
        <x:v>없음</x:v>
      </x:c>
      <x:c r="Z34" s="37" t="str">
        <x:v>pass</x:v>
      </x:c>
      <x:c r="AA34" s="37" t="str">
        <x:v>경사로와 점자블록이 보이고 통행공간이 열려 있음</x:v>
      </x:c>
      <x:c r="AB34" s="37" t="str">
        <x:v>likely_accessible_candidate</x:v>
      </x:c>
      <x:c r="AC34" s="42" t="n">
        <x:v>0.82</x:v>
      </x:c>
      <x:c r="AD34" s="37" t="str">
        <x:v>Y</x:v>
      </x:c>
      <x:c r="AE34" s="44" t="str"/>
      <x:c r="AF34" s="37" t="str">
        <x:v>미반영(사람 승인 전)</x:v>
      </x:c>
    </x:row>
    <x:row r="35" ht="36" customHeight="1">
      <x:c r="A35" s="37" t="str">
        <x:v>CW15-A</x:v>
      </x:c>
      <x:c r="B35" s="37" t="str">
        <x:v>CW15</x:v>
      </x:c>
      <x:c r="C35" s="37" t="str">
        <x:v>A</x:v>
      </x:c>
      <x:c r="D35" s="37" t="str">
        <x:v>N</x:v>
      </x:c>
      <x:c r="E35" s="37" t="str">
        <x:v>2025-11-18 11:45:38</x:v>
      </x:c>
      <x:c r="F35" s="42" t="n">
        <x:v>3.21</x:v>
      </x:c>
      <x:c r="G35" s="37" t="str">
        <x:v>https://map.kakao.com/link/roadview/37.3983305,126.9243027</x:v>
      </x:c>
      <x:c r="H35" s="37" t="str">
        <x:v>https://map.kakao.com/?panoid=1202871493&amp;pan=42.8&amp;zoom=0&amp;map_type=TYPE_MAP&amp;map_attribute=ROADVIEW&amp;urlX=483239.0&amp;urlY=1083064.0</x:v>
      </x:c>
      <x:c r="I35" s="37" t="str">
        <x:v>Codex_AI_precheck_1</x:v>
      </x:c>
      <x:c r="J35" s="37" t="str">
        <x:v>2026-09-15</x:v>
      </x:c>
      <x:c r="K35" s="37" t="str">
        <x:v>판독불가</x:v>
      </x:c>
      <x:c r="L35" s="37" t="str">
        <x:v>판독불가</x:v>
      </x:c>
      <x:c r="M35" s="37" t="str">
        <x:v>지오메트리불일치</x:v>
      </x:c>
      <x:c r="N35" s="37" t="str">
        <x:v>unknown</x:v>
      </x:c>
      <x:c r="O35" s="37" t="str">
        <x:v>접근부 추정점과 영상의 실제 횡단 착지부가 정합하지 않음</x:v>
      </x:c>
      <x:c r="P35" s="37" t="str"/>
      <x:c r="Q35" s="37" t="str"/>
      <x:c r="R35" s="37" t="str"/>
      <x:c r="S35" s="37" t="str"/>
      <x:c r="T35" s="37" t="str"/>
      <x:c r="U35" s="37" t="str"/>
      <x:c r="V35" s="37" t="str"/>
      <x:c r="W35" s="37" t="str">
        <x:v>판독불가</x:v>
      </x:c>
      <x:c r="X35" s="37" t="str">
        <x:v>판독불가</x:v>
      </x:c>
      <x:c r="Y35" s="37" t="str">
        <x:v>지오메트리불일치</x:v>
      </x:c>
      <x:c r="Z35" s="37" t="str">
        <x:v>unknown</x:v>
      </x:c>
      <x:c r="AA35" s="37" t="str">
        <x:v>접근부 추정점과 영상의 실제 횡단 착지부가 정합하지 않음</x:v>
      </x:c>
      <x:c r="AB35" s="37" t="str">
        <x:v>geometry_mismatch_candidate</x:v>
      </x:c>
      <x:c r="AC35" s="42" t="n">
        <x:v>0.58</x:v>
      </x:c>
      <x:c r="AD35" s="37" t="str">
        <x:v>Y</x:v>
      </x:c>
      <x:c r="AE35" s="44" t="str"/>
      <x:c r="AF35" s="37" t="str">
        <x:v>미반영(사람 승인 전)</x:v>
      </x:c>
    </x:row>
    <x:row r="36" ht="36" customHeight="1">
      <x:c r="A36" s="37" t="str">
        <x:v>CW15-B</x:v>
      </x:c>
      <x:c r="B36" s="37" t="str">
        <x:v>CW15</x:v>
      </x:c>
      <x:c r="C36" s="37" t="str">
        <x:v>B</x:v>
      </x:c>
      <x:c r="D36" s="37" t="str">
        <x:v>N</x:v>
      </x:c>
      <x:c r="E36" s="37" t="str">
        <x:v>2025-11-18 11:49:28</x:v>
      </x:c>
      <x:c r="F36" s="42" t="n">
        <x:v>4.23</x:v>
      </x:c>
      <x:c r="G36" s="37" t="str">
        <x:v>https://map.kakao.com/link/roadview/37.3984344,126.9242031</x:v>
      </x:c>
      <x:c r="H36" s="37" t="str">
        <x:v>https://map.kakao.com/?panoid=1202871514&amp;pan=237.3&amp;zoom=0&amp;map_type=TYPE_MAP&amp;map_attribute=ROADVIEW&amp;urlX=483232.0&amp;urlY=1083086.0</x:v>
      </x:c>
      <x:c r="I36" s="37" t="str">
        <x:v>Codex_AI_precheck_1</x:v>
      </x:c>
      <x:c r="J36" s="37" t="str">
        <x:v>2026-09-15</x:v>
      </x:c>
      <x:c r="K36" s="37" t="str">
        <x:v>판독불가</x:v>
      </x:c>
      <x:c r="L36" s="37" t="str">
        <x:v>판독불가</x:v>
      </x:c>
      <x:c r="M36" s="37" t="str">
        <x:v>지오메트리불일치</x:v>
      </x:c>
      <x:c r="N36" s="37" t="str">
        <x:v>unknown</x:v>
      </x:c>
      <x:c r="O36" s="37" t="str">
        <x:v>접근부 추정점과 영상의 실제 횡단 착지부가 정합하지 않음</x:v>
      </x:c>
      <x:c r="P36" s="37" t="str"/>
      <x:c r="Q36" s="37" t="str"/>
      <x:c r="R36" s="37" t="str"/>
      <x:c r="S36" s="37" t="str"/>
      <x:c r="T36" s="37" t="str"/>
      <x:c r="U36" s="37" t="str"/>
      <x:c r="V36" s="37" t="str"/>
      <x:c r="W36" s="37" t="str">
        <x:v>판독불가</x:v>
      </x:c>
      <x:c r="X36" s="37" t="str">
        <x:v>판독불가</x:v>
      </x:c>
      <x:c r="Y36" s="37" t="str">
        <x:v>지오메트리불일치</x:v>
      </x:c>
      <x:c r="Z36" s="37" t="str">
        <x:v>unknown</x:v>
      </x:c>
      <x:c r="AA36" s="37" t="str">
        <x:v>접근부 추정점과 영상의 실제 횡단 착지부가 정합하지 않음</x:v>
      </x:c>
      <x:c r="AB36" s="37" t="str">
        <x:v>geometry_mismatch_candidate</x:v>
      </x:c>
      <x:c r="AC36" s="42" t="n">
        <x:v>0.58</x:v>
      </x:c>
      <x:c r="AD36" s="37" t="str">
        <x:v>Y</x:v>
      </x:c>
      <x:c r="AE36" s="44" t="str"/>
      <x:c r="AF36" s="37" t="str">
        <x:v>미반영(사람 승인 전)</x:v>
      </x:c>
    </x:row>
    <x:row r="37" ht="36" customHeight="1">
      <x:c r="A37" s="37" t="str">
        <x:v>CW16-A</x:v>
      </x:c>
      <x:c r="B37" s="37" t="str">
        <x:v>CW16</x:v>
      </x:c>
      <x:c r="C37" s="37" t="str">
        <x:v>A</x:v>
      </x:c>
      <x:c r="D37" s="37" t="str">
        <x:v>Y</x:v>
      </x:c>
      <x:c r="E37" s="37" t="str">
        <x:v>2025-11-18 14:18:05</x:v>
      </x:c>
      <x:c r="F37" s="42" t="n">
        <x:v>7.9</x:v>
      </x:c>
      <x:c r="G37" s="37" t="str">
        <x:v>https://map.kakao.com/link/roadview/37.3975186,126.9227984</x:v>
      </x:c>
      <x:c r="H37" s="37" t="str">
        <x:v>https://map.kakao.com/?panoid=1202873960&amp;pan=57.2&amp;zoom=0&amp;map_type=TYPE_MAP&amp;map_attribute=ROADVIEW&amp;urlX=482904.0&amp;urlY=1082851.0</x:v>
      </x:c>
      <x:c r="I37" s="37" t="str">
        <x:v>Codex_AI_precheck_1</x:v>
      </x:c>
      <x:c r="J37" s="37" t="str">
        <x:v>2026-09-15</x:v>
      </x:c>
      <x:c r="K37" s="37" t="str">
        <x:v>있음</x:v>
      </x:c>
      <x:c r="L37" s="37" t="str">
        <x:v>있음</x:v>
      </x:c>
      <x:c r="M37" s="37" t="str">
        <x:v>없음</x:v>
      </x:c>
      <x:c r="N37" s="37" t="str">
        <x:v>pass</x:v>
      </x:c>
      <x:c r="O37" s="37" t="str">
        <x:v>경사로와 점자블록이 보이고 통행공간이 열려 있음</x:v>
      </x:c>
      <x:c r="P37" s="37" t="str">
        <x:v>Codex_AI_precheck_2</x:v>
      </x:c>
      <x:c r="Q37" s="37" t="str">
        <x:v>2026-09-15</x:v>
      </x:c>
      <x:c r="R37" s="37" t="str">
        <x:v>있음</x:v>
      </x:c>
      <x:c r="S37" s="37" t="str">
        <x:v>있음</x:v>
      </x:c>
      <x:c r="T37" s="37" t="str">
        <x:v>없음</x:v>
      </x:c>
      <x:c r="U37" s="37" t="str">
        <x:v>pass</x:v>
      </x:c>
      <x:c r="V37" s="37" t="str">
        <x:v>역순·착지부 중심 재판독에서 경사로와 점자블록을 확인</x:v>
      </x:c>
      <x:c r="W37" s="37" t="str">
        <x:v>있음</x:v>
      </x:c>
      <x:c r="X37" s="37" t="str">
        <x:v>있음</x:v>
      </x:c>
      <x:c r="Y37" s="37" t="str">
        <x:v>없음</x:v>
      </x:c>
      <x:c r="Z37" s="37" t="str">
        <x:v>pass</x:v>
      </x:c>
      <x:c r="AA37" s="37" t="str">
        <x:v>경사로와 점자블록이 보이고 통행공간이 열려 있음</x:v>
      </x:c>
      <x:c r="AB37" s="37" t="str">
        <x:v>likely_accessible_candidate</x:v>
      </x:c>
      <x:c r="AC37" s="42" t="n">
        <x:v>0.82</x:v>
      </x:c>
      <x:c r="AD37" s="37" t="str">
        <x:v>Y</x:v>
      </x:c>
      <x:c r="AE37" s="44" t="str"/>
      <x:c r="AF37" s="37" t="str">
        <x:v>미반영(사람 승인 전)</x:v>
      </x:c>
    </x:row>
    <x:row r="38" ht="36" customHeight="1">
      <x:c r="A38" s="37" t="str">
        <x:v>CW16-B</x:v>
      </x:c>
      <x:c r="B38" s="37" t="str">
        <x:v>CW16</x:v>
      </x:c>
      <x:c r="C38" s="37" t="str">
        <x:v>B</x:v>
      </x:c>
      <x:c r="D38" s="37" t="str">
        <x:v>Y</x:v>
      </x:c>
      <x:c r="E38" s="37" t="str">
        <x:v>2025-11-18 14:18:05</x:v>
      </x:c>
      <x:c r="F38" s="42" t="n">
        <x:v>10.87</x:v>
      </x:c>
      <x:c r="G38" s="37" t="str">
        <x:v>https://map.kakao.com/link/roadview/37.3976543,126.9226820</x:v>
      </x:c>
      <x:c r="H38" s="37" t="str">
        <x:v>https://map.kakao.com/?panoid=1202873960&amp;pan=57.2&amp;zoom=0&amp;map_type=TYPE_MAP&amp;map_attribute=ROADVIEW&amp;urlX=482904.0&amp;urlY=1082851.0</x:v>
      </x:c>
      <x:c r="I38" s="37" t="str">
        <x:v>Codex_AI_precheck_1</x:v>
      </x:c>
      <x:c r="J38" s="37" t="str">
        <x:v>2026-09-15</x:v>
      </x:c>
      <x:c r="K38" s="37" t="str">
        <x:v>있음</x:v>
      </x:c>
      <x:c r="L38" s="37" t="str">
        <x:v>있음</x:v>
      </x:c>
      <x:c r="M38" s="37" t="str">
        <x:v>없음</x:v>
      </x:c>
      <x:c r="N38" s="37" t="str">
        <x:v>pass</x:v>
      </x:c>
      <x:c r="O38" s="37" t="str">
        <x:v>경사로와 점자블록이 보이고 통행공간이 열려 있음</x:v>
      </x:c>
      <x:c r="P38" s="37" t="str">
        <x:v>Codex_AI_precheck_2</x:v>
      </x:c>
      <x:c r="Q38" s="37" t="str">
        <x:v>2026-09-15</x:v>
      </x:c>
      <x:c r="R38" s="37" t="str">
        <x:v>있음</x:v>
      </x:c>
      <x:c r="S38" s="37" t="str">
        <x:v>있음</x:v>
      </x:c>
      <x:c r="T38" s="37" t="str">
        <x:v>없음</x:v>
      </x:c>
      <x:c r="U38" s="37" t="str">
        <x:v>pass</x:v>
      </x:c>
      <x:c r="V38" s="37" t="str">
        <x:v>역순·착지부 중심 재판독에서 경사로와 점자블록을 확인</x:v>
      </x:c>
      <x:c r="W38" s="37" t="str">
        <x:v>있음</x:v>
      </x:c>
      <x:c r="X38" s="37" t="str">
        <x:v>있음</x:v>
      </x:c>
      <x:c r="Y38" s="37" t="str">
        <x:v>없음</x:v>
      </x:c>
      <x:c r="Z38" s="37" t="str">
        <x:v>pass</x:v>
      </x:c>
      <x:c r="AA38" s="37" t="str">
        <x:v>경사로와 점자블록이 보이고 통행공간이 열려 있음</x:v>
      </x:c>
      <x:c r="AB38" s="37" t="str">
        <x:v>likely_accessible_candidate</x:v>
      </x:c>
      <x:c r="AC38" s="42" t="n">
        <x:v>0.82</x:v>
      </x:c>
      <x:c r="AD38" s="37" t="str">
        <x:v>Y</x:v>
      </x:c>
      <x:c r="AE38" s="44" t="str"/>
      <x:c r="AF38" s="37" t="str">
        <x:v>미반영(사람 승인 전)</x:v>
      </x:c>
    </x:row>
    <x:row r="39" ht="36" customHeight="1">
      <x:c r="A39" s="37" t="str">
        <x:v>CW17-A</x:v>
      </x:c>
      <x:c r="B39" s="37" t="str">
        <x:v>CW17</x:v>
      </x:c>
      <x:c r="C39" s="37" t="str">
        <x:v>A</x:v>
      </x:c>
      <x:c r="D39" s="37" t="str">
        <x:v>N</x:v>
      </x:c>
      <x:c r="E39" s="37" t="str">
        <x:v>2025-11-18 15:24:23</x:v>
      </x:c>
      <x:c r="F39" s="42" t="n">
        <x:v>5.44</x:v>
      </x:c>
      <x:c r="G39" s="37" t="str">
        <x:v>https://map.kakao.com/link/roadview/37.3966727,126.9233865</x:v>
      </x:c>
      <x:c r="H39" s="37" t="str">
        <x:v>https://map.kakao.com/?panoid=1202875183&amp;pan=34.5&amp;zoom=0&amp;map_type=TYPE_MAP&amp;map_attribute=ROADVIEW&amp;urlX=483033.0&amp;urlY=1082609.0</x:v>
      </x:c>
      <x:c r="I39" s="37" t="str">
        <x:v>Codex_AI_precheck_1</x:v>
      </x:c>
      <x:c r="J39" s="37" t="str">
        <x:v>2026-09-15</x:v>
      </x:c>
      <x:c r="K39" s="37" t="str">
        <x:v>판독불가</x:v>
      </x:c>
      <x:c r="L39" s="37" t="str">
        <x:v>판독불가</x:v>
      </x:c>
      <x:c r="M39" s="37" t="str">
        <x:v>차량/적치물가림</x:v>
      </x:c>
      <x:c r="N39" s="37" t="str">
        <x:v>unknown</x:v>
      </x:c>
      <x:c r="O39" s="37" t="str">
        <x:v>차량·적치물 또는 공사물로 핵심 시설이 가려짐</x:v>
      </x:c>
      <x:c r="P39" s="37" t="str"/>
      <x:c r="Q39" s="37" t="str"/>
      <x:c r="R39" s="37" t="str"/>
      <x:c r="S39" s="37" t="str"/>
      <x:c r="T39" s="37" t="str"/>
      <x:c r="U39" s="37" t="str"/>
      <x:c r="V39" s="37" t="str"/>
      <x:c r="W39" s="37" t="str">
        <x:v>판독불가</x:v>
      </x:c>
      <x:c r="X39" s="37" t="str">
        <x:v>판독불가</x:v>
      </x:c>
      <x:c r="Y39" s="37" t="str">
        <x:v>차량/적치물가림</x:v>
      </x:c>
      <x:c r="Z39" s="37" t="str">
        <x:v>unknown</x:v>
      </x:c>
      <x:c r="AA39" s="37" t="str">
        <x:v>차량·적치물 또는 공사물로 핵심 시설이 가려짐</x:v>
      </x:c>
      <x:c r="AB39" s="37" t="str">
        <x:v>occlusion_review_needed</x:v>
      </x:c>
      <x:c r="AC39" s="42" t="n">
        <x:v>0.52</x:v>
      </x:c>
      <x:c r="AD39" s="37" t="str">
        <x:v>Y</x:v>
      </x:c>
      <x:c r="AE39" s="44" t="str"/>
      <x:c r="AF39" s="37" t="str">
        <x:v>미반영(사람 승인 전)</x:v>
      </x:c>
    </x:row>
    <x:row r="40" ht="36" customHeight="1">
      <x:c r="A40" s="37" t="str">
        <x:v>CW17-B</x:v>
      </x:c>
      <x:c r="B40" s="37" t="str">
        <x:v>CW17</x:v>
      </x:c>
      <x:c r="C40" s="37" t="str">
        <x:v>B</x:v>
      </x:c>
      <x:c r="D40" s="37" t="str">
        <x:v>N</x:v>
      </x:c>
      <x:c r="E40" s="37" t="str">
        <x:v>2025-11-18 15:24:23</x:v>
      </x:c>
      <x:c r="F40" s="42" t="n">
        <x:v>1.97</x:v>
      </x:c>
      <x:c r="G40" s="37" t="str">
        <x:v>https://map.kakao.com/link/roadview/37.3967277,126.9233393</x:v>
      </x:c>
      <x:c r="H40" s="37" t="str">
        <x:v>https://map.kakao.com/?panoid=1202875183&amp;pan=34.5&amp;zoom=0&amp;map_type=TYPE_MAP&amp;map_attribute=ROADVIEW&amp;urlX=483033.0&amp;urlY=1082609.0</x:v>
      </x:c>
      <x:c r="I40" s="37" t="str">
        <x:v>Codex_AI_precheck_1</x:v>
      </x:c>
      <x:c r="J40" s="37" t="str">
        <x:v>2026-09-15</x:v>
      </x:c>
      <x:c r="K40" s="37" t="str">
        <x:v>판독불가</x:v>
      </x:c>
      <x:c r="L40" s="37" t="str">
        <x:v>판독불가</x:v>
      </x:c>
      <x:c r="M40" s="37" t="str">
        <x:v>시야불충분</x:v>
      </x:c>
      <x:c r="N40" s="37" t="str">
        <x:v>unknown</x:v>
      </x:c>
      <x:c r="O40" s="37" t="str">
        <x:v>착지부가 카메라 직하부·화면 밖에 있어 핵심 시설을 확인할 수 없음</x:v>
      </x:c>
      <x:c r="P40" s="37" t="str"/>
      <x:c r="Q40" s="37" t="str"/>
      <x:c r="R40" s="37" t="str"/>
      <x:c r="S40" s="37" t="str"/>
      <x:c r="T40" s="37" t="str"/>
      <x:c r="U40" s="37" t="str"/>
      <x:c r="V40" s="37" t="str"/>
      <x:c r="W40" s="37" t="str">
        <x:v>판독불가</x:v>
      </x:c>
      <x:c r="X40" s="37" t="str">
        <x:v>판독불가</x:v>
      </x:c>
      <x:c r="Y40" s="37" t="str">
        <x:v>시야불충분</x:v>
      </x:c>
      <x:c r="Z40" s="37" t="str">
        <x:v>unknown</x:v>
      </x:c>
      <x:c r="AA40" s="37" t="str">
        <x:v>착지부가 카메라 직하부·화면 밖에 있어 핵심 시설을 확인할 수 없음</x:v>
      </x:c>
      <x:c r="AB40" s="37" t="str">
        <x:v>visibility_review_needed</x:v>
      </x:c>
      <x:c r="AC40" s="42" t="n">
        <x:v>0.52</x:v>
      </x:c>
      <x:c r="AD40" s="37" t="str">
        <x:v>Y</x:v>
      </x:c>
      <x:c r="AE40" s="44" t="str"/>
      <x:c r="AF40" s="37" t="str">
        <x:v>미반영(사람 승인 전)</x:v>
      </x:c>
    </x:row>
    <x:row r="41" ht="36" customHeight="1">
      <x:c r="A41" s="37" t="str">
        <x:v>CW18-A</x:v>
      </x:c>
      <x:c r="B41" s="37" t="str">
        <x:v>CW18</x:v>
      </x:c>
      <x:c r="C41" s="37" t="str">
        <x:v>A</x:v>
      </x:c>
      <x:c r="D41" s="37" t="str">
        <x:v>Y</x:v>
      </x:c>
      <x:c r="E41" s="37" t="str">
        <x:v>2025-12-01 14:08:47</x:v>
      </x:c>
      <x:c r="F41" s="42" t="n">
        <x:v>7.65</x:v>
      </x:c>
      <x:c r="G41" s="37" t="str">
        <x:v>https://map.kakao.com/link/roadview/37.3958183,126.9241051</x:v>
      </x:c>
      <x:c r="H41" s="37" t="str">
        <x:v>https://map.kakao.com/?panoid=1203480723&amp;pan=326.1&amp;zoom=0&amp;map_type=TYPE_MAP&amp;map_attribute=ROADVIEW&amp;urlX=483181.0&amp;urlY=1082354.0</x:v>
      </x:c>
      <x:c r="I41" s="37" t="str">
        <x:v>Codex_AI_precheck_1</x:v>
      </x:c>
      <x:c r="J41" s="37" t="str">
        <x:v>2026-09-15</x:v>
      </x:c>
      <x:c r="K41" s="37" t="str">
        <x:v>있음</x:v>
      </x:c>
      <x:c r="L41" s="37" t="str">
        <x:v>없음</x:v>
      </x:c>
      <x:c r="M41" s="37" t="str">
        <x:v>없음</x:v>
      </x:c>
      <x:c r="N41" s="37" t="str">
        <x:v>block</x:v>
      </x:c>
      <x:c r="O41" s="37" t="str">
        <x:v>시장 진입 횡단 지점에 점자블록이 보이지 않음</x:v>
      </x:c>
      <x:c r="P41" s="37" t="str">
        <x:v>Codex_AI_precheck_2</x:v>
      </x:c>
      <x:c r="Q41" s="37" t="str">
        <x:v>2026-09-15</x:v>
      </x:c>
      <x:c r="R41" s="37" t="str">
        <x:v>있음</x:v>
      </x:c>
      <x:c r="S41" s="37" t="str">
        <x:v>없음</x:v>
      </x:c>
      <x:c r="T41" s="37" t="str">
        <x:v>없음</x:v>
      </x:c>
      <x:c r="U41" s="37" t="str">
        <x:v>block</x:v>
      </x:c>
      <x:c r="V41" s="37" t="str">
        <x:v>역순·착지부 중심 재판독에서도 점자블록 부재 후보</x:v>
      </x:c>
      <x:c r="W41" s="37" t="str">
        <x:v>있음</x:v>
      </x:c>
      <x:c r="X41" s="37" t="str">
        <x:v>없음</x:v>
      </x:c>
      <x:c r="Y41" s="37" t="str">
        <x:v>없음</x:v>
      </x:c>
      <x:c r="Z41" s="37" t="str">
        <x:v>block</x:v>
      </x:c>
      <x:c r="AA41" s="37" t="str">
        <x:v>시장 진입 횡단 지점에 점자블록이 보이지 않음</x:v>
      </x:c>
      <x:c r="AB41" s="37" t="str">
        <x:v>tactile_absent_candidate</x:v>
      </x:c>
      <x:c r="AC41" s="42" t="n">
        <x:v>0.76</x:v>
      </x:c>
      <x:c r="AD41" s="37" t="str">
        <x:v>Y</x:v>
      </x:c>
      <x:c r="AE41" s="44" t="str"/>
      <x:c r="AF41" s="37" t="str">
        <x:v>미반영(사람 승인 전)</x:v>
      </x:c>
    </x:row>
    <x:row r="42" ht="36" customHeight="1">
      <x:c r="A42" s="37" t="str">
        <x:v>CW18-B</x:v>
      </x:c>
      <x:c r="B42" s="37" t="str">
        <x:v>CW18</x:v>
      </x:c>
      <x:c r="C42" s="37" t="str">
        <x:v>B</x:v>
      </x:c>
      <x:c r="D42" s="37" t="str">
        <x:v>Y</x:v>
      </x:c>
      <x:c r="E42" s="37" t="str">
        <x:v>2025-12-01 14:09:05</x:v>
      </x:c>
      <x:c r="F42" s="42" t="n">
        <x:v>7.98</x:v>
      </x:c>
      <x:c r="G42" s="37" t="str">
        <x:v>https://map.kakao.com/link/roadview/37.3958884,126.9240465</x:v>
      </x:c>
      <x:c r="H42" s="37" t="str">
        <x:v>https://map.kakao.com/?panoid=1203480726&amp;pan=323.5&amp;zoom=0&amp;map_type=TYPE_MAP&amp;map_attribute=ROADVIEW&amp;urlX=483167.0&amp;urlY=1082374.0</x:v>
      </x:c>
      <x:c r="I42" s="37" t="str">
        <x:v>Codex_AI_precheck_1</x:v>
      </x:c>
      <x:c r="J42" s="37" t="str">
        <x:v>2026-09-15</x:v>
      </x:c>
      <x:c r="K42" s="37" t="str">
        <x:v>판독불가</x:v>
      </x:c>
      <x:c r="L42" s="37" t="str">
        <x:v>판독불가</x:v>
      </x:c>
      <x:c r="M42" s="37" t="str">
        <x:v>차량/적치물가림</x:v>
      </x:c>
      <x:c r="N42" s="37" t="str">
        <x:v>unknown</x:v>
      </x:c>
      <x:c r="O42" s="37" t="str">
        <x:v>차량·적치물 또는 공사물로 핵심 시설이 가려짐</x:v>
      </x:c>
      <x:c r="P42" s="37" t="str">
        <x:v>Codex_AI_precheck_2</x:v>
      </x:c>
      <x:c r="Q42" s="37" t="str">
        <x:v>2026-09-15</x:v>
      </x:c>
      <x:c r="R42" s="37" t="str">
        <x:v>판독불가</x:v>
      </x:c>
      <x:c r="S42" s="37" t="str">
        <x:v>판독불가</x:v>
      </x:c>
      <x:c r="T42" s="37" t="str">
        <x:v>차량/적치물가림</x:v>
      </x:c>
      <x:c r="U42" s="37" t="str">
        <x:v>unknown</x:v>
      </x:c>
      <x:c r="V42" s="37" t="str">
        <x:v>차량·적치물 또는 공사물로 핵심 시설이 가려짐</x:v>
      </x:c>
      <x:c r="W42" s="37" t="str">
        <x:v>판독불가</x:v>
      </x:c>
      <x:c r="X42" s="37" t="str">
        <x:v>판독불가</x:v>
      </x:c>
      <x:c r="Y42" s="37" t="str">
        <x:v>차량/적치물가림</x:v>
      </x:c>
      <x:c r="Z42" s="37" t="str">
        <x:v>unknown</x:v>
      </x:c>
      <x:c r="AA42" s="37" t="str">
        <x:v>차량·적치물 또는 공사물로 핵심 시설이 가려짐</x:v>
      </x:c>
      <x:c r="AB42" s="37" t="str">
        <x:v>occlusion_review_needed</x:v>
      </x:c>
      <x:c r="AC42" s="42" t="n">
        <x:v>0.52</x:v>
      </x:c>
      <x:c r="AD42" s="37" t="str">
        <x:v>Y</x:v>
      </x:c>
      <x:c r="AE42" s="44" t="str"/>
      <x:c r="AF42" s="37" t="str">
        <x:v>미반영(사람 승인 전)</x:v>
      </x:c>
    </x:row>
    <x:row r="43" ht="36" customHeight="1">
      <x:c r="A43" s="37" t="str">
        <x:v>CW19-A</x:v>
      </x:c>
      <x:c r="B43" s="37" t="str">
        <x:v>CW19</x:v>
      </x:c>
      <x:c r="C43" s="37" t="str">
        <x:v>A</x:v>
      </x:c>
      <x:c r="D43" s="37" t="str">
        <x:v>N</x:v>
      </x:c>
      <x:c r="E43" s="37" t="str">
        <x:v>2025-12-01 13:50:22</x:v>
      </x:c>
      <x:c r="F43" s="42" t="n">
        <x:v>5.28</x:v>
      </x:c>
      <x:c r="G43" s="37" t="str">
        <x:v>https://map.kakao.com/link/roadview/37.3956191,126.9239185</x:v>
      </x:c>
      <x:c r="H43" s="37" t="str">
        <x:v>https://map.kakao.com/?panoid=1203478741&amp;pan=147.6&amp;zoom=0&amp;map_type=TYPE_MAP&amp;map_attribute=ROADVIEW&amp;urlX=483169.0&amp;urlY=1082312.0</x:v>
      </x:c>
      <x:c r="I43" s="37" t="str">
        <x:v>Codex_AI_precheck_1</x:v>
      </x:c>
      <x:c r="J43" s="37" t="str">
        <x:v>2026-09-15</x:v>
      </x:c>
      <x:c r="K43" s="37" t="str">
        <x:v>판독불가</x:v>
      </x:c>
      <x:c r="L43" s="37" t="str">
        <x:v>판독불가</x:v>
      </x:c>
      <x:c r="M43" s="37" t="str">
        <x:v>시야불충분</x:v>
      </x:c>
      <x:c r="N43" s="37" t="str">
        <x:v>unknown</x:v>
      </x:c>
      <x:c r="O43" s="37" t="str">
        <x:v>착지부가 카메라 직하부·화면 밖에 있어 핵심 시설을 확인할 수 없음</x:v>
      </x:c>
      <x:c r="P43" s="37" t="str"/>
      <x:c r="Q43" s="37" t="str"/>
      <x:c r="R43" s="37" t="str"/>
      <x:c r="S43" s="37" t="str"/>
      <x:c r="T43" s="37" t="str"/>
      <x:c r="U43" s="37" t="str"/>
      <x:c r="V43" s="37" t="str"/>
      <x:c r="W43" s="37" t="str">
        <x:v>판독불가</x:v>
      </x:c>
      <x:c r="X43" s="37" t="str">
        <x:v>판독불가</x:v>
      </x:c>
      <x:c r="Y43" s="37" t="str">
        <x:v>시야불충분</x:v>
      </x:c>
      <x:c r="Z43" s="37" t="str">
        <x:v>unknown</x:v>
      </x:c>
      <x:c r="AA43" s="37" t="str">
        <x:v>착지부가 카메라 직하부·화면 밖에 있어 핵심 시설을 확인할 수 없음</x:v>
      </x:c>
      <x:c r="AB43" s="37" t="str">
        <x:v>visibility_review_needed</x:v>
      </x:c>
      <x:c r="AC43" s="42" t="n">
        <x:v>0.52</x:v>
      </x:c>
      <x:c r="AD43" s="37" t="str">
        <x:v>Y</x:v>
      </x:c>
      <x:c r="AE43" s="44" t="str"/>
      <x:c r="AF43" s="37" t="str">
        <x:v>미반영(사람 승인 전)</x:v>
      </x:c>
    </x:row>
    <x:row r="44" ht="36" customHeight="1">
      <x:c r="A44" s="37" t="str">
        <x:v>CW19-B</x:v>
      </x:c>
      <x:c r="B44" s="37" t="str">
        <x:v>CW19</x:v>
      </x:c>
      <x:c r="C44" s="37" t="str">
        <x:v>B</x:v>
      </x:c>
      <x:c r="D44" s="37" t="str">
        <x:v>N</x:v>
      </x:c>
      <x:c r="E44" s="37" t="str">
        <x:v>2025-12-01 14:08:44</x:v>
      </x:c>
      <x:c r="F44" s="42" t="n">
        <x:v>4.9</x:v>
      </x:c>
      <x:c r="G44" s="37" t="str">
        <x:v>https://map.kakao.com/link/roadview/37.3957353,126.9241385</x:v>
      </x:c>
      <x:c r="H44" s="37" t="str">
        <x:v>https://map.kakao.com/?panoid=1203480720&amp;pan=326.7&amp;zoom=0&amp;map_type=TYPE_MAP&amp;map_attribute=ROADVIEW&amp;urlX=483195.0&amp;urlY=1082333.0</x:v>
      </x:c>
      <x:c r="I44" s="37" t="str">
        <x:v>Codex_AI_precheck_1</x:v>
      </x:c>
      <x:c r="J44" s="37" t="str">
        <x:v>2026-09-15</x:v>
      </x:c>
      <x:c r="K44" s="37" t="str">
        <x:v>있음</x:v>
      </x:c>
      <x:c r="L44" s="37" t="str">
        <x:v>있음</x:v>
      </x:c>
      <x:c r="M44" s="37" t="str">
        <x:v>없음</x:v>
      </x:c>
      <x:c r="N44" s="37" t="str">
        <x:v>pass</x:v>
      </x:c>
      <x:c r="O44" s="37" t="str">
        <x:v>경사로와 점자블록이 보이고 통행공간이 열려 있음</x:v>
      </x:c>
      <x:c r="P44" s="37" t="str"/>
      <x:c r="Q44" s="37" t="str"/>
      <x:c r="R44" s="37" t="str"/>
      <x:c r="S44" s="37" t="str"/>
      <x:c r="T44" s="37" t="str"/>
      <x:c r="U44" s="37" t="str"/>
      <x:c r="V44" s="37" t="str"/>
      <x:c r="W44" s="37" t="str">
        <x:v>있음</x:v>
      </x:c>
      <x:c r="X44" s="37" t="str">
        <x:v>있음</x:v>
      </x:c>
      <x:c r="Y44" s="37" t="str">
        <x:v>없음</x:v>
      </x:c>
      <x:c r="Z44" s="37" t="str">
        <x:v>pass</x:v>
      </x:c>
      <x:c r="AA44" s="37" t="str">
        <x:v>경사로와 점자블록이 보이고 통행공간이 열려 있음</x:v>
      </x:c>
      <x:c r="AB44" s="37" t="str">
        <x:v>likely_accessible_candidate</x:v>
      </x:c>
      <x:c r="AC44" s="42" t="n">
        <x:v>0.82</x:v>
      </x:c>
      <x:c r="AD44" s="37" t="str">
        <x:v>Y</x:v>
      </x:c>
      <x:c r="AE44" s="44" t="str"/>
      <x:c r="AF44" s="37" t="str">
        <x:v>미반영(사람 승인 전)</x:v>
      </x:c>
    </x:row>
    <x:row r="45" ht="36" customHeight="1">
      <x:c r="A45" s="37" t="str">
        <x:v>CW20-A</x:v>
      </x:c>
      <x:c r="B45" s="37" t="str">
        <x:v>CW20</x:v>
      </x:c>
      <x:c r="C45" s="37" t="str">
        <x:v>A</x:v>
      </x:c>
      <x:c r="D45" s="37" t="str">
        <x:v>Y</x:v>
      </x:c>
      <x:c r="E45" s="37" t="str">
        <x:v>2025-12-01 13:50:35</x:v>
      </x:c>
      <x:c r="F45" s="42" t="n">
        <x:v>2.18</x:v>
      </x:c>
      <x:c r="G45" s="37" t="str">
        <x:v>https://map.kakao.com/link/roadview/37.3943480,126.9250146</x:v>
      </x:c>
      <x:c r="H45" s="37" t="str">
        <x:v>https://map.kakao.com/?panoid=1203478791&amp;pan=146.9&amp;zoom=0&amp;map_type=TYPE_MAP&amp;map_attribute=ROADVIEW&amp;urlX=483404.0&amp;urlY=1081956.0</x:v>
      </x:c>
      <x:c r="I45" s="37" t="str">
        <x:v>Codex_AI_precheck_1</x:v>
      </x:c>
      <x:c r="J45" s="37" t="str">
        <x:v>2026-09-15</x:v>
      </x:c>
      <x:c r="K45" s="37" t="str">
        <x:v>판독불가</x:v>
      </x:c>
      <x:c r="L45" s="37" t="str">
        <x:v>판독불가</x:v>
      </x:c>
      <x:c r="M45" s="37" t="str">
        <x:v>지오메트리불일치</x:v>
      </x:c>
      <x:c r="N45" s="37" t="str">
        <x:v>unknown</x:v>
      </x:c>
      <x:c r="O45" s="37" t="str">
        <x:v>접근부 추정점과 영상의 실제 횡단 착지부가 정합하지 않음</x:v>
      </x:c>
      <x:c r="P45" s="37" t="str">
        <x:v>Codex_AI_precheck_2</x:v>
      </x:c>
      <x:c r="Q45" s="37" t="str">
        <x:v>2026-09-15</x:v>
      </x:c>
      <x:c r="R45" s="37" t="str">
        <x:v>판독불가</x:v>
      </x:c>
      <x:c r="S45" s="37" t="str">
        <x:v>판독불가</x:v>
      </x:c>
      <x:c r="T45" s="37" t="str">
        <x:v>지오메트리불일치</x:v>
      </x:c>
      <x:c r="U45" s="37" t="str">
        <x:v>unknown</x:v>
      </x:c>
      <x:c r="V45" s="37" t="str">
        <x:v>접근부 추정점과 영상의 실제 횡단 착지부가 정합하지 않음</x:v>
      </x:c>
      <x:c r="W45" s="37" t="str">
        <x:v>판독불가</x:v>
      </x:c>
      <x:c r="X45" s="37" t="str">
        <x:v>판독불가</x:v>
      </x:c>
      <x:c r="Y45" s="37" t="str">
        <x:v>지오메트리불일치</x:v>
      </x:c>
      <x:c r="Z45" s="37" t="str">
        <x:v>unknown</x:v>
      </x:c>
      <x:c r="AA45" s="37" t="str">
        <x:v>접근부 추정점과 영상의 실제 횡단 착지부가 정합하지 않음</x:v>
      </x:c>
      <x:c r="AB45" s="37" t="str">
        <x:v>geometry_mismatch_candidate</x:v>
      </x:c>
      <x:c r="AC45" s="42" t="n">
        <x:v>0.58</x:v>
      </x:c>
      <x:c r="AD45" s="37" t="str">
        <x:v>Y</x:v>
      </x:c>
      <x:c r="AE45" s="44" t="str"/>
      <x:c r="AF45" s="37" t="str">
        <x:v>미반영(사람 승인 전)</x:v>
      </x:c>
    </x:row>
    <x:row r="46" ht="36" customHeight="1">
      <x:c r="A46" s="37" t="str">
        <x:v>CW20-B</x:v>
      </x:c>
      <x:c r="B46" s="37" t="str">
        <x:v>CW20</x:v>
      </x:c>
      <x:c r="C46" s="37" t="str">
        <x:v>B</x:v>
      </x:c>
      <x:c r="D46" s="37" t="str">
        <x:v>Y</x:v>
      </x:c>
      <x:c r="E46" s="37" t="str">
        <x:v>2025-12-01 14:08:27</x:v>
      </x:c>
      <x:c r="F46" s="42" t="n">
        <x:v>7.23</x:v>
      </x:c>
      <x:c r="G46" s="37" t="str">
        <x:v>https://map.kakao.com/link/roadview/37.3944622,126.9252284</x:v>
      </x:c>
      <x:c r="H46" s="37" t="str">
        <x:v>https://map.kakao.com/?panoid=1203480668&amp;pan=326.1&amp;zoom=0&amp;map_type=TYPE_MAP&amp;map_attribute=ROADVIEW&amp;urlX=483430.0&amp;urlY=1081979.0</x:v>
      </x:c>
      <x:c r="I46" s="37" t="str">
        <x:v>Codex_AI_precheck_1</x:v>
      </x:c>
      <x:c r="J46" s="37" t="str">
        <x:v>2026-09-15</x:v>
      </x:c>
      <x:c r="K46" s="37" t="str">
        <x:v>판독불가</x:v>
      </x:c>
      <x:c r="L46" s="37" t="str">
        <x:v>판독불가</x:v>
      </x:c>
      <x:c r="M46" s="37" t="str">
        <x:v>지오메트리불일치</x:v>
      </x:c>
      <x:c r="N46" s="37" t="str">
        <x:v>unknown</x:v>
      </x:c>
      <x:c r="O46" s="37" t="str">
        <x:v>접근부 추정점과 영상의 실제 횡단 착지부가 정합하지 않음</x:v>
      </x:c>
      <x:c r="P46" s="37" t="str">
        <x:v>Codex_AI_precheck_2</x:v>
      </x:c>
      <x:c r="Q46" s="37" t="str">
        <x:v>2026-09-15</x:v>
      </x:c>
      <x:c r="R46" s="37" t="str">
        <x:v>판독불가</x:v>
      </x:c>
      <x:c r="S46" s="37" t="str">
        <x:v>판독불가</x:v>
      </x:c>
      <x:c r="T46" s="37" t="str">
        <x:v>지오메트리불일치</x:v>
      </x:c>
      <x:c r="U46" s="37" t="str">
        <x:v>unknown</x:v>
      </x:c>
      <x:c r="V46" s="37" t="str">
        <x:v>접근부 추정점과 영상의 실제 횡단 착지부가 정합하지 않음</x:v>
      </x:c>
      <x:c r="W46" s="37" t="str">
        <x:v>판독불가</x:v>
      </x:c>
      <x:c r="X46" s="37" t="str">
        <x:v>판독불가</x:v>
      </x:c>
      <x:c r="Y46" s="37" t="str">
        <x:v>지오메트리불일치</x:v>
      </x:c>
      <x:c r="Z46" s="37" t="str">
        <x:v>unknown</x:v>
      </x:c>
      <x:c r="AA46" s="37" t="str">
        <x:v>접근부 추정점과 영상의 실제 횡단 착지부가 정합하지 않음</x:v>
      </x:c>
      <x:c r="AB46" s="37" t="str">
        <x:v>geometry_mismatch_candidate</x:v>
      </x:c>
      <x:c r="AC46" s="42" t="n">
        <x:v>0.58</x:v>
      </x:c>
      <x:c r="AD46" s="37" t="str">
        <x:v>Y</x:v>
      </x:c>
      <x:c r="AE46" s="44" t="str"/>
      <x:c r="AF46" s="37" t="str">
        <x:v>미반영(사람 승인 전)</x:v>
      </x:c>
    </x:row>
    <x:row r="47" ht="36" customHeight="1">
      <x:c r="A47" s="37" t="str">
        <x:v>CW21-A</x:v>
      </x:c>
      <x:c r="B47" s="37" t="str">
        <x:v>CW21</x:v>
      </x:c>
      <x:c r="C47" s="37" t="str">
        <x:v>A</x:v>
      </x:c>
      <x:c r="D47" s="37" t="str">
        <x:v>Y</x:v>
      </x:c>
      <x:c r="E47" s="37" t="str">
        <x:v>2025-11-18 11:18:33</x:v>
      </x:c>
      <x:c r="F47" s="42" t="n">
        <x:v>7.26</x:v>
      </x:c>
      <x:c r="G47" s="37" t="str">
        <x:v>https://map.kakao.com/link/roadview/37.3930376,126.9232238</x:v>
      </x:c>
      <x:c r="H47" s="37" t="str">
        <x:v>https://map.kakao.com/?panoid=1202871152&amp;pan=233.4&amp;zoom=0&amp;map_type=TYPE_MAP&amp;map_attribute=ROADVIEW&amp;urlX=483004.0&amp;urlY=1081607.0</x:v>
      </x:c>
      <x:c r="I47" s="37" t="str">
        <x:v>Codex_AI_precheck_1</x:v>
      </x:c>
      <x:c r="J47" s="37" t="str">
        <x:v>2026-09-15</x:v>
      </x:c>
      <x:c r="K47" s="37" t="str">
        <x:v>있음</x:v>
      </x:c>
      <x:c r="L47" s="37" t="str">
        <x:v>있음</x:v>
      </x:c>
      <x:c r="M47" s="37" t="str">
        <x:v>없음</x:v>
      </x:c>
      <x:c r="N47" s="37" t="str">
        <x:v>pass</x:v>
      </x:c>
      <x:c r="O47" s="37" t="str">
        <x:v>경사로와 점자블록이 보이고 통행공간이 열려 있음</x:v>
      </x:c>
      <x:c r="P47" s="37" t="str">
        <x:v>Codex_AI_precheck_2</x:v>
      </x:c>
      <x:c r="Q47" s="37" t="str">
        <x:v>2026-09-15</x:v>
      </x:c>
      <x:c r="R47" s="37" t="str">
        <x:v>있음</x:v>
      </x:c>
      <x:c r="S47" s="37" t="str">
        <x:v>있음</x:v>
      </x:c>
      <x:c r="T47" s="37" t="str">
        <x:v>없음</x:v>
      </x:c>
      <x:c r="U47" s="37" t="str">
        <x:v>pass</x:v>
      </x:c>
      <x:c r="V47" s="37" t="str">
        <x:v>역순·착지부 중심 재판독에서 경사로와 점자블록을 확인</x:v>
      </x:c>
      <x:c r="W47" s="37" t="str">
        <x:v>있음</x:v>
      </x:c>
      <x:c r="X47" s="37" t="str">
        <x:v>있음</x:v>
      </x:c>
      <x:c r="Y47" s="37" t="str">
        <x:v>없음</x:v>
      </x:c>
      <x:c r="Z47" s="37" t="str">
        <x:v>pass</x:v>
      </x:c>
      <x:c r="AA47" s="37" t="str">
        <x:v>경사로와 점자블록이 보이고 통행공간이 열려 있음</x:v>
      </x:c>
      <x:c r="AB47" s="37" t="str">
        <x:v>likely_accessible_candidate</x:v>
      </x:c>
      <x:c r="AC47" s="42" t="n">
        <x:v>0.82</x:v>
      </x:c>
      <x:c r="AD47" s="37" t="str">
        <x:v>Y</x:v>
      </x:c>
      <x:c r="AE47" s="44" t="str"/>
      <x:c r="AF47" s="37" t="str">
        <x:v>미반영(사람 승인 전)</x:v>
      </x:c>
    </x:row>
    <x:row r="48" ht="36" customHeight="1">
      <x:c r="A48" s="37" t="str">
        <x:v>CW21-B</x:v>
      </x:c>
      <x:c r="B48" s="37" t="str">
        <x:v>CW21</x:v>
      </x:c>
      <x:c r="C48" s="37" t="str">
        <x:v>B</x:v>
      </x:c>
      <x:c r="D48" s="37" t="str">
        <x:v>Y</x:v>
      </x:c>
      <x:c r="E48" s="37" t="str">
        <x:v>2025-11-18 11:18:33</x:v>
      </x:c>
      <x:c r="F48" s="42" t="n">
        <x:v>4.97</x:v>
      </x:c>
      <x:c r="G48" s="37" t="str">
        <x:v>https://map.kakao.com/link/roadview/37.3931037,126.9231702</x:v>
      </x:c>
      <x:c r="H48" s="37" t="str">
        <x:v>https://map.kakao.com/?panoid=1202871152&amp;pan=233.4&amp;zoom=0&amp;map_type=TYPE_MAP&amp;map_attribute=ROADVIEW&amp;urlX=483004.0&amp;urlY=1081607.0</x:v>
      </x:c>
      <x:c r="I48" s="37" t="str">
        <x:v>Codex_AI_precheck_1</x:v>
      </x:c>
      <x:c r="J48" s="37" t="str">
        <x:v>2026-09-15</x:v>
      </x:c>
      <x:c r="K48" s="37" t="str">
        <x:v>판독불가</x:v>
      </x:c>
      <x:c r="L48" s="37" t="str">
        <x:v>판독불가</x:v>
      </x:c>
      <x:c r="M48" s="37" t="str">
        <x:v>시야불충분</x:v>
      </x:c>
      <x:c r="N48" s="37" t="str">
        <x:v>unknown</x:v>
      </x:c>
      <x:c r="O48" s="37" t="str">
        <x:v>착지부가 카메라 직하부·화면 밖에 있어 핵심 시설을 확인할 수 없음</x:v>
      </x:c>
      <x:c r="P48" s="37" t="str">
        <x:v>Codex_AI_precheck_2</x:v>
      </x:c>
      <x:c r="Q48" s="37" t="str">
        <x:v>2026-09-15</x:v>
      </x:c>
      <x:c r="R48" s="37" t="str">
        <x:v>판독불가</x:v>
      </x:c>
      <x:c r="S48" s="37" t="str">
        <x:v>판독불가</x:v>
      </x:c>
      <x:c r="T48" s="37" t="str">
        <x:v>시야불충분</x:v>
      </x:c>
      <x:c r="U48" s="37" t="str">
        <x:v>unknown</x:v>
      </x:c>
      <x:c r="V48" s="37" t="str">
        <x:v>착지부가 카메라 직하부·화면 밖에 있어 핵심 시설을 확인할 수 없음</x:v>
      </x:c>
      <x:c r="W48" s="37" t="str">
        <x:v>판독불가</x:v>
      </x:c>
      <x:c r="X48" s="37" t="str">
        <x:v>판독불가</x:v>
      </x:c>
      <x:c r="Y48" s="37" t="str">
        <x:v>시야불충분</x:v>
      </x:c>
      <x:c r="Z48" s="37" t="str">
        <x:v>unknown</x:v>
      </x:c>
      <x:c r="AA48" s="37" t="str">
        <x:v>착지부가 카메라 직하부·화면 밖에 있어 핵심 시설을 확인할 수 없음</x:v>
      </x:c>
      <x:c r="AB48" s="37" t="str">
        <x:v>visibility_review_needed</x:v>
      </x:c>
      <x:c r="AC48" s="42" t="n">
        <x:v>0.52</x:v>
      </x:c>
      <x:c r="AD48" s="37" t="str">
        <x:v>Y</x:v>
      </x:c>
      <x:c r="AE48" s="44" t="str"/>
      <x:c r="AF48" s="37" t="str">
        <x:v>미반영(사람 승인 전)</x:v>
      </x:c>
    </x:row>
    <x:row r="49" ht="36" customHeight="1">
      <x:c r="A49" s="37" t="str">
        <x:v>CW22-A</x:v>
      </x:c>
      <x:c r="B49" s="37" t="str">
        <x:v>CW22</x:v>
      </x:c>
      <x:c r="C49" s="37" t="str">
        <x:v>A</x:v>
      </x:c>
      <x:c r="D49" s="37" t="str">
        <x:v>N</x:v>
      </x:c>
      <x:c r="E49" s="37" t="str">
        <x:v>2025-11-17 11:58:28</x:v>
      </x:c>
      <x:c r="F49" s="42" t="n">
        <x:v>11.67</x:v>
      </x:c>
      <x:c r="G49" s="37" t="str">
        <x:v>https://map.kakao.com/link/roadview/37.3921408,126.9236185</x:v>
      </x:c>
      <x:c r="H49" s="37" t="str">
        <x:v>https://map.kakao.com/?panoid=1202969686&amp;pan=327.0&amp;zoom=0&amp;map_type=TYPE_MAP&amp;map_attribute=ROADVIEW&amp;urlX=483115.0&amp;urlY=1081356.0</x:v>
      </x:c>
      <x:c r="I49" s="37" t="str">
        <x:v>Codex_AI_precheck_1</x:v>
      </x:c>
      <x:c r="J49" s="37" t="str">
        <x:v>2026-09-15</x:v>
      </x:c>
      <x:c r="K49" s="37" t="str">
        <x:v>있음</x:v>
      </x:c>
      <x:c r="L49" s="37" t="str">
        <x:v>있음</x:v>
      </x:c>
      <x:c r="M49" s="37" t="str">
        <x:v>없음</x:v>
      </x:c>
      <x:c r="N49" s="37" t="str">
        <x:v>pass</x:v>
      </x:c>
      <x:c r="O49" s="37" t="str">
        <x:v>경사로와 점자블록이 보이고 통행공간이 열려 있음</x:v>
      </x:c>
      <x:c r="P49" s="37" t="str"/>
      <x:c r="Q49" s="37" t="str"/>
      <x:c r="R49" s="37" t="str"/>
      <x:c r="S49" s="37" t="str"/>
      <x:c r="T49" s="37" t="str"/>
      <x:c r="U49" s="37" t="str"/>
      <x:c r="V49" s="37" t="str"/>
      <x:c r="W49" s="37" t="str">
        <x:v>있음</x:v>
      </x:c>
      <x:c r="X49" s="37" t="str">
        <x:v>있음</x:v>
      </x:c>
      <x:c r="Y49" s="37" t="str">
        <x:v>없음</x:v>
      </x:c>
      <x:c r="Z49" s="37" t="str">
        <x:v>pass</x:v>
      </x:c>
      <x:c r="AA49" s="37" t="str">
        <x:v>경사로와 점자블록이 보이고 통행공간이 열려 있음</x:v>
      </x:c>
      <x:c r="AB49" s="37" t="str">
        <x:v>likely_accessible_candidate</x:v>
      </x:c>
      <x:c r="AC49" s="42" t="n">
        <x:v>0.82</x:v>
      </x:c>
      <x:c r="AD49" s="37" t="str">
        <x:v>Y</x:v>
      </x:c>
      <x:c r="AE49" s="44" t="str"/>
      <x:c r="AF49" s="37" t="str">
        <x:v>미반영(사람 승인 전)</x:v>
      </x:c>
    </x:row>
    <x:row r="50" ht="36" customHeight="1">
      <x:c r="A50" s="37" t="str">
        <x:v>CW22-B</x:v>
      </x:c>
      <x:c r="B50" s="37" t="str">
        <x:v>CW22</x:v>
      </x:c>
      <x:c r="C50" s="37" t="str">
        <x:v>B</x:v>
      </x:c>
      <x:c r="D50" s="37" t="str">
        <x:v>N</x:v>
      </x:c>
      <x:c r="E50" s="37" t="str">
        <x:v>2025-11-17 11:58:28</x:v>
      </x:c>
      <x:c r="F50" s="42" t="n">
        <x:v>4.25</x:v>
      </x:c>
      <x:c r="G50" s="37" t="str">
        <x:v>https://map.kakao.com/link/roadview/37.3922192,126.9237693</x:v>
      </x:c>
      <x:c r="H50" s="37" t="str">
        <x:v>https://map.kakao.com/?panoid=1202969686&amp;pan=327.0&amp;zoom=0&amp;map_type=TYPE_MAP&amp;map_attribute=ROADVIEW&amp;urlX=483115.0&amp;urlY=1081356.0</x:v>
      </x:c>
      <x:c r="I50" s="37" t="str">
        <x:v>Codex_AI_precheck_1</x:v>
      </x:c>
      <x:c r="J50" s="37" t="str">
        <x:v>2026-09-15</x:v>
      </x:c>
      <x:c r="K50" s="37" t="str">
        <x:v>판독불가</x:v>
      </x:c>
      <x:c r="L50" s="37" t="str">
        <x:v>판독불가</x:v>
      </x:c>
      <x:c r="M50" s="37" t="str">
        <x:v>시야불충분</x:v>
      </x:c>
      <x:c r="N50" s="37" t="str">
        <x:v>unknown</x:v>
      </x:c>
      <x:c r="O50" s="37" t="str">
        <x:v>착지부가 카메라 직하부·화면 밖에 있어 핵심 시설을 확인할 수 없음</x:v>
      </x:c>
      <x:c r="P50" s="37" t="str"/>
      <x:c r="Q50" s="37" t="str"/>
      <x:c r="R50" s="37" t="str"/>
      <x:c r="S50" s="37" t="str"/>
      <x:c r="T50" s="37" t="str"/>
      <x:c r="U50" s="37" t="str"/>
      <x:c r="V50" s="37" t="str"/>
      <x:c r="W50" s="37" t="str">
        <x:v>판독불가</x:v>
      </x:c>
      <x:c r="X50" s="37" t="str">
        <x:v>판독불가</x:v>
      </x:c>
      <x:c r="Y50" s="37" t="str">
        <x:v>시야불충분</x:v>
      </x:c>
      <x:c r="Z50" s="37" t="str">
        <x:v>unknown</x:v>
      </x:c>
      <x:c r="AA50" s="37" t="str">
        <x:v>착지부가 카메라 직하부·화면 밖에 있어 핵심 시설을 확인할 수 없음</x:v>
      </x:c>
      <x:c r="AB50" s="37" t="str">
        <x:v>visibility_review_needed</x:v>
      </x:c>
      <x:c r="AC50" s="42" t="n">
        <x:v>0.52</x:v>
      </x:c>
      <x:c r="AD50" s="37" t="str">
        <x:v>Y</x:v>
      </x:c>
      <x:c r="AE50" s="44" t="str"/>
      <x:c r="AF50" s="37" t="str">
        <x:v>미반영(사람 승인 전)</x:v>
      </x:c>
    </x:row>
    <x:row r="51" ht="36" customHeight="1">
      <x:c r="A51" s="37" t="str">
        <x:v>CW23-A</x:v>
      </x:c>
      <x:c r="B51" s="37" t="str">
        <x:v>CW23</x:v>
      </x:c>
      <x:c r="C51" s="37" t="str">
        <x:v>A</x:v>
      </x:c>
      <x:c r="D51" s="37" t="str">
        <x:v>Y</x:v>
      </x:c>
      <x:c r="E51" s="37" t="str">
        <x:v>2025-11-18 10:22:37</x:v>
      </x:c>
      <x:c r="F51" s="42" t="n">
        <x:v>6.55</x:v>
      </x:c>
      <x:c r="G51" s="37" t="str">
        <x:v>https://map.kakao.com/link/roadview/37.3921163,126.9238832</x:v>
      </x:c>
      <x:c r="H51" s="37" t="str">
        <x:v>https://map.kakao.com/?panoid=1202870512&amp;pan=238.8&amp;zoom=0&amp;map_type=TYPE_MAP&amp;map_attribute=ROADVIEW&amp;urlX=483156.0&amp;urlY=1081348.0</x:v>
      </x:c>
      <x:c r="I51" s="37" t="str">
        <x:v>Codex_AI_precheck_1</x:v>
      </x:c>
      <x:c r="J51" s="37" t="str">
        <x:v>2026-09-15</x:v>
      </x:c>
      <x:c r="K51" s="37" t="str">
        <x:v>판독불가</x:v>
      </x:c>
      <x:c r="L51" s="37" t="str">
        <x:v>판독불가</x:v>
      </x:c>
      <x:c r="M51" s="37" t="str">
        <x:v>지오메트리불일치</x:v>
      </x:c>
      <x:c r="N51" s="37" t="str">
        <x:v>unknown</x:v>
      </x:c>
      <x:c r="O51" s="37" t="str">
        <x:v>접근부 추정점과 영상의 실제 횡단 착지부가 정합하지 않음</x:v>
      </x:c>
      <x:c r="P51" s="37" t="str">
        <x:v>Codex_AI_precheck_2</x:v>
      </x:c>
      <x:c r="Q51" s="37" t="str">
        <x:v>2026-09-15</x:v>
      </x:c>
      <x:c r="R51" s="37" t="str">
        <x:v>판독불가</x:v>
      </x:c>
      <x:c r="S51" s="37" t="str">
        <x:v>판독불가</x:v>
      </x:c>
      <x:c r="T51" s="37" t="str">
        <x:v>지오메트리불일치</x:v>
      </x:c>
      <x:c r="U51" s="37" t="str">
        <x:v>unknown</x:v>
      </x:c>
      <x:c r="V51" s="37" t="str">
        <x:v>접근부 추정점과 영상의 실제 횡단 착지부가 정합하지 않음</x:v>
      </x:c>
      <x:c r="W51" s="37" t="str">
        <x:v>판독불가</x:v>
      </x:c>
      <x:c r="X51" s="37" t="str">
        <x:v>판독불가</x:v>
      </x:c>
      <x:c r="Y51" s="37" t="str">
        <x:v>지오메트리불일치</x:v>
      </x:c>
      <x:c r="Z51" s="37" t="str">
        <x:v>unknown</x:v>
      </x:c>
      <x:c r="AA51" s="37" t="str">
        <x:v>접근부 추정점과 영상의 실제 횡단 착지부가 정합하지 않음</x:v>
      </x:c>
      <x:c r="AB51" s="37" t="str">
        <x:v>geometry_mismatch_candidate</x:v>
      </x:c>
      <x:c r="AC51" s="42" t="n">
        <x:v>0.58</x:v>
      </x:c>
      <x:c r="AD51" s="37" t="str">
        <x:v>Y</x:v>
      </x:c>
      <x:c r="AE51" s="44" t="str"/>
      <x:c r="AF51" s="37" t="str">
        <x:v>미반영(사람 승인 전)</x:v>
      </x:c>
    </x:row>
    <x:row r="52" ht="36" customHeight="1">
      <x:c r="A52" s="37" t="str">
        <x:v>CW23-B</x:v>
      </x:c>
      <x:c r="B52" s="37" t="str">
        <x:v>CW23</x:v>
      </x:c>
      <x:c r="C52" s="37" t="str">
        <x:v>B</x:v>
      </x:c>
      <x:c r="D52" s="37" t="str">
        <x:v>Y</x:v>
      </x:c>
      <x:c r="E52" s="37" t="str">
        <x:v>2025-11-18 10:22:37</x:v>
      </x:c>
      <x:c r="F52" s="42" t="n">
        <x:v>5.98</x:v>
      </x:c>
      <x:c r="G52" s="37" t="str">
        <x:v>https://map.kakao.com/link/roadview/37.3921604,126.9238474</x:v>
      </x:c>
      <x:c r="H52" s="37" t="str">
        <x:v>https://map.kakao.com/?panoid=1202870512&amp;pan=238.8&amp;zoom=0&amp;map_type=TYPE_MAP&amp;map_attribute=ROADVIEW&amp;urlX=483156.0&amp;urlY=1081348.0</x:v>
      </x:c>
      <x:c r="I52" s="37" t="str">
        <x:v>Codex_AI_precheck_1</x:v>
      </x:c>
      <x:c r="J52" s="37" t="str">
        <x:v>2026-09-15</x:v>
      </x:c>
      <x:c r="K52" s="37" t="str">
        <x:v>판독불가</x:v>
      </x:c>
      <x:c r="L52" s="37" t="str">
        <x:v>판독불가</x:v>
      </x:c>
      <x:c r="M52" s="37" t="str">
        <x:v>지오메트리불일치</x:v>
      </x:c>
      <x:c r="N52" s="37" t="str">
        <x:v>unknown</x:v>
      </x:c>
      <x:c r="O52" s="37" t="str">
        <x:v>접근부 추정점과 영상의 실제 횡단 착지부가 정합하지 않음</x:v>
      </x:c>
      <x:c r="P52" s="37" t="str">
        <x:v>Codex_AI_precheck_2</x:v>
      </x:c>
      <x:c r="Q52" s="37" t="str">
        <x:v>2026-09-15</x:v>
      </x:c>
      <x:c r="R52" s="37" t="str">
        <x:v>판독불가</x:v>
      </x:c>
      <x:c r="S52" s="37" t="str">
        <x:v>판독불가</x:v>
      </x:c>
      <x:c r="T52" s="37" t="str">
        <x:v>지오메트리불일치</x:v>
      </x:c>
      <x:c r="U52" s="37" t="str">
        <x:v>unknown</x:v>
      </x:c>
      <x:c r="V52" s="37" t="str">
        <x:v>접근부 추정점과 영상의 실제 횡단 착지부가 정합하지 않음</x:v>
      </x:c>
      <x:c r="W52" s="37" t="str">
        <x:v>판독불가</x:v>
      </x:c>
      <x:c r="X52" s="37" t="str">
        <x:v>판독불가</x:v>
      </x:c>
      <x:c r="Y52" s="37" t="str">
        <x:v>지오메트리불일치</x:v>
      </x:c>
      <x:c r="Z52" s="37" t="str">
        <x:v>unknown</x:v>
      </x:c>
      <x:c r="AA52" s="37" t="str">
        <x:v>접근부 추정점과 영상의 실제 횡단 착지부가 정합하지 않음</x:v>
      </x:c>
      <x:c r="AB52" s="37" t="str">
        <x:v>geometry_mismatch_candidate</x:v>
      </x:c>
      <x:c r="AC52" s="42" t="n">
        <x:v>0.58</x:v>
      </x:c>
      <x:c r="AD52" s="37" t="str">
        <x:v>Y</x:v>
      </x:c>
      <x:c r="AE52" s="44" t="str"/>
      <x:c r="AF52" s="37" t="str">
        <x:v>미반영(사람 승인 전)</x:v>
      </x:c>
    </x:row>
    <x:row r="53" ht="36" customHeight="1">
      <x:c r="A53" s="37" t="str">
        <x:v>CW24-A</x:v>
      </x:c>
      <x:c r="B53" s="37" t="str">
        <x:v>CW24</x:v>
      </x:c>
      <x:c r="C53" s="37" t="str">
        <x:v>A</x:v>
      </x:c>
      <x:c r="D53" s="37" t="str">
        <x:v>N</x:v>
      </x:c>
      <x:c r="E53" s="37" t="str">
        <x:v>2025-11-17 11:58:26</x:v>
      </x:c>
      <x:c r="F53" s="42" t="n">
        <x:v>21.11</x:v>
      </x:c>
      <x:c r="G53" s="37" t="str">
        <x:v>https://map.kakao.com/link/roadview/37.3920183,126.9235927</x:v>
      </x:c>
      <x:c r="H53" s="37" t="str">
        <x:v>https://map.kakao.com/?panoid=1202969685&amp;pan=327.1&amp;zoom=0&amp;map_type=TYPE_MAP&amp;map_attribute=ROADVIEW&amp;urlX=483129.0&amp;urlY=1081335.0</x:v>
      </x:c>
      <x:c r="I53" s="37" t="str">
        <x:v>Codex_AI_precheck_1</x:v>
      </x:c>
      <x:c r="J53" s="37" t="str">
        <x:v>2026-09-15</x:v>
      </x:c>
      <x:c r="K53" s="37" t="str">
        <x:v>있음</x:v>
      </x:c>
      <x:c r="L53" s="37" t="str">
        <x:v>있음</x:v>
      </x:c>
      <x:c r="M53" s="37" t="str">
        <x:v>없음</x:v>
      </x:c>
      <x:c r="N53" s="37" t="str">
        <x:v>pass</x:v>
      </x:c>
      <x:c r="O53" s="37" t="str">
        <x:v>경사로와 점자블록이 보이고 통행공간이 열려 있음</x:v>
      </x:c>
      <x:c r="P53" s="37" t="str"/>
      <x:c r="Q53" s="37" t="str"/>
      <x:c r="R53" s="37" t="str"/>
      <x:c r="S53" s="37" t="str"/>
      <x:c r="T53" s="37" t="str"/>
      <x:c r="U53" s="37" t="str"/>
      <x:c r="V53" s="37" t="str"/>
      <x:c r="W53" s="37" t="str">
        <x:v>있음</x:v>
      </x:c>
      <x:c r="X53" s="37" t="str">
        <x:v>있음</x:v>
      </x:c>
      <x:c r="Y53" s="37" t="str">
        <x:v>없음</x:v>
      </x:c>
      <x:c r="Z53" s="37" t="str">
        <x:v>pass</x:v>
      </x:c>
      <x:c r="AA53" s="37" t="str">
        <x:v>경사로와 점자블록이 보이고 통행공간이 열려 있음</x:v>
      </x:c>
      <x:c r="AB53" s="37" t="str">
        <x:v>likely_accessible_candidate</x:v>
      </x:c>
      <x:c r="AC53" s="42" t="n">
        <x:v>0.82</x:v>
      </x:c>
      <x:c r="AD53" s="37" t="str">
        <x:v>Y</x:v>
      </x:c>
      <x:c r="AE53" s="44" t="str"/>
      <x:c r="AF53" s="37" t="str">
        <x:v>미반영(사람 승인 전)</x:v>
      </x:c>
    </x:row>
    <x:row r="54" ht="36" customHeight="1">
      <x:c r="A54" s="37" t="str">
        <x:v>CW24-B</x:v>
      </x:c>
      <x:c r="B54" s="37" t="str">
        <x:v>CW24</x:v>
      </x:c>
      <x:c r="C54" s="37" t="str">
        <x:v>B</x:v>
      </x:c>
      <x:c r="D54" s="37" t="str">
        <x:v>N</x:v>
      </x:c>
      <x:c r="E54" s="37" t="str">
        <x:v>2025-11-17 11:58:26</x:v>
      </x:c>
      <x:c r="F54" s="42" t="n">
        <x:v>7.15</x:v>
      </x:c>
      <x:c r="G54" s="37" t="str">
        <x:v>https://map.kakao.com/link/roadview/37.3920871,126.9237249</x:v>
      </x:c>
      <x:c r="H54" s="37" t="str">
        <x:v>https://map.kakao.com/?panoid=1202969685&amp;pan=327.1&amp;zoom=0&amp;map_type=TYPE_MAP&amp;map_attribute=ROADVIEW&amp;urlX=483129.0&amp;urlY=1081335.0</x:v>
      </x:c>
      <x:c r="I54" s="37" t="str">
        <x:v>Codex_AI_precheck_1</x:v>
      </x:c>
      <x:c r="J54" s="37" t="str">
        <x:v>2026-09-15</x:v>
      </x:c>
      <x:c r="K54" s="37" t="str">
        <x:v>판독불가</x:v>
      </x:c>
      <x:c r="L54" s="37" t="str">
        <x:v>판독불가</x:v>
      </x:c>
      <x:c r="M54" s="37" t="str">
        <x:v>시야불충분</x:v>
      </x:c>
      <x:c r="N54" s="37" t="str">
        <x:v>unknown</x:v>
      </x:c>
      <x:c r="O54" s="37" t="str">
        <x:v>착지부가 카메라 직하부·화면 밖에 있어 핵심 시설을 확인할 수 없음</x:v>
      </x:c>
      <x:c r="P54" s="37" t="str"/>
      <x:c r="Q54" s="37" t="str"/>
      <x:c r="R54" s="37" t="str"/>
      <x:c r="S54" s="37" t="str"/>
      <x:c r="T54" s="37" t="str"/>
      <x:c r="U54" s="37" t="str"/>
      <x:c r="V54" s="37" t="str"/>
      <x:c r="W54" s="37" t="str">
        <x:v>판독불가</x:v>
      </x:c>
      <x:c r="X54" s="37" t="str">
        <x:v>판독불가</x:v>
      </x:c>
      <x:c r="Y54" s="37" t="str">
        <x:v>시야불충분</x:v>
      </x:c>
      <x:c r="Z54" s="37" t="str">
        <x:v>unknown</x:v>
      </x:c>
      <x:c r="AA54" s="37" t="str">
        <x:v>착지부가 카메라 직하부·화면 밖에 있어 핵심 시설을 확인할 수 없음</x:v>
      </x:c>
      <x:c r="AB54" s="37" t="str">
        <x:v>visibility_review_needed</x:v>
      </x:c>
      <x:c r="AC54" s="42" t="n">
        <x:v>0.52</x:v>
      </x:c>
      <x:c r="AD54" s="37" t="str">
        <x:v>Y</x:v>
      </x:c>
      <x:c r="AE54" s="44" t="str"/>
      <x:c r="AF54" s="37" t="str">
        <x:v>미반영(사람 승인 전)</x:v>
      </x:c>
    </x:row>
    <x:row r="55" ht="36" customHeight="1">
      <x:c r="A55" s="37" t="str">
        <x:v>CW25-A</x:v>
      </x:c>
      <x:c r="B55" s="37" t="str">
        <x:v>CW25</x:v>
      </x:c>
      <x:c r="C55" s="37" t="str">
        <x:v>A</x:v>
      </x:c>
      <x:c r="D55" s="37" t="str">
        <x:v>Y</x:v>
      </x:c>
      <x:c r="E55" s="37" t="str">
        <x:v>2025-11-17 11:58:25</x:v>
      </x:c>
      <x:c r="F55" s="42" t="n">
        <x:v>12.07</x:v>
      </x:c>
      <x:c r="G55" s="37" t="str">
        <x:v>https://map.kakao.com/link/roadview/37.3919802,126.9237436</x:v>
      </x:c>
      <x:c r="H55" s="37" t="str">
        <x:v>https://map.kakao.com/?panoid=1202969684&amp;pan=326.9&amp;zoom=0&amp;map_type=TYPE_MAP&amp;map_attribute=ROADVIEW&amp;urlX=483142.0&amp;urlY=1081314.0</x:v>
      </x:c>
      <x:c r="I55" s="37" t="str">
        <x:v>Codex_AI_precheck_1</x:v>
      </x:c>
      <x:c r="J55" s="37" t="str">
        <x:v>2026-09-15</x:v>
      </x:c>
      <x:c r="K55" s="37" t="str">
        <x:v>있음</x:v>
      </x:c>
      <x:c r="L55" s="37" t="str">
        <x:v>있음</x:v>
      </x:c>
      <x:c r="M55" s="37" t="str">
        <x:v>없음</x:v>
      </x:c>
      <x:c r="N55" s="37" t="str">
        <x:v>pass</x:v>
      </x:c>
      <x:c r="O55" s="37" t="str">
        <x:v>경사로와 점자블록이 보이고 통행공간이 열려 있음</x:v>
      </x:c>
      <x:c r="P55" s="37" t="str">
        <x:v>Codex_AI_precheck_2</x:v>
      </x:c>
      <x:c r="Q55" s="37" t="str">
        <x:v>2026-09-15</x:v>
      </x:c>
      <x:c r="R55" s="37" t="str">
        <x:v>있음</x:v>
      </x:c>
      <x:c r="S55" s="37" t="str">
        <x:v>있음</x:v>
      </x:c>
      <x:c r="T55" s="37" t="str">
        <x:v>없음</x:v>
      </x:c>
      <x:c r="U55" s="37" t="str">
        <x:v>pass</x:v>
      </x:c>
      <x:c r="V55" s="37" t="str">
        <x:v>역순·착지부 중심 재판독에서 경사로와 점자블록을 확인</x:v>
      </x:c>
      <x:c r="W55" s="37" t="str">
        <x:v>있음</x:v>
      </x:c>
      <x:c r="X55" s="37" t="str">
        <x:v>있음</x:v>
      </x:c>
      <x:c r="Y55" s="37" t="str">
        <x:v>없음</x:v>
      </x:c>
      <x:c r="Z55" s="37" t="str">
        <x:v>pass</x:v>
      </x:c>
      <x:c r="AA55" s="37" t="str">
        <x:v>경사로와 점자블록이 보이고 통행공간이 열려 있음</x:v>
      </x:c>
      <x:c r="AB55" s="37" t="str">
        <x:v>likely_accessible_candidate</x:v>
      </x:c>
      <x:c r="AC55" s="42" t="n">
        <x:v>0.82</x:v>
      </x:c>
      <x:c r="AD55" s="37" t="str">
        <x:v>Y</x:v>
      </x:c>
      <x:c r="AE55" s="44" t="str"/>
      <x:c r="AF55" s="37" t="str">
        <x:v>미반영(사람 승인 전)</x:v>
      </x:c>
    </x:row>
    <x:row r="56" ht="36" customHeight="1">
      <x:c r="A56" s="37" t="str">
        <x:v>CW25-B</x:v>
      </x:c>
      <x:c r="B56" s="37" t="str">
        <x:v>CW25</x:v>
      </x:c>
      <x:c r="C56" s="37" t="str">
        <x:v>B</x:v>
      </x:c>
      <x:c r="D56" s="37" t="str">
        <x:v>Y</x:v>
      </x:c>
      <x:c r="E56" s="37" t="str">
        <x:v>2025-11-17 11:58:25</x:v>
      </x:c>
      <x:c r="F56" s="42" t="n">
        <x:v>4.37</x:v>
      </x:c>
      <x:c r="G56" s="37" t="str">
        <x:v>https://map.kakao.com/link/roadview/37.3920609,126.9238972</x:v>
      </x:c>
      <x:c r="H56" s="37" t="str">
        <x:v>https://map.kakao.com/?panoid=1202969684&amp;pan=326.9&amp;zoom=0&amp;map_type=TYPE_MAP&amp;map_attribute=ROADVIEW&amp;urlX=483142.0&amp;urlY=1081314.0</x:v>
      </x:c>
      <x:c r="I56" s="37" t="str">
        <x:v>Codex_AI_precheck_1</x:v>
      </x:c>
      <x:c r="J56" s="37" t="str">
        <x:v>2026-09-15</x:v>
      </x:c>
      <x:c r="K56" s="37" t="str">
        <x:v>있음</x:v>
      </x:c>
      <x:c r="L56" s="37" t="str">
        <x:v>있음</x:v>
      </x:c>
      <x:c r="M56" s="37" t="str">
        <x:v>없음</x:v>
      </x:c>
      <x:c r="N56" s="37" t="str">
        <x:v>pass</x:v>
      </x:c>
      <x:c r="O56" s="37" t="str">
        <x:v>경사로와 점자블록이 보이고 통행공간이 열려 있음</x:v>
      </x:c>
      <x:c r="P56" s="37" t="str">
        <x:v>Codex_AI_precheck_2</x:v>
      </x:c>
      <x:c r="Q56" s="37" t="str">
        <x:v>2026-09-15</x:v>
      </x:c>
      <x:c r="R56" s="37" t="str">
        <x:v>있음</x:v>
      </x:c>
      <x:c r="S56" s="37" t="str">
        <x:v>있음</x:v>
      </x:c>
      <x:c r="T56" s="37" t="str">
        <x:v>없음</x:v>
      </x:c>
      <x:c r="U56" s="37" t="str">
        <x:v>pass</x:v>
      </x:c>
      <x:c r="V56" s="37" t="str">
        <x:v>역순·착지부 중심 재판독에서 경사로와 점자블록을 확인</x:v>
      </x:c>
      <x:c r="W56" s="37" t="str">
        <x:v>있음</x:v>
      </x:c>
      <x:c r="X56" s="37" t="str">
        <x:v>있음</x:v>
      </x:c>
      <x:c r="Y56" s="37" t="str">
        <x:v>없음</x:v>
      </x:c>
      <x:c r="Z56" s="37" t="str">
        <x:v>pass</x:v>
      </x:c>
      <x:c r="AA56" s="37" t="str">
        <x:v>경사로와 점자블록이 보이고 통행공간이 열려 있음</x:v>
      </x:c>
      <x:c r="AB56" s="37" t="str">
        <x:v>likely_accessible_candidate</x:v>
      </x:c>
      <x:c r="AC56" s="42" t="n">
        <x:v>0.82</x:v>
      </x:c>
      <x:c r="AD56" s="37" t="str">
        <x:v>Y</x:v>
      </x:c>
      <x:c r="AE56" s="44" t="str"/>
      <x:c r="AF56" s="37" t="str">
        <x:v>미반영(사람 승인 전)</x:v>
      </x:c>
    </x:row>
    <x:row r="57" ht="36" customHeight="1">
      <x:c r="A57" s="37" t="str">
        <x:v>CW26-A</x:v>
      </x:c>
      <x:c r="B57" s="37" t="str">
        <x:v>CW26</x:v>
      </x:c>
      <x:c r="C57" s="37" t="str">
        <x:v>A</x:v>
      </x:c>
      <x:c r="D57" s="37" t="str">
        <x:v>N</x:v>
      </x:c>
      <x:c r="E57" s="37" t="str">
        <x:v>2025-11-17 11:57:37</x:v>
      </x:c>
      <x:c r="F57" s="42" t="n">
        <x:v>9.26</x:v>
      </x:c>
      <x:c r="G57" s="37" t="str">
        <x:v>https://map.kakao.com/link/roadview/37.3913037,126.9243626</x:v>
      </x:c>
      <x:c r="H57" s="37" t="str">
        <x:v>https://map.kakao.com/?panoid=1202969675&amp;pan=326.8&amp;zoom=0&amp;map_type=TYPE_MAP&amp;map_attribute=ROADVIEW&amp;urlX=483266.0&amp;urlY=1081128.0</x:v>
      </x:c>
      <x:c r="I57" s="37" t="str">
        <x:v>Codex_AI_precheck_1</x:v>
      </x:c>
      <x:c r="J57" s="37" t="str">
        <x:v>2026-09-15</x:v>
      </x:c>
      <x:c r="K57" s="37" t="str">
        <x:v>있음</x:v>
      </x:c>
      <x:c r="L57" s="37" t="str">
        <x:v>있음</x:v>
      </x:c>
      <x:c r="M57" s="37" t="str">
        <x:v>없음</x:v>
      </x:c>
      <x:c r="N57" s="37" t="str">
        <x:v>pass</x:v>
      </x:c>
      <x:c r="O57" s="37" t="str">
        <x:v>경사로와 점자블록이 보이고 통행공간이 열려 있음</x:v>
      </x:c>
      <x:c r="P57" s="37" t="str"/>
      <x:c r="Q57" s="37" t="str"/>
      <x:c r="R57" s="37" t="str"/>
      <x:c r="S57" s="37" t="str"/>
      <x:c r="T57" s="37" t="str"/>
      <x:c r="U57" s="37" t="str"/>
      <x:c r="V57" s="37" t="str"/>
      <x:c r="W57" s="37" t="str">
        <x:v>있음</x:v>
      </x:c>
      <x:c r="X57" s="37" t="str">
        <x:v>있음</x:v>
      </x:c>
      <x:c r="Y57" s="37" t="str">
        <x:v>없음</x:v>
      </x:c>
      <x:c r="Z57" s="37" t="str">
        <x:v>pass</x:v>
      </x:c>
      <x:c r="AA57" s="37" t="str">
        <x:v>경사로와 점자블록이 보이고 통행공간이 열려 있음</x:v>
      </x:c>
      <x:c r="AB57" s="37" t="str">
        <x:v>likely_accessible_candidate</x:v>
      </x:c>
      <x:c r="AC57" s="42" t="n">
        <x:v>0.82</x:v>
      </x:c>
      <x:c r="AD57" s="37" t="str">
        <x:v>Y</x:v>
      </x:c>
      <x:c r="AE57" s="44" t="str"/>
      <x:c r="AF57" s="37" t="str">
        <x:v>미반영(사람 승인 전)</x:v>
      </x:c>
    </x:row>
    <x:row r="58" ht="36" customHeight="1">
      <x:c r="A58" s="37" t="str">
        <x:v>CW26-B</x:v>
      </x:c>
      <x:c r="B58" s="37" t="str">
        <x:v>CW26</x:v>
      </x:c>
      <x:c r="C58" s="37" t="str">
        <x:v>B</x:v>
      </x:c>
      <x:c r="D58" s="37" t="str">
        <x:v>N</x:v>
      </x:c>
      <x:c r="E58" s="37" t="str">
        <x:v>2025-11-17 11:57:37</x:v>
      </x:c>
      <x:c r="F58" s="42" t="n">
        <x:v>5.5</x:v>
      </x:c>
      <x:c r="G58" s="37" t="str">
        <x:v>https://map.kakao.com/link/roadview/37.3913568,126.9244684</x:v>
      </x:c>
      <x:c r="H58" s="37" t="str">
        <x:v>https://map.kakao.com/?panoid=1202969675&amp;pan=326.8&amp;zoom=0&amp;map_type=TYPE_MAP&amp;map_attribute=ROADVIEW&amp;urlX=483266.0&amp;urlY=1081128.0</x:v>
      </x:c>
      <x:c r="I58" s="37" t="str">
        <x:v>Codex_AI_precheck_1</x:v>
      </x:c>
      <x:c r="J58" s="37" t="str">
        <x:v>2026-09-15</x:v>
      </x:c>
      <x:c r="K58" s="37" t="str">
        <x:v>판독불가</x:v>
      </x:c>
      <x:c r="L58" s="37" t="str">
        <x:v>판독불가</x:v>
      </x:c>
      <x:c r="M58" s="37" t="str">
        <x:v>지오메트리불일치</x:v>
      </x:c>
      <x:c r="N58" s="37" t="str">
        <x:v>unknown</x:v>
      </x:c>
      <x:c r="O58" s="37" t="str">
        <x:v>접근부 추정점과 영상의 실제 횡단 착지부가 정합하지 않음</x:v>
      </x:c>
      <x:c r="P58" s="37" t="str"/>
      <x:c r="Q58" s="37" t="str"/>
      <x:c r="R58" s="37" t="str"/>
      <x:c r="S58" s="37" t="str"/>
      <x:c r="T58" s="37" t="str"/>
      <x:c r="U58" s="37" t="str"/>
      <x:c r="V58" s="37" t="str"/>
      <x:c r="W58" s="37" t="str">
        <x:v>판독불가</x:v>
      </x:c>
      <x:c r="X58" s="37" t="str">
        <x:v>판독불가</x:v>
      </x:c>
      <x:c r="Y58" s="37" t="str">
        <x:v>지오메트리불일치</x:v>
      </x:c>
      <x:c r="Z58" s="37" t="str">
        <x:v>unknown</x:v>
      </x:c>
      <x:c r="AA58" s="37" t="str">
        <x:v>접근부 추정점과 영상의 실제 횡단 착지부가 정합하지 않음</x:v>
      </x:c>
      <x:c r="AB58" s="37" t="str">
        <x:v>geometry_mismatch_candidate</x:v>
      </x:c>
      <x:c r="AC58" s="42" t="n">
        <x:v>0.58</x:v>
      </x:c>
      <x:c r="AD58" s="37" t="str">
        <x:v>Y</x:v>
      </x:c>
      <x:c r="AE58" s="44" t="str"/>
      <x:c r="AF58" s="37" t="str">
        <x:v>미반영(사람 승인 전)</x:v>
      </x:c>
    </x:row>
    <x:row r="59" ht="36" customHeight="1">
      <x:c r="A59" s="37" t="str">
        <x:v>CW27-A</x:v>
      </x:c>
      <x:c r="B59" s="37" t="str">
        <x:v>CW27</x:v>
      </x:c>
      <x:c r="C59" s="37" t="str">
        <x:v>A</x:v>
      </x:c>
      <x:c r="D59" s="37" t="str">
        <x:v>Y</x:v>
      </x:c>
      <x:c r="E59" s="37" t="str">
        <x:v>2025-11-17 11:57:25</x:v>
      </x:c>
      <x:c r="F59" s="42" t="n">
        <x:v>8.9</x:v>
      </x:c>
      <x:c r="G59" s="37" t="str">
        <x:v>https://map.kakao.com/link/roadview/37.3904568,126.9250558</x:v>
      </x:c>
      <x:c r="H59" s="37" t="str">
        <x:v>https://map.kakao.com/?panoid=1202969663&amp;pan=328.0&amp;zoom=0&amp;map_type=TYPE_MAP&amp;map_attribute=ROADVIEW&amp;urlX=483430.0&amp;urlY=1080878.0</x:v>
      </x:c>
      <x:c r="I59" s="37" t="str">
        <x:v>Codex_AI_precheck_1</x:v>
      </x:c>
      <x:c r="J59" s="37" t="str">
        <x:v>2026-09-15</x:v>
      </x:c>
      <x:c r="K59" s="37" t="str">
        <x:v>있음</x:v>
      </x:c>
      <x:c r="L59" s="37" t="str">
        <x:v>있음</x:v>
      </x:c>
      <x:c r="M59" s="37" t="str">
        <x:v>없음</x:v>
      </x:c>
      <x:c r="N59" s="37" t="str">
        <x:v>pass</x:v>
      </x:c>
      <x:c r="O59" s="37" t="str">
        <x:v>경사로와 점자블록이 보이고 통행공간이 열려 있음</x:v>
      </x:c>
      <x:c r="P59" s="37" t="str">
        <x:v>Codex_AI_precheck_2</x:v>
      </x:c>
      <x:c r="Q59" s="37" t="str">
        <x:v>2026-09-15</x:v>
      </x:c>
      <x:c r="R59" s="37" t="str">
        <x:v>있음</x:v>
      </x:c>
      <x:c r="S59" s="37" t="str">
        <x:v>있음</x:v>
      </x:c>
      <x:c r="T59" s="37" t="str">
        <x:v>없음</x:v>
      </x:c>
      <x:c r="U59" s="37" t="str">
        <x:v>pass</x:v>
      </x:c>
      <x:c r="V59" s="37" t="str">
        <x:v>역순·착지부 중심 재판독에서 경사로와 점자블록을 확인</x:v>
      </x:c>
      <x:c r="W59" s="37" t="str">
        <x:v>있음</x:v>
      </x:c>
      <x:c r="X59" s="37" t="str">
        <x:v>있음</x:v>
      </x:c>
      <x:c r="Y59" s="37" t="str">
        <x:v>없음</x:v>
      </x:c>
      <x:c r="Z59" s="37" t="str">
        <x:v>pass</x:v>
      </x:c>
      <x:c r="AA59" s="37" t="str">
        <x:v>경사로와 점자블록이 보이고 통행공간이 열려 있음</x:v>
      </x:c>
      <x:c r="AB59" s="37" t="str">
        <x:v>likely_accessible_candidate</x:v>
      </x:c>
      <x:c r="AC59" s="42" t="n">
        <x:v>0.82</x:v>
      </x:c>
      <x:c r="AD59" s="37" t="str">
        <x:v>Y</x:v>
      </x:c>
      <x:c r="AE59" s="44" t="str"/>
      <x:c r="AF59" s="37" t="str">
        <x:v>미반영(사람 승인 전)</x:v>
      </x:c>
    </x:row>
    <x:row r="60" ht="36" customHeight="1">
      <x:c r="A60" s="37" t="str">
        <x:v>CW27-B</x:v>
      </x:c>
      <x:c r="B60" s="37" t="str">
        <x:v>CW27</x:v>
      </x:c>
      <x:c r="C60" s="37" t="str">
        <x:v>B</x:v>
      </x:c>
      <x:c r="D60" s="37" t="str">
        <x:v>Y</x:v>
      </x:c>
      <x:c r="E60" s="37" t="str">
        <x:v>2025-11-17 11:57:25</x:v>
      </x:c>
      <x:c r="F60" s="42" t="n">
        <x:v>6.16</x:v>
      </x:c>
      <x:c r="G60" s="37" t="str">
        <x:v>https://map.kakao.com/link/roadview/37.3905261,126.9251850</x:v>
      </x:c>
      <x:c r="H60" s="37" t="str">
        <x:v>https://map.kakao.com/?panoid=1202969663&amp;pan=328.0&amp;zoom=0&amp;map_type=TYPE_MAP&amp;map_attribute=ROADVIEW&amp;urlX=483430.0&amp;urlY=1080878.0</x:v>
      </x:c>
      <x:c r="I60" s="37" t="str">
        <x:v>Codex_AI_precheck_1</x:v>
      </x:c>
      <x:c r="J60" s="37" t="str">
        <x:v>2026-09-15</x:v>
      </x:c>
      <x:c r="K60" s="37" t="str">
        <x:v>판독불가</x:v>
      </x:c>
      <x:c r="L60" s="37" t="str">
        <x:v>판독불가</x:v>
      </x:c>
      <x:c r="M60" s="37" t="str">
        <x:v>차량/적치물가림</x:v>
      </x:c>
      <x:c r="N60" s="37" t="str">
        <x:v>unknown</x:v>
      </x:c>
      <x:c r="O60" s="37" t="str">
        <x:v>차량·적치물 또는 공사물로 핵심 시설이 가려짐</x:v>
      </x:c>
      <x:c r="P60" s="37" t="str">
        <x:v>Codex_AI_precheck_2</x:v>
      </x:c>
      <x:c r="Q60" s="37" t="str">
        <x:v>2026-09-15</x:v>
      </x:c>
      <x:c r="R60" s="37" t="str">
        <x:v>판독불가</x:v>
      </x:c>
      <x:c r="S60" s="37" t="str">
        <x:v>판독불가</x:v>
      </x:c>
      <x:c r="T60" s="37" t="str">
        <x:v>차량/적치물가림</x:v>
      </x:c>
      <x:c r="U60" s="37" t="str">
        <x:v>unknown</x:v>
      </x:c>
      <x:c r="V60" s="37" t="str">
        <x:v>차량·적치물 또는 공사물로 핵심 시설이 가려짐</x:v>
      </x:c>
      <x:c r="W60" s="37" t="str">
        <x:v>판독불가</x:v>
      </x:c>
      <x:c r="X60" s="37" t="str">
        <x:v>판독불가</x:v>
      </x:c>
      <x:c r="Y60" s="37" t="str">
        <x:v>차량/적치물가림</x:v>
      </x:c>
      <x:c r="Z60" s="37" t="str">
        <x:v>unknown</x:v>
      </x:c>
      <x:c r="AA60" s="37" t="str">
        <x:v>차량·적치물 또는 공사물로 핵심 시설이 가려짐</x:v>
      </x:c>
      <x:c r="AB60" s="37" t="str">
        <x:v>occlusion_review_needed</x:v>
      </x:c>
      <x:c r="AC60" s="42" t="n">
        <x:v>0.52</x:v>
      </x:c>
      <x:c r="AD60" s="37" t="str">
        <x:v>Y</x:v>
      </x:c>
      <x:c r="AE60" s="44" t="str"/>
      <x:c r="AF60" s="37" t="str">
        <x:v>미반영(사람 승인 전)</x:v>
      </x:c>
    </x:row>
    <x:row r="61" ht="36" customHeight="1">
      <x:c r="A61" s="37" t="str">
        <x:v>CW28-A</x:v>
      </x:c>
      <x:c r="B61" s="37" t="str">
        <x:v>CW28</x:v>
      </x:c>
      <x:c r="C61" s="37" t="str">
        <x:v>A</x:v>
      </x:c>
      <x:c r="D61" s="37" t="str">
        <x:v>N</x:v>
      </x:c>
      <x:c r="E61" s="37" t="str">
        <x:v>2025-11-17 13:29:46</x:v>
      </x:c>
      <x:c r="F61" s="42" t="n">
        <x:v>3.89</x:v>
      </x:c>
      <x:c r="G61" s="37" t="str">
        <x:v>https://map.kakao.com/link/roadview/37.3904031,126.9253464</x:v>
      </x:c>
      <x:c r="H61" s="37" t="str">
        <x:v>https://map.kakao.com/?panoid=1202970288&amp;pan=58.4&amp;zoom=0&amp;map_type=TYPE_MAP&amp;map_attribute=ROADVIEW&amp;urlX=483475.0&amp;urlY=1080867.0</x:v>
      </x:c>
      <x:c r="I61" s="37" t="str">
        <x:v>Codex_AI_precheck_1</x:v>
      </x:c>
      <x:c r="J61" s="37" t="str">
        <x:v>2026-09-15</x:v>
      </x:c>
      <x:c r="K61" s="37" t="str">
        <x:v>판독불가</x:v>
      </x:c>
      <x:c r="L61" s="37" t="str">
        <x:v>판독불가</x:v>
      </x:c>
      <x:c r="M61" s="37" t="str">
        <x:v>시야불충분</x:v>
      </x:c>
      <x:c r="N61" s="37" t="str">
        <x:v>unknown</x:v>
      </x:c>
      <x:c r="O61" s="37" t="str">
        <x:v>착지부가 카메라 직하부·화면 밖에 있어 핵심 시설을 확인할 수 없음</x:v>
      </x:c>
      <x:c r="P61" s="37" t="str"/>
      <x:c r="Q61" s="37" t="str"/>
      <x:c r="R61" s="37" t="str"/>
      <x:c r="S61" s="37" t="str"/>
      <x:c r="T61" s="37" t="str"/>
      <x:c r="U61" s="37" t="str"/>
      <x:c r="V61" s="37" t="str"/>
      <x:c r="W61" s="37" t="str">
        <x:v>판독불가</x:v>
      </x:c>
      <x:c r="X61" s="37" t="str">
        <x:v>판독불가</x:v>
      </x:c>
      <x:c r="Y61" s="37" t="str">
        <x:v>시야불충분</x:v>
      </x:c>
      <x:c r="Z61" s="37" t="str">
        <x:v>unknown</x:v>
      </x:c>
      <x:c r="AA61" s="37" t="str">
        <x:v>착지부가 카메라 직하부·화면 밖에 있어 핵심 시설을 확인할 수 없음</x:v>
      </x:c>
      <x:c r="AB61" s="37" t="str">
        <x:v>visibility_review_needed</x:v>
      </x:c>
      <x:c r="AC61" s="42" t="n">
        <x:v>0.52</x:v>
      </x:c>
      <x:c r="AD61" s="37" t="str">
        <x:v>Y</x:v>
      </x:c>
      <x:c r="AE61" s="44" t="str"/>
      <x:c r="AF61" s="37" t="str">
        <x:v>미반영(사람 승인 전)</x:v>
      </x:c>
    </x:row>
    <x:row r="62" ht="36" customHeight="1">
      <x:c r="A62" s="37" t="str">
        <x:v>CW28-B</x:v>
      </x:c>
      <x:c r="B62" s="37" t="str">
        <x:v>CW28</x:v>
      </x:c>
      <x:c r="C62" s="37" t="str">
        <x:v>B</x:v>
      </x:c>
      <x:c r="D62" s="37" t="str">
        <x:v>N</x:v>
      </x:c>
      <x:c r="E62" s="37" t="str">
        <x:v>2025-11-17 11:57:25</x:v>
      </x:c>
      <x:c r="F62" s="42" t="n">
        <x:v>10.14</x:v>
      </x:c>
      <x:c r="G62" s="37" t="str">
        <x:v>https://map.kakao.com/link/roadview/37.3905063,126.9252620</x:v>
      </x:c>
      <x:c r="H62" s="37" t="str">
        <x:v>https://map.kakao.com/?panoid=1202969663&amp;pan=328.0&amp;zoom=0&amp;map_type=TYPE_MAP&amp;map_attribute=ROADVIEW&amp;urlX=483430.0&amp;urlY=1080878.0</x:v>
      </x:c>
      <x:c r="I62" s="37" t="str">
        <x:v>Codex_AI_precheck_1</x:v>
      </x:c>
      <x:c r="J62" s="37" t="str">
        <x:v>2026-09-15</x:v>
      </x:c>
      <x:c r="K62" s="37" t="str">
        <x:v>있음</x:v>
      </x:c>
      <x:c r="L62" s="37" t="str">
        <x:v>있음</x:v>
      </x:c>
      <x:c r="M62" s="37" t="str">
        <x:v>없음</x:v>
      </x:c>
      <x:c r="N62" s="37" t="str">
        <x:v>pass</x:v>
      </x:c>
      <x:c r="O62" s="37" t="str">
        <x:v>경사로와 점자블록이 보이고 통행공간이 열려 있음</x:v>
      </x:c>
      <x:c r="P62" s="37" t="str"/>
      <x:c r="Q62" s="37" t="str"/>
      <x:c r="R62" s="37" t="str"/>
      <x:c r="S62" s="37" t="str"/>
      <x:c r="T62" s="37" t="str"/>
      <x:c r="U62" s="37" t="str"/>
      <x:c r="V62" s="37" t="str"/>
      <x:c r="W62" s="37" t="str">
        <x:v>있음</x:v>
      </x:c>
      <x:c r="X62" s="37" t="str">
        <x:v>있음</x:v>
      </x:c>
      <x:c r="Y62" s="37" t="str">
        <x:v>없음</x:v>
      </x:c>
      <x:c r="Z62" s="37" t="str">
        <x:v>pass</x:v>
      </x:c>
      <x:c r="AA62" s="37" t="str">
        <x:v>경사로와 점자블록이 보이고 통행공간이 열려 있음</x:v>
      </x:c>
      <x:c r="AB62" s="37" t="str">
        <x:v>likely_accessible_candidate</x:v>
      </x:c>
      <x:c r="AC62" s="42" t="n">
        <x:v>0.82</x:v>
      </x:c>
      <x:c r="AD62" s="37" t="str">
        <x:v>Y</x:v>
      </x:c>
      <x:c r="AE62" s="44" t="str"/>
      <x:c r="AF62" s="37" t="str">
        <x:v>미반영(사람 승인 전)</x:v>
      </x:c>
    </x:row>
    <x:row r="63" ht="36" customHeight="1">
      <x:c r="A63" s="37" t="str">
        <x:v>CW29-A</x:v>
      </x:c>
      <x:c r="B63" s="37" t="str">
        <x:v>CW29</x:v>
      </x:c>
      <x:c r="C63" s="37" t="str">
        <x:v>A</x:v>
      </x:c>
      <x:c r="D63" s="37" t="str">
        <x:v>Y</x:v>
      </x:c>
      <x:c r="E63" s="37" t="str">
        <x:v>2025-11-17 13:29:43</x:v>
      </x:c>
      <x:c r="F63" s="42" t="n">
        <x:v>3.48</x:v>
      </x:c>
      <x:c r="G63" s="37" t="str">
        <x:v>https://map.kakao.com/link/roadview/37.3903101,126.9250887</x:v>
      </x:c>
      <x:c r="H63" s="37" t="str">
        <x:v>https://map.kakao.com/?panoid=1202970285&amp;pan=67.5&amp;zoom=0&amp;map_type=TYPE_MAP&amp;map_attribute=ROADVIEW&amp;urlX=483408.0&amp;urlY=1080836.0</x:v>
      </x:c>
      <x:c r="I63" s="37" t="str">
        <x:v>Codex_AI_precheck_1</x:v>
      </x:c>
      <x:c r="J63" s="37" t="str">
        <x:v>2026-09-15</x:v>
      </x:c>
      <x:c r="K63" s="37" t="str">
        <x:v>있음</x:v>
      </x:c>
      <x:c r="L63" s="37" t="str">
        <x:v>있음</x:v>
      </x:c>
      <x:c r="M63" s="37" t="str">
        <x:v>없음</x:v>
      </x:c>
      <x:c r="N63" s="37" t="str">
        <x:v>pass</x:v>
      </x:c>
      <x:c r="O63" s="37" t="str">
        <x:v>경사로와 점자블록이 보이고 통행공간이 열려 있음</x:v>
      </x:c>
      <x:c r="P63" s="37" t="str">
        <x:v>Codex_AI_precheck_2</x:v>
      </x:c>
      <x:c r="Q63" s="37" t="str">
        <x:v>2026-09-15</x:v>
      </x:c>
      <x:c r="R63" s="37" t="str">
        <x:v>있음</x:v>
      </x:c>
      <x:c r="S63" s="37" t="str">
        <x:v>있음</x:v>
      </x:c>
      <x:c r="T63" s="37" t="str">
        <x:v>없음</x:v>
      </x:c>
      <x:c r="U63" s="37" t="str">
        <x:v>pass</x:v>
      </x:c>
      <x:c r="V63" s="37" t="str">
        <x:v>역순·착지부 중심 재판독에서 경사로와 점자블록을 확인</x:v>
      </x:c>
      <x:c r="W63" s="37" t="str">
        <x:v>있음</x:v>
      </x:c>
      <x:c r="X63" s="37" t="str">
        <x:v>있음</x:v>
      </x:c>
      <x:c r="Y63" s="37" t="str">
        <x:v>없음</x:v>
      </x:c>
      <x:c r="Z63" s="37" t="str">
        <x:v>pass</x:v>
      </x:c>
      <x:c r="AA63" s="37" t="str">
        <x:v>경사로와 점자블록이 보이고 통행공간이 열려 있음</x:v>
      </x:c>
      <x:c r="AB63" s="37" t="str">
        <x:v>likely_accessible_candidate</x:v>
      </x:c>
      <x:c r="AC63" s="42" t="n">
        <x:v>0.82</x:v>
      </x:c>
      <x:c r="AD63" s="37" t="str">
        <x:v>Y</x:v>
      </x:c>
      <x:c r="AE63" s="44" t="str"/>
      <x:c r="AF63" s="37" t="str">
        <x:v>미반영(사람 승인 전)</x:v>
      </x:c>
    </x:row>
    <x:row r="64" ht="36" customHeight="1">
      <x:c r="A64" s="37" t="str">
        <x:v>CW29-B</x:v>
      </x:c>
      <x:c r="B64" s="37" t="str">
        <x:v>CW29</x:v>
      </x:c>
      <x:c r="C64" s="37" t="str">
        <x:v>B</x:v>
      </x:c>
      <x:c r="D64" s="37" t="str">
        <x:v>Y</x:v>
      </x:c>
      <x:c r="E64" s="37" t="str">
        <x:v>2025-11-17 13:29:43</x:v>
      </x:c>
      <x:c r="F64" s="42" t="n">
        <x:v>8.73</x:v>
      </x:c>
      <x:c r="G64" s="37" t="str">
        <x:v>https://map.kakao.com/link/roadview/37.3904032,126.9250423</x:v>
      </x:c>
      <x:c r="H64" s="37" t="str">
        <x:v>https://map.kakao.com/?panoid=1202970285&amp;pan=67.5&amp;zoom=0&amp;map_type=TYPE_MAP&amp;map_attribute=ROADVIEW&amp;urlX=483408.0&amp;urlY=1080836.0</x:v>
      </x:c>
      <x:c r="I64" s="37" t="str">
        <x:v>Codex_AI_precheck_1</x:v>
      </x:c>
      <x:c r="J64" s="37" t="str">
        <x:v>2026-09-15</x:v>
      </x:c>
      <x:c r="K64" s="37" t="str">
        <x:v>있음</x:v>
      </x:c>
      <x:c r="L64" s="37" t="str">
        <x:v>있음</x:v>
      </x:c>
      <x:c r="M64" s="37" t="str">
        <x:v>없음</x:v>
      </x:c>
      <x:c r="N64" s="37" t="str">
        <x:v>pass</x:v>
      </x:c>
      <x:c r="O64" s="37" t="str">
        <x:v>경사로와 점자블록이 보이고 통행공간이 열려 있음</x:v>
      </x:c>
      <x:c r="P64" s="37" t="str">
        <x:v>Codex_AI_precheck_2</x:v>
      </x:c>
      <x:c r="Q64" s="37" t="str">
        <x:v>2026-09-15</x:v>
      </x:c>
      <x:c r="R64" s="37" t="str">
        <x:v>있음</x:v>
      </x:c>
      <x:c r="S64" s="37" t="str">
        <x:v>있음</x:v>
      </x:c>
      <x:c r="T64" s="37" t="str">
        <x:v>없음</x:v>
      </x:c>
      <x:c r="U64" s="37" t="str">
        <x:v>pass</x:v>
      </x:c>
      <x:c r="V64" s="37" t="str">
        <x:v>역순·착지부 중심 재판독에서 경사로와 점자블록을 확인</x:v>
      </x:c>
      <x:c r="W64" s="37" t="str">
        <x:v>있음</x:v>
      </x:c>
      <x:c r="X64" s="37" t="str">
        <x:v>있음</x:v>
      </x:c>
      <x:c r="Y64" s="37" t="str">
        <x:v>없음</x:v>
      </x:c>
      <x:c r="Z64" s="37" t="str">
        <x:v>pass</x:v>
      </x:c>
      <x:c r="AA64" s="37" t="str">
        <x:v>경사로와 점자블록이 보이고 통행공간이 열려 있음</x:v>
      </x:c>
      <x:c r="AB64" s="37" t="str">
        <x:v>likely_accessible_candidate</x:v>
      </x:c>
      <x:c r="AC64" s="42" t="n">
        <x:v>0.82</x:v>
      </x:c>
      <x:c r="AD64" s="37" t="str">
        <x:v>Y</x:v>
      </x:c>
      <x:c r="AE64" s="44" t="str"/>
      <x:c r="AF64" s="37" t="str">
        <x:v>미반영(사람 승인 전)</x:v>
      </x:c>
    </x:row>
    <x:row r="65" ht="36" customHeight="1">
      <x:c r="A65" s="37" t="str">
        <x:v>CW30-A</x:v>
      </x:c>
      <x:c r="B65" s="37" t="str">
        <x:v>CW30</x:v>
      </x:c>
      <x:c r="C65" s="37" t="str">
        <x:v>A</x:v>
      </x:c>
      <x:c r="D65" s="37" t="str">
        <x:v>N</x:v>
      </x:c>
      <x:c r="E65" s="37" t="str">
        <x:v>2025-11-17 13:29:32</x:v>
      </x:c>
      <x:c r="F65" s="42" t="n">
        <x:v>4.88</x:v>
      </x:c>
      <x:c r="G65" s="37" t="str">
        <x:v>https://map.kakao.com/link/roadview/37.3901262,126.9240946</x:v>
      </x:c>
      <x:c r="H65" s="37" t="str">
        <x:v>https://map.kakao.com/?panoid=1202970276&amp;pan=110.3&amp;zoom=0&amp;map_type=TYPE_MAP&amp;map_attribute=ROADVIEW&amp;urlX=483198.0&amp;urlY=1080769.0</x:v>
      </x:c>
      <x:c r="I65" s="37" t="str">
        <x:v>Codex_AI_precheck_1</x:v>
      </x:c>
      <x:c r="J65" s="37" t="str">
        <x:v>2026-09-15</x:v>
      </x:c>
      <x:c r="K65" s="37" t="str">
        <x:v>판독불가</x:v>
      </x:c>
      <x:c r="L65" s="37" t="str">
        <x:v>판독불가</x:v>
      </x:c>
      <x:c r="M65" s="37" t="str">
        <x:v>시야불충분</x:v>
      </x:c>
      <x:c r="N65" s="37" t="str">
        <x:v>unknown</x:v>
      </x:c>
      <x:c r="O65" s="37" t="str">
        <x:v>착지부가 카메라 직하부·화면 밖에 있어 핵심 시설을 확인할 수 없음</x:v>
      </x:c>
      <x:c r="P65" s="37" t="str"/>
      <x:c r="Q65" s="37" t="str"/>
      <x:c r="R65" s="37" t="str"/>
      <x:c r="S65" s="37" t="str"/>
      <x:c r="T65" s="37" t="str"/>
      <x:c r="U65" s="37" t="str"/>
      <x:c r="V65" s="37" t="str"/>
      <x:c r="W65" s="37" t="str">
        <x:v>판독불가</x:v>
      </x:c>
      <x:c r="X65" s="37" t="str">
        <x:v>판독불가</x:v>
      </x:c>
      <x:c r="Y65" s="37" t="str">
        <x:v>시야불충분</x:v>
      </x:c>
      <x:c r="Z65" s="37" t="str">
        <x:v>unknown</x:v>
      </x:c>
      <x:c r="AA65" s="37" t="str">
        <x:v>착지부가 카메라 직하부·화면 밖에 있어 핵심 시설을 확인할 수 없음</x:v>
      </x:c>
      <x:c r="AB65" s="37" t="str">
        <x:v>visibility_review_needed</x:v>
      </x:c>
      <x:c r="AC65" s="42" t="n">
        <x:v>0.52</x:v>
      </x:c>
      <x:c r="AD65" s="37" t="str">
        <x:v>Y</x:v>
      </x:c>
      <x:c r="AE65" s="44" t="str"/>
      <x:c r="AF65" s="37" t="str">
        <x:v>미반영(사람 승인 전)</x:v>
      </x:c>
    </x:row>
    <x:row r="66" ht="36" customHeight="1">
      <x:c r="A66" s="37" t="str">
        <x:v>CW30-B</x:v>
      </x:c>
      <x:c r="B66" s="37" t="str">
        <x:v>CW30</x:v>
      </x:c>
      <x:c r="C66" s="37" t="str">
        <x:v>B</x:v>
      </x:c>
      <x:c r="D66" s="37" t="str">
        <x:v>N</x:v>
      </x:c>
      <x:c r="E66" s="37" t="str">
        <x:v>2025-11-17 13:29:32</x:v>
      </x:c>
      <x:c r="F66" s="42" t="n">
        <x:v>13.66</x:v>
      </x:c>
      <x:c r="G66" s="37" t="str">
        <x:v>https://map.kakao.com/link/roadview/37.3902047,126.9241286</x:v>
      </x:c>
      <x:c r="H66" s="37" t="str">
        <x:v>https://map.kakao.com/?panoid=1202970276&amp;pan=110.3&amp;zoom=0&amp;map_type=TYPE_MAP&amp;map_attribute=ROADVIEW&amp;urlX=483198.0&amp;urlY=1080769.0</x:v>
      </x:c>
      <x:c r="I66" s="37" t="str">
        <x:v>Codex_AI_precheck_1</x:v>
      </x:c>
      <x:c r="J66" s="37" t="str">
        <x:v>2026-09-15</x:v>
      </x:c>
      <x:c r="K66" s="37" t="str">
        <x:v>있음</x:v>
      </x:c>
      <x:c r="L66" s="37" t="str">
        <x:v>있음</x:v>
      </x:c>
      <x:c r="M66" s="37" t="str">
        <x:v>없음</x:v>
      </x:c>
      <x:c r="N66" s="37" t="str">
        <x:v>pass</x:v>
      </x:c>
      <x:c r="O66" s="37" t="str">
        <x:v>경사로와 점자블록이 보이고 통행공간이 열려 있음</x:v>
      </x:c>
      <x:c r="P66" s="37" t="str"/>
      <x:c r="Q66" s="37" t="str"/>
      <x:c r="R66" s="37" t="str"/>
      <x:c r="S66" s="37" t="str"/>
      <x:c r="T66" s="37" t="str"/>
      <x:c r="U66" s="37" t="str"/>
      <x:c r="V66" s="37" t="str"/>
      <x:c r="W66" s="37" t="str">
        <x:v>있음</x:v>
      </x:c>
      <x:c r="X66" s="37" t="str">
        <x:v>있음</x:v>
      </x:c>
      <x:c r="Y66" s="37" t="str">
        <x:v>없음</x:v>
      </x:c>
      <x:c r="Z66" s="37" t="str">
        <x:v>pass</x:v>
      </x:c>
      <x:c r="AA66" s="37" t="str">
        <x:v>경사로와 점자블록이 보이고 통행공간이 열려 있음</x:v>
      </x:c>
      <x:c r="AB66" s="37" t="str">
        <x:v>likely_accessible_candidate</x:v>
      </x:c>
      <x:c r="AC66" s="42" t="n">
        <x:v>0.82</x:v>
      </x:c>
      <x:c r="AD66" s="37" t="str">
        <x:v>Y</x:v>
      </x:c>
      <x:c r="AE66" s="44" t="str"/>
      <x:c r="AF66" s="37" t="str">
        <x:v>미반영(사람 승인 전)</x:v>
      </x:c>
    </x:row>
    <x:row r="67" ht="36" customHeight="1">
      <x:c r="A67" s="37" t="str">
        <x:v>CW31-A</x:v>
      </x:c>
      <x:c r="B67" s="37" t="str">
        <x:v>CW31</x:v>
      </x:c>
      <x:c r="C67" s="37" t="str">
        <x:v>A</x:v>
      </x:c>
      <x:c r="D67" s="37" t="str">
        <x:v>N</x:v>
      </x:c>
      <x:c r="E67" s="37" t="str">
        <x:v>2025-11-17 11:57:23</x:v>
      </x:c>
      <x:c r="F67" s="42" t="n">
        <x:v>5.35</x:v>
      </x:c>
      <x:c r="G67" s="37" t="str">
        <x:v>https://map.kakao.com/link/roadview/37.3903237,126.9252060</x:v>
      </x:c>
      <x:c r="H67" s="37" t="str">
        <x:v>https://map.kakao.com/?panoid=1202969661&amp;pan=334.4&amp;zoom=0&amp;map_type=TYPE_MAP&amp;map_attribute=ROADVIEW&amp;urlX=483455.0&amp;urlY=1080835.0</x:v>
      </x:c>
      <x:c r="I67" s="37" t="str">
        <x:v>Codex_AI_precheck_1</x:v>
      </x:c>
      <x:c r="J67" s="37" t="str">
        <x:v>2026-09-15</x:v>
      </x:c>
      <x:c r="K67" s="37" t="str">
        <x:v>판독불가</x:v>
      </x:c>
      <x:c r="L67" s="37" t="str">
        <x:v>판독불가</x:v>
      </x:c>
      <x:c r="M67" s="37" t="str">
        <x:v>시야불충분</x:v>
      </x:c>
      <x:c r="N67" s="37" t="str">
        <x:v>unknown</x:v>
      </x:c>
      <x:c r="O67" s="37" t="str">
        <x:v>착지부가 카메라 직하부·화면 밖에 있어 핵심 시설을 확인할 수 없음</x:v>
      </x:c>
      <x:c r="P67" s="37" t="str"/>
      <x:c r="Q67" s="37" t="str"/>
      <x:c r="R67" s="37" t="str"/>
      <x:c r="S67" s="37" t="str"/>
      <x:c r="T67" s="37" t="str"/>
      <x:c r="U67" s="37" t="str"/>
      <x:c r="V67" s="37" t="str"/>
      <x:c r="W67" s="37" t="str">
        <x:v>판독불가</x:v>
      </x:c>
      <x:c r="X67" s="37" t="str">
        <x:v>판독불가</x:v>
      </x:c>
      <x:c r="Y67" s="37" t="str">
        <x:v>시야불충분</x:v>
      </x:c>
      <x:c r="Z67" s="37" t="str">
        <x:v>unknown</x:v>
      </x:c>
      <x:c r="AA67" s="37" t="str">
        <x:v>착지부가 카메라 직하부·화면 밖에 있어 핵심 시설을 확인할 수 없음</x:v>
      </x:c>
      <x:c r="AB67" s="37" t="str">
        <x:v>visibility_review_needed</x:v>
      </x:c>
      <x:c r="AC67" s="42" t="n">
        <x:v>0.52</x:v>
      </x:c>
      <x:c r="AD67" s="37" t="str">
        <x:v>Y</x:v>
      </x:c>
      <x:c r="AE67" s="44" t="str"/>
      <x:c r="AF67" s="37" t="str">
        <x:v>미반영(사람 승인 전)</x:v>
      </x:c>
    </x:row>
    <x:row r="68" ht="36" customHeight="1">
      <x:c r="A68" s="37" t="str">
        <x:v>CW31-B</x:v>
      </x:c>
      <x:c r="B68" s="37" t="str">
        <x:v>CW31</x:v>
      </x:c>
      <x:c r="C68" s="37" t="str">
        <x:v>B</x:v>
      </x:c>
      <x:c r="D68" s="37" t="str">
        <x:v>N</x:v>
      </x:c>
      <x:c r="E68" s="37" t="str">
        <x:v>2025-11-17 13:29:46</x:v>
      </x:c>
      <x:c r="F68" s="42" t="n">
        <x:v>8.1</x:v>
      </x:c>
      <x:c r="G68" s="37" t="str">
        <x:v>https://map.kakao.com/link/roadview/37.3903649,126.9253450</x:v>
      </x:c>
      <x:c r="H68" s="37" t="str">
        <x:v>https://map.kakao.com/?panoid=1202970288&amp;pan=58.4&amp;zoom=0&amp;map_type=TYPE_MAP&amp;map_attribute=ROADVIEW&amp;urlX=483475.0&amp;urlY=1080867.0</x:v>
      </x:c>
      <x:c r="I68" s="37" t="str">
        <x:v>Codex_AI_precheck_1</x:v>
      </x:c>
      <x:c r="J68" s="37" t="str">
        <x:v>2026-09-15</x:v>
      </x:c>
      <x:c r="K68" s="37" t="str">
        <x:v>있음</x:v>
      </x:c>
      <x:c r="L68" s="37" t="str">
        <x:v>있음</x:v>
      </x:c>
      <x:c r="M68" s="37" t="str">
        <x:v>없음</x:v>
      </x:c>
      <x:c r="N68" s="37" t="str">
        <x:v>pass</x:v>
      </x:c>
      <x:c r="O68" s="37" t="str">
        <x:v>경사로와 점자블록이 보이고 통행공간이 열려 있음</x:v>
      </x:c>
      <x:c r="P68" s="37" t="str"/>
      <x:c r="Q68" s="37" t="str"/>
      <x:c r="R68" s="37" t="str"/>
      <x:c r="S68" s="37" t="str"/>
      <x:c r="T68" s="37" t="str"/>
      <x:c r="U68" s="37" t="str"/>
      <x:c r="V68" s="37" t="str"/>
      <x:c r="W68" s="37" t="str">
        <x:v>있음</x:v>
      </x:c>
      <x:c r="X68" s="37" t="str">
        <x:v>있음</x:v>
      </x:c>
      <x:c r="Y68" s="37" t="str">
        <x:v>없음</x:v>
      </x:c>
      <x:c r="Z68" s="37" t="str">
        <x:v>pass</x:v>
      </x:c>
      <x:c r="AA68" s="37" t="str">
        <x:v>경사로와 점자블록이 보이고 통행공간이 열려 있음</x:v>
      </x:c>
      <x:c r="AB68" s="37" t="str">
        <x:v>likely_accessible_candidate</x:v>
      </x:c>
      <x:c r="AC68" s="42" t="n">
        <x:v>0.82</x:v>
      </x:c>
      <x:c r="AD68" s="37" t="str">
        <x:v>Y</x:v>
      </x:c>
      <x:c r="AE68" s="44" t="str"/>
      <x:c r="AF68" s="37" t="str">
        <x:v>미반영(사람 승인 전)</x:v>
      </x:c>
    </x:row>
    <x:row r="69" ht="36" customHeight="1">
      <x:c r="A69" s="37" t="str">
        <x:v>CW32-A</x:v>
      </x:c>
      <x:c r="B69" s="37" t="str">
        <x:v>CW32</x:v>
      </x:c>
      <x:c r="C69" s="37" t="str">
        <x:v>A</x:v>
      </x:c>
      <x:c r="D69" s="37" t="str">
        <x:v>Y</x:v>
      </x:c>
      <x:c r="E69" s="37" t="str">
        <x:v>2025-11-17 13:29:35</x:v>
      </x:c>
      <x:c r="F69" s="42" t="n">
        <x:v>4.79</x:v>
      </x:c>
      <x:c r="G69" s="37" t="str">
        <x:v>https://map.kakao.com/link/roadview/37.3900488,126.9242948</x:v>
      </x:c>
      <x:c r="H69" s="37" t="str">
        <x:v>https://map.kakao.com/?panoid=1202970278&amp;pan=71.5&amp;zoom=0&amp;map_type=TYPE_MAP&amp;map_attribute=ROADVIEW&amp;urlX=483247.0&amp;urlY=1080769.0</x:v>
      </x:c>
      <x:c r="I69" s="37" t="str">
        <x:v>Codex_AI_precheck_1</x:v>
      </x:c>
      <x:c r="J69" s="37" t="str">
        <x:v>2026-09-15</x:v>
      </x:c>
      <x:c r="K69" s="37" t="str">
        <x:v>판독불가</x:v>
      </x:c>
      <x:c r="L69" s="37" t="str">
        <x:v>판독불가</x:v>
      </x:c>
      <x:c r="M69" s="37" t="str">
        <x:v>시야불충분</x:v>
      </x:c>
      <x:c r="N69" s="37" t="str">
        <x:v>unknown</x:v>
      </x:c>
      <x:c r="O69" s="37" t="str">
        <x:v>착지부가 카메라 직하부·화면 밖에 있어 핵심 시설을 확인할 수 없음</x:v>
      </x:c>
      <x:c r="P69" s="37" t="str">
        <x:v>Codex_AI_precheck_2</x:v>
      </x:c>
      <x:c r="Q69" s="37" t="str">
        <x:v>2026-09-15</x:v>
      </x:c>
      <x:c r="R69" s="37" t="str">
        <x:v>판독불가</x:v>
      </x:c>
      <x:c r="S69" s="37" t="str">
        <x:v>판독불가</x:v>
      </x:c>
      <x:c r="T69" s="37" t="str">
        <x:v>시야불충분</x:v>
      </x:c>
      <x:c r="U69" s="37" t="str">
        <x:v>unknown</x:v>
      </x:c>
      <x:c r="V69" s="37" t="str">
        <x:v>착지부가 카메라 직하부·화면 밖에 있어 핵심 시설을 확인할 수 없음</x:v>
      </x:c>
      <x:c r="W69" s="37" t="str">
        <x:v>판독불가</x:v>
      </x:c>
      <x:c r="X69" s="37" t="str">
        <x:v>판독불가</x:v>
      </x:c>
      <x:c r="Y69" s="37" t="str">
        <x:v>시야불충분</x:v>
      </x:c>
      <x:c r="Z69" s="37" t="str">
        <x:v>unknown</x:v>
      </x:c>
      <x:c r="AA69" s="37" t="str">
        <x:v>착지부가 카메라 직하부·화면 밖에 있어 핵심 시설을 확인할 수 없음</x:v>
      </x:c>
      <x:c r="AB69" s="37" t="str">
        <x:v>visibility_review_needed</x:v>
      </x:c>
      <x:c r="AC69" s="42" t="n">
        <x:v>0.52</x:v>
      </x:c>
      <x:c r="AD69" s="37" t="str">
        <x:v>Y</x:v>
      </x:c>
      <x:c r="AE69" s="44" t="str"/>
      <x:c r="AF69" s="37" t="str">
        <x:v>미반영(사람 승인 전)</x:v>
      </x:c>
    </x:row>
    <x:row r="70" ht="36" customHeight="1">
      <x:c r="A70" s="37" t="str">
        <x:v>CW32-B</x:v>
      </x:c>
      <x:c r="B70" s="37" t="str">
        <x:v>CW32</x:v>
      </x:c>
      <x:c r="C70" s="37" t="str">
        <x:v>B</x:v>
      </x:c>
      <x:c r="D70" s="37" t="str">
        <x:v>Y</x:v>
      </x:c>
      <x:c r="E70" s="37" t="str">
        <x:v>2025-11-17 13:29:34</x:v>
      </x:c>
      <x:c r="F70" s="42" t="n">
        <x:v>7.06</x:v>
      </x:c>
      <x:c r="G70" s="37" t="str">
        <x:v>https://map.kakao.com/link/roadview/37.3901217,126.9242586</x:v>
      </x:c>
      <x:c r="H70" s="37" t="str">
        <x:v>https://map.kakao.com/?panoid=1202970277&amp;pan=90.4&amp;zoom=0&amp;map_type=TYPE_MAP&amp;map_attribute=ROADVIEW&amp;urlX=483222.0&amp;urlY=1080765.0</x:v>
      </x:c>
      <x:c r="I70" s="37" t="str">
        <x:v>Codex_AI_precheck_1</x:v>
      </x:c>
      <x:c r="J70" s="37" t="str">
        <x:v>2026-09-15</x:v>
      </x:c>
      <x:c r="K70" s="37" t="str">
        <x:v>있음</x:v>
      </x:c>
      <x:c r="L70" s="37" t="str">
        <x:v>있음</x:v>
      </x:c>
      <x:c r="M70" s="37" t="str">
        <x:v>없음</x:v>
      </x:c>
      <x:c r="N70" s="37" t="str">
        <x:v>pass</x:v>
      </x:c>
      <x:c r="O70" s="37" t="str">
        <x:v>경사로와 점자블록이 보이고 통행공간이 열려 있음</x:v>
      </x:c>
      <x:c r="P70" s="37" t="str">
        <x:v>Codex_AI_precheck_2</x:v>
      </x:c>
      <x:c r="Q70" s="37" t="str">
        <x:v>2026-09-15</x:v>
      </x:c>
      <x:c r="R70" s="37" t="str">
        <x:v>있음</x:v>
      </x:c>
      <x:c r="S70" s="37" t="str">
        <x:v>있음</x:v>
      </x:c>
      <x:c r="T70" s="37" t="str">
        <x:v>없음</x:v>
      </x:c>
      <x:c r="U70" s="37" t="str">
        <x:v>pass</x:v>
      </x:c>
      <x:c r="V70" s="37" t="str">
        <x:v>역순·착지부 중심 재판독에서 경사로와 점자블록을 확인</x:v>
      </x:c>
      <x:c r="W70" s="37" t="str">
        <x:v>있음</x:v>
      </x:c>
      <x:c r="X70" s="37" t="str">
        <x:v>있음</x:v>
      </x:c>
      <x:c r="Y70" s="37" t="str">
        <x:v>없음</x:v>
      </x:c>
      <x:c r="Z70" s="37" t="str">
        <x:v>pass</x:v>
      </x:c>
      <x:c r="AA70" s="37" t="str">
        <x:v>경사로와 점자블록이 보이고 통행공간이 열려 있음</x:v>
      </x:c>
      <x:c r="AB70" s="37" t="str">
        <x:v>likely_accessible_candidate</x:v>
      </x:c>
      <x:c r="AC70" s="42" t="n">
        <x:v>0.82</x:v>
      </x:c>
      <x:c r="AD70" s="37" t="str">
        <x:v>Y</x:v>
      </x:c>
      <x:c r="AE70" s="44" t="str"/>
      <x:c r="AF70" s="37" t="str">
        <x:v>미반영(사람 승인 전)</x:v>
      </x:c>
    </x:row>
    <x:row r="71" ht="36" customHeight="1">
      <x:c r="A71" s="37" t="str">
        <x:v>CW33-A</x:v>
      </x:c>
      <x:c r="B71" s="37" t="str">
        <x:v>CW33</x:v>
      </x:c>
      <x:c r="C71" s="37" t="str">
        <x:v>A</x:v>
      </x:c>
      <x:c r="D71" s="37" t="str">
        <x:v>Y</x:v>
      </x:c>
      <x:c r="E71" s="37" t="str">
        <x:v>2025-11-17 15:39:09</x:v>
      </x:c>
      <x:c r="F71" s="42" t="n">
        <x:v>4.02</x:v>
      </x:c>
      <x:c r="G71" s="37" t="str">
        <x:v>https://map.kakao.com/link/roadview/37.3899822,126.9254940</x:v>
      </x:c>
      <x:c r="H71" s="37" t="str">
        <x:v>https://map.kakao.com/?panoid=1202972599&amp;pan=251.4&amp;zoom=0&amp;map_type=TYPE_MAP&amp;map_attribute=ROADVIEW&amp;urlX=483511.0&amp;urlY=1080749.0</x:v>
      </x:c>
      <x:c r="I71" s="37" t="str">
        <x:v>Codex_AI_precheck_1</x:v>
      </x:c>
      <x:c r="J71" s="37" t="str">
        <x:v>2026-09-15</x:v>
      </x:c>
      <x:c r="K71" s="37" t="str">
        <x:v>판독불가</x:v>
      </x:c>
      <x:c r="L71" s="37" t="str">
        <x:v>판독불가</x:v>
      </x:c>
      <x:c r="M71" s="37" t="str">
        <x:v>지오메트리불일치</x:v>
      </x:c>
      <x:c r="N71" s="37" t="str">
        <x:v>unknown</x:v>
      </x:c>
      <x:c r="O71" s="37" t="str">
        <x:v>접근부 추정점과 영상의 실제 횡단 착지부가 정합하지 않음</x:v>
      </x:c>
      <x:c r="P71" s="37" t="str">
        <x:v>Codex_AI_precheck_2</x:v>
      </x:c>
      <x:c r="Q71" s="37" t="str">
        <x:v>2026-09-15</x:v>
      </x:c>
      <x:c r="R71" s="37" t="str">
        <x:v>판독불가</x:v>
      </x:c>
      <x:c r="S71" s="37" t="str">
        <x:v>판독불가</x:v>
      </x:c>
      <x:c r="T71" s="37" t="str">
        <x:v>지오메트리불일치</x:v>
      </x:c>
      <x:c r="U71" s="37" t="str">
        <x:v>unknown</x:v>
      </x:c>
      <x:c r="V71" s="37" t="str">
        <x:v>접근부 추정점과 영상의 실제 횡단 착지부가 정합하지 않음</x:v>
      </x:c>
      <x:c r="W71" s="37" t="str">
        <x:v>판독불가</x:v>
      </x:c>
      <x:c r="X71" s="37" t="str">
        <x:v>판독불가</x:v>
      </x:c>
      <x:c r="Y71" s="37" t="str">
        <x:v>지오메트리불일치</x:v>
      </x:c>
      <x:c r="Z71" s="37" t="str">
        <x:v>unknown</x:v>
      </x:c>
      <x:c r="AA71" s="37" t="str">
        <x:v>접근부 추정점과 영상의 실제 횡단 착지부가 정합하지 않음</x:v>
      </x:c>
      <x:c r="AB71" s="37" t="str">
        <x:v>geometry_mismatch_candidate</x:v>
      </x:c>
      <x:c r="AC71" s="42" t="n">
        <x:v>0.58</x:v>
      </x:c>
      <x:c r="AD71" s="37" t="str">
        <x:v>Y</x:v>
      </x:c>
      <x:c r="AE71" s="44" t="str"/>
      <x:c r="AF71" s="37" t="str">
        <x:v>미반영(사람 승인 전)</x:v>
      </x:c>
    </x:row>
    <x:row r="72" ht="36" customHeight="1">
      <x:c r="A72" s="37" t="str">
        <x:v>CW33-B</x:v>
      </x:c>
      <x:c r="B72" s="37" t="str">
        <x:v>CW33</x:v>
      </x:c>
      <x:c r="C72" s="37" t="str">
        <x:v>B</x:v>
      </x:c>
      <x:c r="D72" s="37" t="str">
        <x:v>Y</x:v>
      </x:c>
      <x:c r="E72" s="37" t="str">
        <x:v>2025-11-17 15:39:09</x:v>
      </x:c>
      <x:c r="F72" s="42" t="n">
        <x:v>4.75</x:v>
      </x:c>
      <x:c r="G72" s="37" t="str">
        <x:v>https://map.kakao.com/link/roadview/37.3900158,126.9254662</x:v>
      </x:c>
      <x:c r="H72" s="37" t="str">
        <x:v>https://map.kakao.com/?panoid=1202972599&amp;pan=251.4&amp;zoom=0&amp;map_type=TYPE_MAP&amp;map_attribute=ROADVIEW&amp;urlX=483511.0&amp;urlY=1080749.0</x:v>
      </x:c>
      <x:c r="I72" s="37" t="str">
        <x:v>Codex_AI_precheck_1</x:v>
      </x:c>
      <x:c r="J72" s="37" t="str">
        <x:v>2026-09-15</x:v>
      </x:c>
      <x:c r="K72" s="37" t="str">
        <x:v>판독불가</x:v>
      </x:c>
      <x:c r="L72" s="37" t="str">
        <x:v>판독불가</x:v>
      </x:c>
      <x:c r="M72" s="37" t="str">
        <x:v>지오메트리불일치</x:v>
      </x:c>
      <x:c r="N72" s="37" t="str">
        <x:v>unknown</x:v>
      </x:c>
      <x:c r="O72" s="37" t="str">
        <x:v>접근부 추정점과 영상의 실제 횡단 착지부가 정합하지 않음</x:v>
      </x:c>
      <x:c r="P72" s="37" t="str">
        <x:v>Codex_AI_precheck_2</x:v>
      </x:c>
      <x:c r="Q72" s="37" t="str">
        <x:v>2026-09-15</x:v>
      </x:c>
      <x:c r="R72" s="37" t="str">
        <x:v>판독불가</x:v>
      </x:c>
      <x:c r="S72" s="37" t="str">
        <x:v>판독불가</x:v>
      </x:c>
      <x:c r="T72" s="37" t="str">
        <x:v>지오메트리불일치</x:v>
      </x:c>
      <x:c r="U72" s="37" t="str">
        <x:v>unknown</x:v>
      </x:c>
      <x:c r="V72" s="37" t="str">
        <x:v>접근부 추정점과 영상의 실제 횡단 착지부가 정합하지 않음</x:v>
      </x:c>
      <x:c r="W72" s="37" t="str">
        <x:v>판독불가</x:v>
      </x:c>
      <x:c r="X72" s="37" t="str">
        <x:v>판독불가</x:v>
      </x:c>
      <x:c r="Y72" s="37" t="str">
        <x:v>지오메트리불일치</x:v>
      </x:c>
      <x:c r="Z72" s="37" t="str">
        <x:v>unknown</x:v>
      </x:c>
      <x:c r="AA72" s="37" t="str">
        <x:v>접근부 추정점과 영상의 실제 횡단 착지부가 정합하지 않음</x:v>
      </x:c>
      <x:c r="AB72" s="37" t="str">
        <x:v>geometry_mismatch_candidate</x:v>
      </x:c>
      <x:c r="AC72" s="42" t="n">
        <x:v>0.58</x:v>
      </x:c>
      <x:c r="AD72" s="37" t="str">
        <x:v>Y</x:v>
      </x:c>
      <x:c r="AE72" s="44" t="str"/>
      <x:c r="AF72" s="37" t="str">
        <x:v>미반영(사람 승인 전)</x:v>
      </x:c>
    </x:row>
    <x:row r="73" ht="36" customHeight="1">
      <x:c r="A73" s="37" t="str">
        <x:v>CW34-A</x:v>
      </x:c>
      <x:c r="B73" s="37" t="str">
        <x:v>CW34</x:v>
      </x:c>
      <x:c r="C73" s="37" t="str">
        <x:v>A</x:v>
      </x:c>
      <x:c r="D73" s="37" t="str">
        <x:v>Y</x:v>
      </x:c>
      <x:c r="E73" s="37" t="str">
        <x:v>2025-11-17 13:10:05</x:v>
      </x:c>
      <x:c r="F73" s="42" t="n">
        <x:v>10.36</x:v>
      </x:c>
      <x:c r="G73" s="37" t="str">
        <x:v>https://map.kakao.com/link/roadview/37.3896222,126.9254856</x:v>
      </x:c>
      <x:c r="H73" s="37" t="str">
        <x:v>https://map.kakao.com/?panoid=1202970045&amp;pan=233.1&amp;zoom=0&amp;map_type=TYPE_MAP&amp;map_attribute=ROADVIEW&amp;urlX=483504.0&amp;urlY=1080615.0</x:v>
      </x:c>
      <x:c r="I73" s="37" t="str">
        <x:v>Codex_AI_precheck_1</x:v>
      </x:c>
      <x:c r="J73" s="37" t="str">
        <x:v>2026-09-15</x:v>
      </x:c>
      <x:c r="K73" s="37" t="str">
        <x:v>있음</x:v>
      </x:c>
      <x:c r="L73" s="37" t="str">
        <x:v>있음</x:v>
      </x:c>
      <x:c r="M73" s="37" t="str">
        <x:v>없음</x:v>
      </x:c>
      <x:c r="N73" s="37" t="str">
        <x:v>pass</x:v>
      </x:c>
      <x:c r="O73" s="37" t="str">
        <x:v>경사로와 점자블록이 보이고 통행공간이 열려 있음</x:v>
      </x:c>
      <x:c r="P73" s="37" t="str">
        <x:v>Codex_AI_precheck_2</x:v>
      </x:c>
      <x:c r="Q73" s="37" t="str">
        <x:v>2026-09-15</x:v>
      </x:c>
      <x:c r="R73" s="37" t="str">
        <x:v>있음</x:v>
      </x:c>
      <x:c r="S73" s="37" t="str">
        <x:v>있음</x:v>
      </x:c>
      <x:c r="T73" s="37" t="str">
        <x:v>없음</x:v>
      </x:c>
      <x:c r="U73" s="37" t="str">
        <x:v>pass</x:v>
      </x:c>
      <x:c r="V73" s="37" t="str">
        <x:v>역순·착지부 중심 재판독에서 경사로와 점자블록을 확인</x:v>
      </x:c>
      <x:c r="W73" s="37" t="str">
        <x:v>있음</x:v>
      </x:c>
      <x:c r="X73" s="37" t="str">
        <x:v>있음</x:v>
      </x:c>
      <x:c r="Y73" s="37" t="str">
        <x:v>없음</x:v>
      </x:c>
      <x:c r="Z73" s="37" t="str">
        <x:v>pass</x:v>
      </x:c>
      <x:c r="AA73" s="37" t="str">
        <x:v>경사로와 점자블록이 보이고 통행공간이 열려 있음</x:v>
      </x:c>
      <x:c r="AB73" s="37" t="str">
        <x:v>likely_accessible_candidate</x:v>
      </x:c>
      <x:c r="AC73" s="42" t="n">
        <x:v>0.82</x:v>
      </x:c>
      <x:c r="AD73" s="37" t="str">
        <x:v>Y</x:v>
      </x:c>
      <x:c r="AE73" s="44" t="str"/>
      <x:c r="AF73" s="37" t="str">
        <x:v>미반영(사람 승인 전)</x:v>
      </x:c>
    </x:row>
    <x:row r="74" ht="36" customHeight="1">
      <x:c r="A74" s="37" t="str">
        <x:v>CW34-B</x:v>
      </x:c>
      <x:c r="B74" s="37" t="str">
        <x:v>CW34</x:v>
      </x:c>
      <x:c r="C74" s="37" t="str">
        <x:v>B</x:v>
      </x:c>
      <x:c r="D74" s="37" t="str">
        <x:v>Y</x:v>
      </x:c>
      <x:c r="E74" s="37" t="str">
        <x:v>2025-11-17 11:57:08</x:v>
      </x:c>
      <x:c r="F74" s="42" t="n">
        <x:v>1.29</x:v>
      </x:c>
      <x:c r="G74" s="37" t="str">
        <x:v>https://map.kakao.com/link/roadview/37.3896570,126.9256144</x:v>
      </x:c>
      <x:c r="H74" s="37" t="str">
        <x:v>https://map.kakao.com/?panoid=1202969653&amp;pan=339.7&amp;zoom=0&amp;map_type=TYPE_MAP&amp;map_attribute=ROADVIEW&amp;urlX=483529.0&amp;urlY=1080649.0</x:v>
      </x:c>
      <x:c r="I74" s="37" t="str">
        <x:v>Codex_AI_precheck_1</x:v>
      </x:c>
      <x:c r="J74" s="37" t="str">
        <x:v>2026-09-15</x:v>
      </x:c>
      <x:c r="K74" s="37" t="str">
        <x:v>판독불가</x:v>
      </x:c>
      <x:c r="L74" s="37" t="str">
        <x:v>판독불가</x:v>
      </x:c>
      <x:c r="M74" s="37" t="str">
        <x:v>시야불충분</x:v>
      </x:c>
      <x:c r="N74" s="37" t="str">
        <x:v>unknown</x:v>
      </x:c>
      <x:c r="O74" s="37" t="str">
        <x:v>착지부가 카메라 직하부·화면 밖에 있어 핵심 시설을 확인할 수 없음</x:v>
      </x:c>
      <x:c r="P74" s="37" t="str">
        <x:v>Codex_AI_precheck_2</x:v>
      </x:c>
      <x:c r="Q74" s="37" t="str">
        <x:v>2026-09-15</x:v>
      </x:c>
      <x:c r="R74" s="37" t="str">
        <x:v>있음</x:v>
      </x:c>
      <x:c r="S74" s="37" t="str">
        <x:v>있음</x:v>
      </x:c>
      <x:c r="T74" s="37" t="str">
        <x:v>없음</x:v>
      </x:c>
      <x:c r="U74" s="37" t="str">
        <x:v>pass</x:v>
      </x:c>
      <x:c r="V74" s="37" t="str">
        <x:v>역순·착지부 중심 재판독에서 경사로와 점자블록을 확인</x:v>
      </x:c>
      <x:c r="W74" s="37" t="str">
        <x:v>판독불가</x:v>
      </x:c>
      <x:c r="X74" s="37" t="str">
        <x:v>판독불가</x:v>
      </x:c>
      <x:c r="Y74" s="37" t="str">
        <x:v>판독불일치</x:v>
      </x:c>
      <x:c r="Z74" s="37" t="str">
        <x:v>unknown</x:v>
      </x:c>
      <x:c r="AA74" s="37" t="str">
        <x:v>AI 반복판독 불일치(unknown↔pass); 사람 조정 필요</x:v>
      </x:c>
      <x:c r="AB74" s="37" t="str">
        <x:v>visibility_review_needed</x:v>
      </x:c>
      <x:c r="AC74" s="42" t="n">
        <x:v>0.52</x:v>
      </x:c>
      <x:c r="AD74" s="37" t="str">
        <x:v>Y</x:v>
      </x:c>
      <x:c r="AE74" s="44" t="str"/>
      <x:c r="AF74" s="37" t="str">
        <x:v>미반영(사람 승인 전)</x:v>
      </x:c>
    </x:row>
    <x:row r="75" ht="36" customHeight="1">
      <x:c r="A75" s="37" t="str">
        <x:v>CW35-A</x:v>
      </x:c>
      <x:c r="B75" s="37" t="str">
        <x:v>CW35</x:v>
      </x:c>
      <x:c r="C75" s="37" t="str">
        <x:v>A</x:v>
      </x:c>
      <x:c r="D75" s="37" t="str">
        <x:v>N</x:v>
      </x:c>
      <x:c r="E75" s="37" t="str">
        <x:v>2025-11-17 11:57:07</x:v>
      </x:c>
      <x:c r="F75" s="42" t="n">
        <x:v>3.97</x:v>
      </x:c>
      <x:c r="G75" s="37" t="str">
        <x:v>https://map.kakao.com/link/roadview/37.3895655,126.9256825</x:v>
      </x:c>
      <x:c r="H75" s="37" t="str">
        <x:v>https://map.kakao.com/?panoid=1202969652&amp;pan=339.6&amp;zoom=0&amp;map_type=TYPE_MAP&amp;map_attribute=ROADVIEW&amp;urlX=483537.0&amp;urlY=1080625.0</x:v>
      </x:c>
      <x:c r="I75" s="37" t="str">
        <x:v>Codex_AI_precheck_1</x:v>
      </x:c>
      <x:c r="J75" s="37" t="str">
        <x:v>2026-09-15</x:v>
      </x:c>
      <x:c r="K75" s="37" t="str">
        <x:v>있음</x:v>
      </x:c>
      <x:c r="L75" s="37" t="str">
        <x:v>있음</x:v>
      </x:c>
      <x:c r="M75" s="37" t="str">
        <x:v>없음</x:v>
      </x:c>
      <x:c r="N75" s="37" t="str">
        <x:v>pass</x:v>
      </x:c>
      <x:c r="O75" s="37" t="str">
        <x:v>경사로와 점자블록이 보이고 통행공간이 열려 있음</x:v>
      </x:c>
      <x:c r="P75" s="37" t="str"/>
      <x:c r="Q75" s="37" t="str"/>
      <x:c r="R75" s="37" t="str"/>
      <x:c r="S75" s="37" t="str"/>
      <x:c r="T75" s="37" t="str"/>
      <x:c r="U75" s="37" t="str"/>
      <x:c r="V75" s="37" t="str"/>
      <x:c r="W75" s="37" t="str">
        <x:v>있음</x:v>
      </x:c>
      <x:c r="X75" s="37" t="str">
        <x:v>있음</x:v>
      </x:c>
      <x:c r="Y75" s="37" t="str">
        <x:v>없음</x:v>
      </x:c>
      <x:c r="Z75" s="37" t="str">
        <x:v>pass</x:v>
      </x:c>
      <x:c r="AA75" s="37" t="str">
        <x:v>경사로와 점자블록이 보이고 통행공간이 열려 있음</x:v>
      </x:c>
      <x:c r="AB75" s="37" t="str">
        <x:v>likely_accessible_candidate</x:v>
      </x:c>
      <x:c r="AC75" s="42" t="n">
        <x:v>0.82</x:v>
      </x:c>
      <x:c r="AD75" s="37" t="str">
        <x:v>Y</x:v>
      </x:c>
      <x:c r="AE75" s="44" t="str"/>
      <x:c r="AF75" s="37" t="str">
        <x:v>미반영(사람 승인 전)</x:v>
      </x:c>
    </x:row>
    <x:row r="76" ht="36" customHeight="1">
      <x:c r="A76" s="37" t="str">
        <x:v>CW35-B</x:v>
      </x:c>
      <x:c r="B76" s="37" t="str">
        <x:v>CW35</x:v>
      </x:c>
      <x:c r="C76" s="37" t="str">
        <x:v>B</x:v>
      </x:c>
      <x:c r="D76" s="37" t="str">
        <x:v>N</x:v>
      </x:c>
      <x:c r="E76" s="37" t="str">
        <x:v>2025-11-17 11:57:08</x:v>
      </x:c>
      <x:c r="F76" s="42" t="n">
        <x:v>3.92</x:v>
      </x:c>
      <x:c r="G76" s="37" t="str">
        <x:v>https://map.kakao.com/link/roadview/37.3896352,126.9256407</x:v>
      </x:c>
      <x:c r="H76" s="37" t="str">
        <x:v>https://map.kakao.com/?panoid=1202969653&amp;pan=339.7&amp;zoom=0&amp;map_type=TYPE_MAP&amp;map_attribute=ROADVIEW&amp;urlX=483529.0&amp;urlY=1080649.0</x:v>
      </x:c>
      <x:c r="I76" s="37" t="str">
        <x:v>Codex_AI_precheck_1</x:v>
      </x:c>
      <x:c r="J76" s="37" t="str">
        <x:v>2026-09-15</x:v>
      </x:c>
      <x:c r="K76" s="37" t="str">
        <x:v>판독불가</x:v>
      </x:c>
      <x:c r="L76" s="37" t="str">
        <x:v>판독불가</x:v>
      </x:c>
      <x:c r="M76" s="37" t="str">
        <x:v>지오메트리불일치</x:v>
      </x:c>
      <x:c r="N76" s="37" t="str">
        <x:v>unknown</x:v>
      </x:c>
      <x:c r="O76" s="37" t="str">
        <x:v>접근부 추정점과 영상의 실제 횡단 착지부가 정합하지 않음</x:v>
      </x:c>
      <x:c r="P76" s="37" t="str"/>
      <x:c r="Q76" s="37" t="str"/>
      <x:c r="R76" s="37" t="str"/>
      <x:c r="S76" s="37" t="str"/>
      <x:c r="T76" s="37" t="str"/>
      <x:c r="U76" s="37" t="str"/>
      <x:c r="V76" s="37" t="str"/>
      <x:c r="W76" s="37" t="str">
        <x:v>판독불가</x:v>
      </x:c>
      <x:c r="X76" s="37" t="str">
        <x:v>판독불가</x:v>
      </x:c>
      <x:c r="Y76" s="37" t="str">
        <x:v>지오메트리불일치</x:v>
      </x:c>
      <x:c r="Z76" s="37" t="str">
        <x:v>unknown</x:v>
      </x:c>
      <x:c r="AA76" s="37" t="str">
        <x:v>접근부 추정점과 영상의 실제 횡단 착지부가 정합하지 않음</x:v>
      </x:c>
      <x:c r="AB76" s="37" t="str">
        <x:v>geometry_mismatch_candidate</x:v>
      </x:c>
      <x:c r="AC76" s="42" t="n">
        <x:v>0.58</x:v>
      </x:c>
      <x:c r="AD76" s="37" t="str">
        <x:v>Y</x:v>
      </x:c>
      <x:c r="AE76" s="44" t="str"/>
      <x:c r="AF76" s="37" t="str">
        <x:v>미반영(사람 승인 전)</x:v>
      </x:c>
    </x:row>
    <x:row r="77" ht="36" customHeight="1">
      <x:c r="A77" s="37" t="str">
        <x:v>CW36-A</x:v>
      </x:c>
      <x:c r="B77" s="37" t="str">
        <x:v>CW36</x:v>
      </x:c>
      <x:c r="C77" s="37" t="str">
        <x:v>A</x:v>
      </x:c>
      <x:c r="D77" s="37" t="str">
        <x:v>Y</x:v>
      </x:c>
      <x:c r="E77" s="37" t="str">
        <x:v>2025-11-17 13:10:05</x:v>
      </x:c>
      <x:c r="F77" s="42" t="n">
        <x:v>8.73</x:v>
      </x:c>
      <x:c r="G77" s="37" t="str">
        <x:v>https://map.kakao.com/link/roadview/37.3894609,126.9255376</x:v>
      </x:c>
      <x:c r="H77" s="37" t="str">
        <x:v>https://map.kakao.com/?panoid=1202970045&amp;pan=233.1&amp;zoom=0&amp;map_type=TYPE_MAP&amp;map_attribute=ROADVIEW&amp;urlX=483504.0&amp;urlY=1080615.0</x:v>
      </x:c>
      <x:c r="I77" s="37" t="str">
        <x:v>Codex_AI_precheck_1</x:v>
      </x:c>
      <x:c r="J77" s="37" t="str">
        <x:v>2026-09-15</x:v>
      </x:c>
      <x:c r="K77" s="37" t="str">
        <x:v>있음</x:v>
      </x:c>
      <x:c r="L77" s="37" t="str">
        <x:v>있음</x:v>
      </x:c>
      <x:c r="M77" s="37" t="str">
        <x:v>없음</x:v>
      </x:c>
      <x:c r="N77" s="37" t="str">
        <x:v>pass</x:v>
      </x:c>
      <x:c r="O77" s="37" t="str">
        <x:v>원거리 착지부에 경사로와 점자블록이 있는 것으로 1차 판독</x:v>
      </x:c>
      <x:c r="P77" s="37" t="str">
        <x:v>Codex_AI_precheck_2</x:v>
      </x:c>
      <x:c r="Q77" s="37" t="str">
        <x:v>2026-09-15</x:v>
      </x:c>
      <x:c r="R77" s="37" t="str">
        <x:v>판독불가</x:v>
      </x:c>
      <x:c r="S77" s="37" t="str">
        <x:v>판독불가</x:v>
      </x:c>
      <x:c r="T77" s="37" t="str">
        <x:v>시야불충분</x:v>
      </x:c>
      <x:c r="U77" s="37" t="str">
        <x:v>unknown</x:v>
      </x:c>
      <x:c r="V77" s="37" t="str">
        <x:v>착지부가 카메라 직하부·화면 밖에 있어 핵심 시설을 확인할 수 없음</x:v>
      </x:c>
      <x:c r="W77" s="37" t="str">
        <x:v>판독불가</x:v>
      </x:c>
      <x:c r="X77" s="37" t="str">
        <x:v>판독불가</x:v>
      </x:c>
      <x:c r="Y77" s="37" t="str">
        <x:v>판독불일치</x:v>
      </x:c>
      <x:c r="Z77" s="37" t="str">
        <x:v>unknown</x:v>
      </x:c>
      <x:c r="AA77" s="37" t="str">
        <x:v>AI 반복판독 불일치(pass↔unknown); 사람 조정 필요</x:v>
      </x:c>
      <x:c r="AB77" s="37" t="str">
        <x:v>visibility_review_needed</x:v>
      </x:c>
      <x:c r="AC77" s="42" t="n">
        <x:v>0.52</x:v>
      </x:c>
      <x:c r="AD77" s="37" t="str">
        <x:v>Y</x:v>
      </x:c>
      <x:c r="AE77" s="44" t="str"/>
      <x:c r="AF77" s="37" t="str">
        <x:v>미반영(사람 승인 전)</x:v>
      </x:c>
    </x:row>
    <x:row r="78" ht="36" customHeight="1">
      <x:c r="A78" s="37" t="str">
        <x:v>CW36-B</x:v>
      </x:c>
      <x:c r="B78" s="37" t="str">
        <x:v>CW36</x:v>
      </x:c>
      <x:c r="C78" s="37" t="str">
        <x:v>B</x:v>
      </x:c>
      <x:c r="D78" s="37" t="str">
        <x:v>Y</x:v>
      </x:c>
      <x:c r="E78" s="37" t="str">
        <x:v>2025-11-17 13:10:05</x:v>
      </x:c>
      <x:c r="F78" s="42" t="n">
        <x:v>2.83</x:v>
      </x:c>
      <x:c r="G78" s="37" t="str">
        <x:v>https://map.kakao.com/link/roadview/37.3895284,126.9254566</x:v>
      </x:c>
      <x:c r="H78" s="37" t="str">
        <x:v>https://map.kakao.com/?panoid=1202970045&amp;pan=233.1&amp;zoom=0&amp;map_type=TYPE_MAP&amp;map_attribute=ROADVIEW&amp;urlX=483504.0&amp;urlY=1080615.0</x:v>
      </x:c>
      <x:c r="I78" s="37" t="str">
        <x:v>Codex_AI_precheck_1</x:v>
      </x:c>
      <x:c r="J78" s="37" t="str">
        <x:v>2026-09-15</x:v>
      </x:c>
      <x:c r="K78" s="37" t="str">
        <x:v>판독불가</x:v>
      </x:c>
      <x:c r="L78" s="37" t="str">
        <x:v>판독불가</x:v>
      </x:c>
      <x:c r="M78" s="37" t="str">
        <x:v>지오메트리불일치</x:v>
      </x:c>
      <x:c r="N78" s="37" t="str">
        <x:v>unknown</x:v>
      </x:c>
      <x:c r="O78" s="37" t="str">
        <x:v>접근부 추정점과 영상의 실제 횡단 착지부가 정합하지 않음</x:v>
      </x:c>
      <x:c r="P78" s="37" t="str">
        <x:v>Codex_AI_precheck_2</x:v>
      </x:c>
      <x:c r="Q78" s="37" t="str">
        <x:v>2026-09-15</x:v>
      </x:c>
      <x:c r="R78" s="37" t="str">
        <x:v>판독불가</x:v>
      </x:c>
      <x:c r="S78" s="37" t="str">
        <x:v>판독불가</x:v>
      </x:c>
      <x:c r="T78" s="37" t="str">
        <x:v>지오메트리불일치</x:v>
      </x:c>
      <x:c r="U78" s="37" t="str">
        <x:v>unknown</x:v>
      </x:c>
      <x:c r="V78" s="37" t="str">
        <x:v>접근부 추정점과 영상의 실제 횡단 착지부가 정합하지 않음</x:v>
      </x:c>
      <x:c r="W78" s="37" t="str">
        <x:v>판독불가</x:v>
      </x:c>
      <x:c r="X78" s="37" t="str">
        <x:v>판독불가</x:v>
      </x:c>
      <x:c r="Y78" s="37" t="str">
        <x:v>지오메트리불일치</x:v>
      </x:c>
      <x:c r="Z78" s="37" t="str">
        <x:v>unknown</x:v>
      </x:c>
      <x:c r="AA78" s="37" t="str">
        <x:v>접근부 추정점과 영상의 실제 횡단 착지부가 정합하지 않음</x:v>
      </x:c>
      <x:c r="AB78" s="37" t="str">
        <x:v>geometry_mismatch_candidate</x:v>
      </x:c>
      <x:c r="AC78" s="42" t="n">
        <x:v>0.58</x:v>
      </x:c>
      <x:c r="AD78" s="37" t="str">
        <x:v>Y</x:v>
      </x:c>
      <x:c r="AE78" s="44" t="str"/>
      <x:c r="AF78" s="37" t="str">
        <x:v>미반영(사람 승인 전)</x:v>
      </x:c>
    </x:row>
    <x:row r="79" ht="36" customHeight="1">
      <x:c r="A79" s="37" t="str">
        <x:v>CW37-A</x:v>
      </x:c>
      <x:c r="B79" s="37" t="str">
        <x:v>CW37</x:v>
      </x:c>
      <x:c r="C79" s="37" t="str">
        <x:v>A</x:v>
      </x:c>
      <x:c r="D79" s="37" t="str">
        <x:v>N</x:v>
      </x:c>
      <x:c r="E79" s="37" t="str">
        <x:v>2025-11-17 11:57:06</x:v>
      </x:c>
      <x:c r="F79" s="42" t="n">
        <x:v>8.46</x:v>
      </x:c>
      <x:c r="G79" s="37" t="str">
        <x:v>https://map.kakao.com/link/roadview/37.3894277,126.9256118</x:v>
      </x:c>
      <x:c r="H79" s="37" t="str">
        <x:v>https://map.kakao.com/?panoid=1202969651&amp;pan=339.3&amp;zoom=0&amp;map_type=TYPE_MAP&amp;map_attribute=ROADVIEW&amp;urlX=483546.0&amp;urlY=1080602.0</x:v>
      </x:c>
      <x:c r="I79" s="37" t="str">
        <x:v>Codex_AI_precheck_1</x:v>
      </x:c>
      <x:c r="J79" s="37" t="str">
        <x:v>2026-09-15</x:v>
      </x:c>
      <x:c r="K79" s="37" t="str">
        <x:v>판독불가</x:v>
      </x:c>
      <x:c r="L79" s="37" t="str">
        <x:v>판독불가</x:v>
      </x:c>
      <x:c r="M79" s="37" t="str">
        <x:v>차량/적치물가림</x:v>
      </x:c>
      <x:c r="N79" s="37" t="str">
        <x:v>unknown</x:v>
      </x:c>
      <x:c r="O79" s="37" t="str">
        <x:v>차량·적치물 또는 공사물로 핵심 시설이 가려짐</x:v>
      </x:c>
      <x:c r="P79" s="37" t="str"/>
      <x:c r="Q79" s="37" t="str"/>
      <x:c r="R79" s="37" t="str"/>
      <x:c r="S79" s="37" t="str"/>
      <x:c r="T79" s="37" t="str"/>
      <x:c r="U79" s="37" t="str"/>
      <x:c r="V79" s="37" t="str"/>
      <x:c r="W79" s="37" t="str">
        <x:v>판독불가</x:v>
      </x:c>
      <x:c r="X79" s="37" t="str">
        <x:v>판독불가</x:v>
      </x:c>
      <x:c r="Y79" s="37" t="str">
        <x:v>차량/적치물가림</x:v>
      </x:c>
      <x:c r="Z79" s="37" t="str">
        <x:v>unknown</x:v>
      </x:c>
      <x:c r="AA79" s="37" t="str">
        <x:v>차량·적치물 또는 공사물로 핵심 시설이 가려짐</x:v>
      </x:c>
      <x:c r="AB79" s="37" t="str">
        <x:v>occlusion_review_needed</x:v>
      </x:c>
      <x:c r="AC79" s="42" t="n">
        <x:v>0.52</x:v>
      </x:c>
      <x:c r="AD79" s="37" t="str">
        <x:v>Y</x:v>
      </x:c>
      <x:c r="AE79" s="44" t="str"/>
      <x:c r="AF79" s="37" t="str">
        <x:v>미반영(사람 승인 전)</x:v>
      </x:c>
    </x:row>
    <x:row r="80" ht="36" customHeight="1">
      <x:c r="A80" s="37" t="str">
        <x:v>CW37-B</x:v>
      </x:c>
      <x:c r="B80" s="37" t="str">
        <x:v>CW37</x:v>
      </x:c>
      <x:c r="C80" s="37" t="str">
        <x:v>B</x:v>
      </x:c>
      <x:c r="D80" s="37" t="str">
        <x:v>N</x:v>
      </x:c>
      <x:c r="E80" s="37" t="str">
        <x:v>2025-11-17 11:57:06</x:v>
      </x:c>
      <x:c r="F80" s="42" t="n">
        <x:v>3.87</x:v>
      </x:c>
      <x:c r="G80" s="37" t="str">
        <x:v>https://map.kakao.com/link/roadview/37.3894543,126.9257042</x:v>
      </x:c>
      <x:c r="H80" s="37" t="str">
        <x:v>https://map.kakao.com/?panoid=1202969651&amp;pan=339.3&amp;zoom=0&amp;map_type=TYPE_MAP&amp;map_attribute=ROADVIEW&amp;urlX=483546.0&amp;urlY=1080602.0</x:v>
      </x:c>
      <x:c r="I80" s="37" t="str">
        <x:v>Codex_AI_precheck_1</x:v>
      </x:c>
      <x:c r="J80" s="37" t="str">
        <x:v>2026-09-15</x:v>
      </x:c>
      <x:c r="K80" s="37" t="str">
        <x:v>판독불가</x:v>
      </x:c>
      <x:c r="L80" s="37" t="str">
        <x:v>판독불가</x:v>
      </x:c>
      <x:c r="M80" s="37" t="str">
        <x:v>시야불충분</x:v>
      </x:c>
      <x:c r="N80" s="37" t="str">
        <x:v>unknown</x:v>
      </x:c>
      <x:c r="O80" s="37" t="str">
        <x:v>착지부가 카메라 직하부·화면 밖에 있어 핵심 시설을 확인할 수 없음</x:v>
      </x:c>
      <x:c r="P80" s="37" t="str"/>
      <x:c r="Q80" s="37" t="str"/>
      <x:c r="R80" s="37" t="str"/>
      <x:c r="S80" s="37" t="str"/>
      <x:c r="T80" s="37" t="str"/>
      <x:c r="U80" s="37" t="str"/>
      <x:c r="V80" s="37" t="str"/>
      <x:c r="W80" s="37" t="str">
        <x:v>판독불가</x:v>
      </x:c>
      <x:c r="X80" s="37" t="str">
        <x:v>판독불가</x:v>
      </x:c>
      <x:c r="Y80" s="37" t="str">
        <x:v>시야불충분</x:v>
      </x:c>
      <x:c r="Z80" s="37" t="str">
        <x:v>unknown</x:v>
      </x:c>
      <x:c r="AA80" s="37" t="str">
        <x:v>착지부가 카메라 직하부·화면 밖에 있어 핵심 시설을 확인할 수 없음</x:v>
      </x:c>
      <x:c r="AB80" s="37" t="str">
        <x:v>visibility_review_needed</x:v>
      </x:c>
      <x:c r="AC80" s="42" t="n">
        <x:v>0.52</x:v>
      </x:c>
      <x:c r="AD80" s="37" t="str">
        <x:v>Y</x:v>
      </x:c>
      <x:c r="AE80" s="44" t="str"/>
      <x:c r="AF80" s="37" t="str">
        <x:v>미반영(사람 승인 전)</x:v>
      </x:c>
    </x:row>
    <x:row r="81" ht="36" customHeight="1">
      <x:c r="A81" s="37" t="str">
        <x:v>CW38-A</x:v>
      </x:c>
      <x:c r="B81" s="37" t="str">
        <x:v>CW38</x:v>
      </x:c>
      <x:c r="C81" s="37" t="str">
        <x:v>A</x:v>
      </x:c>
      <x:c r="D81" s="37" t="str">
        <x:v>Y</x:v>
      </x:c>
      <x:c r="E81" s="37" t="str">
        <x:v>2025-11-17 13:10:10</x:v>
      </x:c>
      <x:c r="F81" s="42" t="n">
        <x:v>6.02</x:v>
      </x:c>
      <x:c r="G81" s="37" t="str">
        <x:v>https://map.kakao.com/link/roadview/37.3892483,126.9252018</x:v>
      </x:c>
      <x:c r="H81" s="37" t="str">
        <x:v>https://map.kakao.com/?panoid=1202970049&amp;pan=225.5&amp;zoom=0&amp;map_type=TYPE_MAP&amp;map_attribute=ROADVIEW&amp;urlX=483430.0&amp;urlY=1080548.0</x:v>
      </x:c>
      <x:c r="I81" s="37" t="str">
        <x:v>Codex_AI_precheck_1</x:v>
      </x:c>
      <x:c r="J81" s="37" t="str">
        <x:v>2026-09-15</x:v>
      </x:c>
      <x:c r="K81" s="37" t="str">
        <x:v>있음</x:v>
      </x:c>
      <x:c r="L81" s="37" t="str">
        <x:v>있음</x:v>
      </x:c>
      <x:c r="M81" s="37" t="str">
        <x:v>없음</x:v>
      </x:c>
      <x:c r="N81" s="37" t="str">
        <x:v>pass</x:v>
      </x:c>
      <x:c r="O81" s="37" t="str">
        <x:v>경사로와 점자블록이 보이고 통행공간이 열려 있음</x:v>
      </x:c>
      <x:c r="P81" s="37" t="str">
        <x:v>Codex_AI_precheck_2</x:v>
      </x:c>
      <x:c r="Q81" s="37" t="str">
        <x:v>2026-09-15</x:v>
      </x:c>
      <x:c r="R81" s="37" t="str">
        <x:v>있음</x:v>
      </x:c>
      <x:c r="S81" s="37" t="str">
        <x:v>있음</x:v>
      </x:c>
      <x:c r="T81" s="37" t="str">
        <x:v>없음</x:v>
      </x:c>
      <x:c r="U81" s="37" t="str">
        <x:v>pass</x:v>
      </x:c>
      <x:c r="V81" s="37" t="str">
        <x:v>역순·착지부 중심 재판독에서 경사로와 점자블록을 확인</x:v>
      </x:c>
      <x:c r="W81" s="37" t="str">
        <x:v>있음</x:v>
      </x:c>
      <x:c r="X81" s="37" t="str">
        <x:v>있음</x:v>
      </x:c>
      <x:c r="Y81" s="37" t="str">
        <x:v>없음</x:v>
      </x:c>
      <x:c r="Z81" s="37" t="str">
        <x:v>pass</x:v>
      </x:c>
      <x:c r="AA81" s="37" t="str">
        <x:v>경사로와 점자블록이 보이고 통행공간이 열려 있음</x:v>
      </x:c>
      <x:c r="AB81" s="37" t="str">
        <x:v>likely_accessible_candidate</x:v>
      </x:c>
      <x:c r="AC81" s="42" t="n">
        <x:v>0.82</x:v>
      </x:c>
      <x:c r="AD81" s="37" t="str">
        <x:v>Y</x:v>
      </x:c>
      <x:c r="AE81" s="44" t="str"/>
      <x:c r="AF81" s="37" t="str">
        <x:v>미반영(사람 승인 전)</x:v>
      </x:c>
    </x:row>
    <x:row r="82" ht="36" customHeight="1">
      <x:c r="A82" s="37" t="str">
        <x:v>CW38-B</x:v>
      </x:c>
      <x:c r="B82" s="37" t="str">
        <x:v>CW38</x:v>
      </x:c>
      <x:c r="C82" s="37" t="str">
        <x:v>B</x:v>
      </x:c>
      <x:c r="D82" s="37" t="str">
        <x:v>Y</x:v>
      </x:c>
      <x:c r="E82" s="37" t="str">
        <x:v>2025-11-17 13:10:10</x:v>
      </x:c>
      <x:c r="F82" s="42" t="n">
        <x:v>2.17</x:v>
      </x:c>
      <x:c r="G82" s="37" t="str">
        <x:v>https://map.kakao.com/link/roadview/37.3893016,126.9251378</x:v>
      </x:c>
      <x:c r="H82" s="37" t="str">
        <x:v>https://map.kakao.com/?panoid=1202970049&amp;pan=225.5&amp;zoom=0&amp;map_type=TYPE_MAP&amp;map_attribute=ROADVIEW&amp;urlX=483430.0&amp;urlY=1080548.0</x:v>
      </x:c>
      <x:c r="I82" s="37" t="str">
        <x:v>Codex_AI_precheck_1</x:v>
      </x:c>
      <x:c r="J82" s="37" t="str">
        <x:v>2026-09-15</x:v>
      </x:c>
      <x:c r="K82" s="37" t="str">
        <x:v>있음</x:v>
      </x:c>
      <x:c r="L82" s="37" t="str">
        <x:v>있음</x:v>
      </x:c>
      <x:c r="M82" s="37" t="str">
        <x:v>없음</x:v>
      </x:c>
      <x:c r="N82" s="37" t="str">
        <x:v>pass</x:v>
      </x:c>
      <x:c r="O82" s="37" t="str">
        <x:v>경사로와 점자블록이 보이고 통행공간이 열려 있음</x:v>
      </x:c>
      <x:c r="P82" s="37" t="str">
        <x:v>Codex_AI_precheck_2</x:v>
      </x:c>
      <x:c r="Q82" s="37" t="str">
        <x:v>2026-09-15</x:v>
      </x:c>
      <x:c r="R82" s="37" t="str">
        <x:v>있음</x:v>
      </x:c>
      <x:c r="S82" s="37" t="str">
        <x:v>있음</x:v>
      </x:c>
      <x:c r="T82" s="37" t="str">
        <x:v>없음</x:v>
      </x:c>
      <x:c r="U82" s="37" t="str">
        <x:v>pass</x:v>
      </x:c>
      <x:c r="V82" s="37" t="str">
        <x:v>역순·착지부 중심 재판독에서 경사로와 점자블록을 확인</x:v>
      </x:c>
      <x:c r="W82" s="37" t="str">
        <x:v>있음</x:v>
      </x:c>
      <x:c r="X82" s="37" t="str">
        <x:v>있음</x:v>
      </x:c>
      <x:c r="Y82" s="37" t="str">
        <x:v>없음</x:v>
      </x:c>
      <x:c r="Z82" s="37" t="str">
        <x:v>pass</x:v>
      </x:c>
      <x:c r="AA82" s="37" t="str">
        <x:v>경사로와 점자블록이 보이고 통행공간이 열려 있음</x:v>
      </x:c>
      <x:c r="AB82" s="37" t="str">
        <x:v>likely_accessible_candidate</x:v>
      </x:c>
      <x:c r="AC82" s="42" t="n">
        <x:v>0.82</x:v>
      </x:c>
      <x:c r="AD82" s="37" t="str">
        <x:v>Y</x:v>
      </x:c>
      <x:c r="AE82" s="44" t="str"/>
      <x:c r="AF82" s="37" t="str">
        <x:v>미반영(사람 승인 전)</x:v>
      </x:c>
    </x:row>
    <x:row r="83" ht="36" customHeight="1">
      <x:c r="A83" s="37" t="str">
        <x:v>CW39-A</x:v>
      </x:c>
      <x:c r="B83" s="37" t="str">
        <x:v>CW39</x:v>
      </x:c>
      <x:c r="C83" s="37" t="str">
        <x:v>A</x:v>
      </x:c>
      <x:c r="D83" s="37" t="str">
        <x:v>N</x:v>
      </x:c>
      <x:c r="E83" s="37" t="str">
        <x:v>2025-11-17 13:10:11</x:v>
      </x:c>
      <x:c r="F83" s="42" t="n">
        <x:v>3.12</x:v>
      </x:c>
      <x:c r="G83" s="37" t="str">
        <x:v>https://map.kakao.com/link/roadview/37.3892446,126.9250951</x:v>
      </x:c>
      <x:c r="H83" s="37" t="str">
        <x:v>https://map.kakao.com/?panoid=1202970050&amp;pan=224.2&amp;zoom=0&amp;map_type=TYPE_MAP&amp;map_attribute=ROADVIEW&amp;urlX=483412.0&amp;urlY=1080530.0</x:v>
      </x:c>
      <x:c r="I83" s="37" t="str">
        <x:v>Codex_AI_precheck_1</x:v>
      </x:c>
      <x:c r="J83" s="37" t="str">
        <x:v>2026-09-15</x:v>
      </x:c>
      <x:c r="K83" s="37" t="str">
        <x:v>판독불가</x:v>
      </x:c>
      <x:c r="L83" s="37" t="str">
        <x:v>판독불가</x:v>
      </x:c>
      <x:c r="M83" s="37" t="str">
        <x:v>지오메트리불일치</x:v>
      </x:c>
      <x:c r="N83" s="37" t="str">
        <x:v>unknown</x:v>
      </x:c>
      <x:c r="O83" s="37" t="str">
        <x:v>접근부 추정점과 영상의 실제 횡단 착지부가 정합하지 않음</x:v>
      </x:c>
      <x:c r="P83" s="37" t="str"/>
      <x:c r="Q83" s="37" t="str"/>
      <x:c r="R83" s="37" t="str"/>
      <x:c r="S83" s="37" t="str"/>
      <x:c r="T83" s="37" t="str"/>
      <x:c r="U83" s="37" t="str"/>
      <x:c r="V83" s="37" t="str"/>
      <x:c r="W83" s="37" t="str">
        <x:v>판독불가</x:v>
      </x:c>
      <x:c r="X83" s="37" t="str">
        <x:v>판독불가</x:v>
      </x:c>
      <x:c r="Y83" s="37" t="str">
        <x:v>지오메트리불일치</x:v>
      </x:c>
      <x:c r="Z83" s="37" t="str">
        <x:v>unknown</x:v>
      </x:c>
      <x:c r="AA83" s="37" t="str">
        <x:v>접근부 추정점과 영상의 실제 횡단 착지부가 정합하지 않음</x:v>
      </x:c>
      <x:c r="AB83" s="37" t="str">
        <x:v>geometry_mismatch_candidate</x:v>
      </x:c>
      <x:c r="AC83" s="42" t="n">
        <x:v>0.58</x:v>
      </x:c>
      <x:c r="AD83" s="37" t="str">
        <x:v>Y</x:v>
      </x:c>
      <x:c r="AE83" s="44" t="str"/>
      <x:c r="AF83" s="37" t="str">
        <x:v>미반영(사람 승인 전)</x:v>
      </x:c>
    </x:row>
    <x:row r="84" ht="36" customHeight="1">
      <x:c r="A84" s="37" t="str">
        <x:v>CW39-B</x:v>
      </x:c>
      <x:c r="B84" s="37" t="str">
        <x:v>CW39</x:v>
      </x:c>
      <x:c r="C84" s="37" t="str">
        <x:v>B</x:v>
      </x:c>
      <x:c r="D84" s="37" t="str">
        <x:v>N</x:v>
      </x:c>
      <x:c r="E84" s="37" t="str">
        <x:v>2025-11-17 13:10:11</x:v>
      </x:c>
      <x:c r="F84" s="42" t="n">
        <x:v>9.44</x:v>
      </x:c>
      <x:c r="G84" s="37" t="str">
        <x:v>https://map.kakao.com/link/roadview/37.3892997,126.9250289</x:v>
      </x:c>
      <x:c r="H84" s="37" t="str">
        <x:v>https://map.kakao.com/?panoid=1202970050&amp;pan=224.2&amp;zoom=0&amp;map_type=TYPE_MAP&amp;map_attribute=ROADVIEW&amp;urlX=483412.0&amp;urlY=1080530.0</x:v>
      </x:c>
      <x:c r="I84" s="37" t="str">
        <x:v>Codex_AI_precheck_1</x:v>
      </x:c>
      <x:c r="J84" s="37" t="str">
        <x:v>2026-09-15</x:v>
      </x:c>
      <x:c r="K84" s="37" t="str">
        <x:v>판독불가</x:v>
      </x:c>
      <x:c r="L84" s="37" t="str">
        <x:v>판독불가</x:v>
      </x:c>
      <x:c r="M84" s="37" t="str">
        <x:v>지오메트리불일치</x:v>
      </x:c>
      <x:c r="N84" s="37" t="str">
        <x:v>unknown</x:v>
      </x:c>
      <x:c r="O84" s="37" t="str">
        <x:v>접근부 추정점과 영상의 실제 횡단 착지부가 정합하지 않음</x:v>
      </x:c>
      <x:c r="P84" s="37" t="str"/>
      <x:c r="Q84" s="37" t="str"/>
      <x:c r="R84" s="37" t="str"/>
      <x:c r="S84" s="37" t="str"/>
      <x:c r="T84" s="37" t="str"/>
      <x:c r="U84" s="37" t="str"/>
      <x:c r="V84" s="37" t="str"/>
      <x:c r="W84" s="37" t="str">
        <x:v>판독불가</x:v>
      </x:c>
      <x:c r="X84" s="37" t="str">
        <x:v>판독불가</x:v>
      </x:c>
      <x:c r="Y84" s="37" t="str">
        <x:v>지오메트리불일치</x:v>
      </x:c>
      <x:c r="Z84" s="37" t="str">
        <x:v>unknown</x:v>
      </x:c>
      <x:c r="AA84" s="37" t="str">
        <x:v>접근부 추정점과 영상의 실제 횡단 착지부가 정합하지 않음</x:v>
      </x:c>
      <x:c r="AB84" s="37" t="str">
        <x:v>geometry_mismatch_candidate</x:v>
      </x:c>
      <x:c r="AC84" s="42" t="n">
        <x:v>0.58</x:v>
      </x:c>
      <x:c r="AD84" s="37" t="str">
        <x:v>Y</x:v>
      </x:c>
      <x:c r="AE84" s="44" t="str"/>
      <x:c r="AF84" s="37" t="str">
        <x:v>미반영(사람 승인 전)</x:v>
      </x:c>
    </x:row>
    <x:row r="85" ht="36" customHeight="1">
      <x:c r="A85" s="37" t="str">
        <x:v>CW40-A</x:v>
      </x:c>
      <x:c r="B85" s="37" t="str">
        <x:v>CW40</x:v>
      </x:c>
      <x:c r="C85" s="37" t="str">
        <x:v>A</x:v>
      </x:c>
      <x:c r="D85" s="37" t="str">
        <x:v>N</x:v>
      </x:c>
      <x:c r="E85" s="37" t="str">
        <x:v>2025-11-17 13:10:12</x:v>
      </x:c>
      <x:c r="F85" s="42" t="n">
        <x:v>6.44</x:v>
      </x:c>
      <x:c r="G85" s="37" t="str">
        <x:v>https://map.kakao.com/link/roadview/37.3891477,126.9250639</x:v>
      </x:c>
      <x:c r="H85" s="37" t="str">
        <x:v>https://map.kakao.com/?panoid=1202970051&amp;pan=225.5&amp;zoom=0&amp;map_type=TYPE_MAP&amp;map_attribute=ROADVIEW&amp;urlX=483394.0&amp;urlY=1080512.0</x:v>
      </x:c>
      <x:c r="I85" s="37" t="str">
        <x:v>Codex_AI_precheck_1</x:v>
      </x:c>
      <x:c r="J85" s="37" t="str">
        <x:v>2026-09-15</x:v>
      </x:c>
      <x:c r="K85" s="37" t="str">
        <x:v>있음</x:v>
      </x:c>
      <x:c r="L85" s="37" t="str">
        <x:v>있음</x:v>
      </x:c>
      <x:c r="M85" s="37" t="str">
        <x:v>없음</x:v>
      </x:c>
      <x:c r="N85" s="37" t="str">
        <x:v>pass</x:v>
      </x:c>
      <x:c r="O85" s="37" t="str">
        <x:v>착지부 가장자리에서 점자블록과 낮춤부가 보임</x:v>
      </x:c>
      <x:c r="P85" s="37" t="str"/>
      <x:c r="Q85" s="37" t="str"/>
      <x:c r="R85" s="37" t="str"/>
      <x:c r="S85" s="37" t="str"/>
      <x:c r="T85" s="37" t="str"/>
      <x:c r="U85" s="37" t="str"/>
      <x:c r="V85" s="37" t="str"/>
      <x:c r="W85" s="37" t="str">
        <x:v>있음</x:v>
      </x:c>
      <x:c r="X85" s="37" t="str">
        <x:v>있음</x:v>
      </x:c>
      <x:c r="Y85" s="37" t="str">
        <x:v>없음</x:v>
      </x:c>
      <x:c r="Z85" s="37" t="str">
        <x:v>pass</x:v>
      </x:c>
      <x:c r="AA85" s="37" t="str">
        <x:v>착지부 가장자리에서 점자블록과 낮춤부가 보임</x:v>
      </x:c>
      <x:c r="AB85" s="37" t="str">
        <x:v>likely_accessible_candidate</x:v>
      </x:c>
      <x:c r="AC85" s="42" t="n">
        <x:v>0.82</x:v>
      </x:c>
      <x:c r="AD85" s="37" t="str">
        <x:v>Y</x:v>
      </x:c>
      <x:c r="AE85" s="44" t="str"/>
      <x:c r="AF85" s="37" t="str">
        <x:v>미반영(사람 승인 전)</x:v>
      </x:c>
    </x:row>
    <x:row r="86" ht="36" customHeight="1">
      <x:c r="A86" s="37" t="str">
        <x:v>CW40-B</x:v>
      </x:c>
      <x:c r="B86" s="37" t="str">
        <x:v>CW40</x:v>
      </x:c>
      <x:c r="C86" s="37" t="str">
        <x:v>B</x:v>
      </x:c>
      <x:c r="D86" s="37" t="str">
        <x:v>N</x:v>
      </x:c>
      <x:c r="E86" s="37" t="str">
        <x:v>2025-11-17 13:10:12</x:v>
      </x:c>
      <x:c r="F86" s="42" t="n">
        <x:v>4.88</x:v>
      </x:c>
      <x:c r="G86" s="37" t="str">
        <x:v>https://map.kakao.com/link/roadview/37.3892009,126.9250001</x:v>
      </x:c>
      <x:c r="H86" s="37" t="str">
        <x:v>https://map.kakao.com/?panoid=1202970051&amp;pan=225.5&amp;zoom=0&amp;map_type=TYPE_MAP&amp;map_attribute=ROADVIEW&amp;urlX=483394.0&amp;urlY=1080512.0</x:v>
      </x:c>
      <x:c r="I86" s="37" t="str">
        <x:v>Codex_AI_precheck_1</x:v>
      </x:c>
      <x:c r="J86" s="37" t="str">
        <x:v>2026-09-15</x:v>
      </x:c>
      <x:c r="K86" s="37" t="str">
        <x:v>판독불가</x:v>
      </x:c>
      <x:c r="L86" s="37" t="str">
        <x:v>판독불가</x:v>
      </x:c>
      <x:c r="M86" s="37" t="str">
        <x:v>지오메트리불일치</x:v>
      </x:c>
      <x:c r="N86" s="37" t="str">
        <x:v>unknown</x:v>
      </x:c>
      <x:c r="O86" s="37" t="str">
        <x:v>접근부 추정점과 영상의 실제 횡단 착지부가 정합하지 않음</x:v>
      </x:c>
      <x:c r="P86" s="37" t="str"/>
      <x:c r="Q86" s="37" t="str"/>
      <x:c r="R86" s="37" t="str"/>
      <x:c r="S86" s="37" t="str"/>
      <x:c r="T86" s="37" t="str"/>
      <x:c r="U86" s="37" t="str"/>
      <x:c r="V86" s="37" t="str"/>
      <x:c r="W86" s="37" t="str">
        <x:v>판독불가</x:v>
      </x:c>
      <x:c r="X86" s="37" t="str">
        <x:v>판독불가</x:v>
      </x:c>
      <x:c r="Y86" s="37" t="str">
        <x:v>지오메트리불일치</x:v>
      </x:c>
      <x:c r="Z86" s="37" t="str">
        <x:v>unknown</x:v>
      </x:c>
      <x:c r="AA86" s="37" t="str">
        <x:v>접근부 추정점과 영상의 실제 횡단 착지부가 정합하지 않음</x:v>
      </x:c>
      <x:c r="AB86" s="37" t="str">
        <x:v>geometry_mismatch_candidate</x:v>
      </x:c>
      <x:c r="AC86" s="42" t="n">
        <x:v>0.58</x:v>
      </x:c>
      <x:c r="AD86" s="37" t="str">
        <x:v>Y</x:v>
      </x:c>
      <x:c r="AE86" s="44" t="str"/>
      <x:c r="AF86" s="37" t="str">
        <x:v>미반영(사람 승인 전)</x:v>
      </x:c>
    </x:row>
  </x:sheetData>
  <x:conditionalFormatting sqref="N7:N86">
    <x:cfRule type="containsText" dxfId="3" priority="1" operator="containsText" text="pass"/>
    <x:cfRule type="containsText" dxfId="4" priority="2" operator="containsText" text="block"/>
    <x:cfRule type="containsText" dxfId="5" priority="3" operator="containsText" text="unknown"/>
  </x:conditionalFormatting>
  <x:conditionalFormatting sqref="U7:U86">
    <x:cfRule type="containsText" dxfId="6" priority="4" operator="containsText" text="pass"/>
    <x:cfRule type="containsText" dxfId="7" priority="5" operator="containsText" text="block"/>
    <x:cfRule type="containsText" dxfId="8" priority="6" operator="containsText" text="unknown"/>
  </x:conditionalFormatting>
  <x:conditionalFormatting sqref="Z7:Z86">
    <x:cfRule type="containsText" dxfId="9" priority="7" operator="containsText" text="pass"/>
    <x:cfRule type="containsText" dxfId="10" priority="8" operator="containsText" text="block"/>
    <x:cfRule type="containsText" dxfId="11" priority="9" operator="containsText" text="unknown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57D76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5" hidden="0" customWidth="1"/>
    <x:col min="2" max="2" width="10" hidden="0" customWidth="1"/>
    <x:col min="3" max="3" width="15" hidden="0" customWidth="1"/>
    <x:col min="4" max="4" width="7" hidden="0" customWidth="1"/>
    <x:col min="5" max="5" width="13" hidden="0" customWidth="1"/>
    <x:col min="6" max="6" width="13" hidden="0" customWidth="1"/>
    <x:col min="7" max="7" width="23" hidden="0" customWidth="1"/>
    <x:col min="8" max="8" width="14" hidden="0" customWidth="1"/>
    <x:col min="9" max="9" width="15" hidden="0" customWidth="1"/>
    <x:col min="10" max="10" width="20" hidden="0" customWidth="1"/>
    <x:col min="11" max="11" width="12" hidden="0" customWidth="1"/>
    <x:col min="12" max="12" width="10" hidden="0" customWidth="1"/>
    <x:col min="13" max="13" width="22" hidden="0" customWidth="1"/>
    <x:col min="14" max="14" width="13" hidden="0" customWidth="1"/>
    <x:col min="15" max="15" width="12" hidden="0" customWidth="1"/>
    <x:col min="16" max="16" width="12" hidden="0" customWidth="1"/>
    <x:col min="17" max="17" width="13" hidden="0" customWidth="1"/>
    <x:col min="18" max="18" width="13" hidden="0" customWidth="1"/>
    <x:col min="19" max="19" width="11" hidden="0" customWidth="1"/>
    <x:col min="20" max="20" width="24" hidden="0" customWidth="1"/>
    <x:col min="21" max="21" width="13" hidden="0" customWidth="1"/>
    <x:col min="22" max="22" width="12" hidden="0" customWidth="1"/>
    <x:col min="23" max="23" width="12" hidden="0" customWidth="1"/>
    <x:col min="24" max="24" width="13" hidden="0" customWidth="1"/>
    <x:col min="25" max="25" width="13" hidden="0" customWidth="1"/>
    <x:col min="26" max="26" width="11" hidden="0" customWidth="1"/>
    <x:col min="27" max="27" width="24" hidden="0" customWidth="1"/>
    <x:col min="28" max="28" width="13" hidden="0" customWidth="1"/>
    <x:col min="29" max="29" width="20" hidden="0" customWidth="1"/>
    <x:col min="30" max="30" width="12" hidden="0" customWidth="1"/>
    <x:col min="31" max="31" width="13" hidden="0" customWidth="1"/>
    <x:col min="32" max="32" width="12" hidden="0" customWidth="1"/>
    <x:col min="33" max="33" width="48" hidden="0" customWidth="1"/>
    <x:col min="34" max="34" width="31" hidden="0" customWidth="1"/>
  </x:cols>
  <x:sheetData>
    <x:row r="1">
      <x:c r="A1" s="39"/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  <x:c r="AA1" s="39"/>
      <x:c r="AB1" s="39"/>
      <x:c r="AC1" s="39"/>
      <x:c r="AD1" s="39"/>
      <x:c r="AE1" s="39"/>
      <x:c r="AF1" s="39"/>
      <x:c r="AG1" s="39"/>
      <x:c r="AH1" s="39"/>
    </x:row>
    <x:row r="2" ht="22" customHeight="1">
      <x:c r="A2" s="1" t="str">
        <x:v>양단 접근부 사람 검수 대장</x:v>
      </x:c>
    </x:row>
    <x:row r="3" ht="22" customHeight="1">
      <x:c r="A3" s="2" t="str">
        <x:v>노란색 셀만 사람이 입력 · AI 사전판독은 별도 탭에 두고 사람 결과란은 비워 둠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</x:row>
    <x:row r="5">
      <x:c r="A5" s="2" t="str">
        <x:v>필수 흐름: 1차 독립 판독 → 2차 독립 판독(지정 40개) → 불일치 조정 → AI 후보 승인 여부 기록</x:v>
      </x:c>
    </x:row>
    <x:row r="6" ht="30" customHeight="1">
      <x:c r="A6" s="12" t="str">
        <x:v>접근부 ID</x:v>
      </x:c>
      <x:c r="B6" s="34" t="str">
        <x:v>표본 ID</x:v>
      </x:c>
      <x:c r="C6" s="34" t="str">
        <x:v>관리번호</x:v>
      </x:c>
      <x:c r="D6" s="34" t="str">
        <x:v>측면</x:v>
      </x:c>
      <x:c r="E6" s="34" t="str">
        <x:v>위도</x:v>
      </x:c>
      <x:c r="F6" s="34" t="str">
        <x:v>경도</x:v>
      </x:c>
      <x:c r="G6" s="34" t="str">
        <x:v>공공 상태</x:v>
      </x:c>
      <x:c r="H6" s="34" t="str">
        <x:v>보도턱(원자료)</x:v>
      </x:c>
      <x:c r="I6" s="34" t="str">
        <x:v>점자블록(원자료)</x:v>
      </x:c>
      <x:c r="J6" s="34" t="str">
        <x:v>지오메트리 품질</x:v>
      </x:c>
      <x:c r="K6" s="34" t="str">
        <x:v>도로 스냅(m)</x:v>
      </x:c>
      <x:c r="L6" s="34" t="str">
        <x:v>2인 검수</x:v>
      </x:c>
      <x:c r="M6" s="34" t="str">
        <x:v>검수 상태</x:v>
      </x:c>
      <x:c r="N6" s="34" t="str">
        <x:v>검수자 1</x:v>
      </x:c>
      <x:c r="O6" s="34" t="str">
        <x:v>검수일 1</x:v>
      </x:c>
      <x:c r="P6" s="34" t="str">
        <x:v>보도턱 1</x:v>
      </x:c>
      <x:c r="Q6" s="34" t="str">
        <x:v>점자블록 1</x:v>
      </x:c>
      <x:c r="R6" s="34" t="str">
        <x:v>장애물 1</x:v>
      </x:c>
      <x:c r="S6" s="34" t="str">
        <x:v>결과 1</x:v>
      </x:c>
      <x:c r="T6" s="34" t="str">
        <x:v>메모 1</x:v>
      </x:c>
      <x:c r="U6" s="34" t="str">
        <x:v>검수자 2</x:v>
      </x:c>
      <x:c r="V6" s="34" t="str">
        <x:v>검수일 2</x:v>
      </x:c>
      <x:c r="W6" s="34" t="str">
        <x:v>보도턱 2</x:v>
      </x:c>
      <x:c r="X6" s="34" t="str">
        <x:v>점자블록 2</x:v>
      </x:c>
      <x:c r="Y6" s="34" t="str">
        <x:v>장애물 2</x:v>
      </x:c>
      <x:c r="Z6" s="34" t="str">
        <x:v>결과 2</x:v>
      </x:c>
      <x:c r="AA6" s="34" t="str">
        <x:v>메모 2</x:v>
      </x:c>
      <x:c r="AB6" s="34" t="str">
        <x:v>최종 조정</x:v>
      </x:c>
      <x:c r="AC6" s="34" t="str">
        <x:v>AI 후보</x:v>
      </x:c>
      <x:c r="AD6" s="34" t="str">
        <x:v>AI 신뢰도</x:v>
      </x:c>
      <x:c r="AE6" s="34" t="str">
        <x:v>AI 사람승인</x:v>
      </x:c>
      <x:c r="AF6" s="34" t="str">
        <x:v>근거일</x:v>
      </x:c>
      <x:c r="AG6" s="34" t="str">
        <x:v>로드뷰</x:v>
      </x:c>
      <x:c r="AH6" s="13" t="str">
        <x:v>원자료 범위</x:v>
      </x:c>
    </x:row>
    <x:row r="7" ht="22" customHeight="1">
      <x:c r="A7" s="26" t="str">
        <x:v>CW01-A</x:v>
      </x:c>
      <x:c r="B7" s="26" t="str">
        <x:v>CW01</x:v>
      </x:c>
      <x:c r="C7" s="26" t="str">
        <x:v>2024121199</x:v>
      </x:c>
      <x:c r="D7" s="26" t="str">
        <x:v>A</x:v>
      </x:c>
      <x:c r="E7" s="47" t="n">
        <x:v>37.40240149538004</x:v>
      </x:c>
      <x:c r="F7" s="47" t="n">
        <x:v>126.92264614190194</x:v>
      </x:c>
      <x:c r="G7" s="26" t="str">
        <x:v>unknown</x:v>
      </x:c>
      <x:c r="H7" s="26" t="str"/>
      <x:c r="I7" s="26" t="str"/>
      <x:c r="J7" s="26" t="str">
        <x:v>provisional_high</x:v>
      </x:c>
      <x:c r="K7" s="49" t="n">
        <x:v>5.35</x:v>
      </x:c>
      <x:c r="L7" s="26" t="str">
        <x:v>Y</x:v>
      </x:c>
      <x:c r="M7" s="32" t="str">
        <x:f>IF(S7="","pending_1st_review",IF(L7="Y",IF(Z7="","pending_2nd_review",IF(S7=Z7,"reviewed_agree",IF(AB7="","needs_adjudication","adjudicated"))),"reviewed_once"))</x:f>
        <x:v>pending_1st_review</x:v>
      </x:c>
      <x:c r="N7" s="45" t="str"/>
      <x:c r="O7" s="52" t="str"/>
      <x:c r="P7" s="45" t="str"/>
      <x:c r="Q7" s="45" t="str"/>
      <x:c r="R7" s="45" t="str"/>
      <x:c r="S7" s="45" t="str"/>
      <x:c r="T7" s="45" t="str"/>
      <x:c r="U7" s="45" t="str"/>
      <x:c r="V7" s="52" t="str"/>
      <x:c r="W7" s="45" t="str"/>
      <x:c r="X7" s="45" t="str"/>
      <x:c r="Y7" s="45" t="str"/>
      <x:c r="Z7" s="45" t="str"/>
      <x:c r="AA7" s="45" t="str"/>
      <x:c r="AB7" s="45" t="str"/>
      <x:c r="AC7" s="45" t="str">
        <x:v>tactile_absent_candidate</x:v>
      </x:c>
      <x:c r="AD7" s="50" t="n">
        <x:v>0.76</x:v>
      </x:c>
      <x:c r="AE7" s="45" t="str"/>
      <x:c r="AF7" s="52" t="str">
        <x:v>2025-11-17 14:28:24</x:v>
      </x:c>
      <x:c r="AG7" s="26" t="str">
        <x:v>https://map.kakao.com/link/roadview/37.4024015,126.9226461</x:v>
      </x:c>
      <x:c r="AH7" s="26" t="str">
        <x:v>asset_level_inherited_not_endpoint_verified</x:v>
      </x:c>
    </x:row>
    <x:row r="8" ht="22" customHeight="1">
      <x:c r="A8" s="28" t="str">
        <x:v>CW01-B</x:v>
      </x:c>
      <x:c r="B8" s="28" t="str">
        <x:v>CW01</x:v>
      </x:c>
      <x:c r="C8" s="28" t="str">
        <x:v>2024121199</x:v>
      </x:c>
      <x:c r="D8" s="28" t="str">
        <x:v>B</x:v>
      </x:c>
      <x:c r="E8" s="48" t="n">
        <x:v>37.40244836461997</x:v>
      </x:c>
      <x:c r="F8" s="48" t="n">
        <x:v>126.92273045809807</x:v>
      </x:c>
      <x:c r="G8" s="28" t="str">
        <x:v>unknown</x:v>
      </x:c>
      <x:c r="H8" s="28" t="str"/>
      <x:c r="I8" s="28" t="str"/>
      <x:c r="J8" s="28" t="str">
        <x:v>provisional_high</x:v>
      </x:c>
      <x:c r="K8" s="30" t="n">
        <x:v>5.35</x:v>
      </x:c>
      <x:c r="L8" s="28" t="str">
        <x:v>Y</x:v>
      </x:c>
      <x:c r="M8" s="33" t="str">
        <x:f>IF(S8="","pending_1st_review",IF(L8="Y",IF(Z8="","pending_2nd_review",IF(S8=Z8,"reviewed_agree",IF(AB8="","needs_adjudication","adjudicated"))),"reviewed_once"))</x:f>
        <x:v>pending_1st_review</x:v>
      </x:c>
      <x:c r="N8" s="46" t="str"/>
      <x:c r="O8" s="53" t="str"/>
      <x:c r="P8" s="46" t="str"/>
      <x:c r="Q8" s="46" t="str"/>
      <x:c r="R8" s="46" t="str"/>
      <x:c r="S8" s="46" t="str"/>
      <x:c r="T8" s="46" t="str"/>
      <x:c r="U8" s="46" t="str"/>
      <x:c r="V8" s="53" t="str"/>
      <x:c r="W8" s="46" t="str"/>
      <x:c r="X8" s="46" t="str"/>
      <x:c r="Y8" s="46" t="str"/>
      <x:c r="Z8" s="46" t="str"/>
      <x:c r="AA8" s="46" t="str"/>
      <x:c r="AB8" s="46" t="str"/>
      <x:c r="AC8" s="46" t="str">
        <x:v>visibility_review_needed</x:v>
      </x:c>
      <x:c r="AD8" s="51" t="n">
        <x:v>0.52</x:v>
      </x:c>
      <x:c r="AE8" s="46" t="str"/>
      <x:c r="AF8" s="53" t="str">
        <x:v>2025-11-17 14:28:24</x:v>
      </x:c>
      <x:c r="AG8" s="28" t="str">
        <x:v>https://map.kakao.com/link/roadview/37.4024484,126.9227305</x:v>
      </x:c>
      <x:c r="AH8" s="28" t="str">
        <x:v>asset_level_inherited_not_endpoint_verified</x:v>
      </x:c>
    </x:row>
    <x:row r="9" ht="22" customHeight="1">
      <x:c r="A9" s="28" t="str">
        <x:v>CW02-A</x:v>
      </x:c>
      <x:c r="B9" s="28" t="str">
        <x:v>CW02</x:v>
      </x:c>
      <x:c r="C9" s="28" t="str">
        <x:v>2024121207</x:v>
      </x:c>
      <x:c r="D9" s="28" t="str">
        <x:v>A</x:v>
      </x:c>
      <x:c r="E9" s="48" t="n">
        <x:v>37.402241089845866</x:v>
      </x:c>
      <x:c r="F9" s="48" t="n">
        <x:v>126.9216533145511</x:v>
      </x:c>
      <x:c r="G9" s="28" t="str">
        <x:v>unknown</x:v>
      </x:c>
      <x:c r="H9" s="28" t="str"/>
      <x:c r="I9" s="28" t="str"/>
      <x:c r="J9" s="28" t="str">
        <x:v>provisional_high</x:v>
      </x:c>
      <x:c r="K9" s="30" t="n">
        <x:v>0.64</x:v>
      </x:c>
      <x:c r="L9" s="28" t="str">
        <x:v>N</x:v>
      </x:c>
      <x:c r="M9" s="33" t="str">
        <x:f>IF(S9="","pending_1st_review",IF(L9="Y",IF(Z9="","pending_2nd_review",IF(S9=Z9,"reviewed_agree",IF(AB9="","needs_adjudication","adjudicated"))),"reviewed_once"))</x:f>
        <x:v>pending_1st_review</x:v>
      </x:c>
      <x:c r="N9" s="46" t="str"/>
      <x:c r="O9" s="53" t="str"/>
      <x:c r="P9" s="46" t="str"/>
      <x:c r="Q9" s="46" t="str"/>
      <x:c r="R9" s="46" t="str"/>
      <x:c r="S9" s="46" t="str"/>
      <x:c r="T9" s="46" t="str"/>
      <x:c r="U9" s="46" t="str"/>
      <x:c r="V9" s="53" t="str"/>
      <x:c r="W9" s="46" t="str"/>
      <x:c r="X9" s="46" t="str"/>
      <x:c r="Y9" s="46" t="str"/>
      <x:c r="Z9" s="46" t="str"/>
      <x:c r="AA9" s="46" t="str"/>
      <x:c r="AB9" s="46" t="str"/>
      <x:c r="AC9" s="46" t="str">
        <x:v>geometry_mismatch_candidate</x:v>
      </x:c>
      <x:c r="AD9" s="51" t="n">
        <x:v>0.58</x:v>
      </x:c>
      <x:c r="AE9" s="46" t="str"/>
      <x:c r="AF9" s="53" t="str">
        <x:v>2025-12-01 13:09:30</x:v>
      </x:c>
      <x:c r="AG9" s="28" t="str">
        <x:v>https://map.kakao.com/link/roadview/37.4022411,126.9216533</x:v>
      </x:c>
      <x:c r="AH9" s="28" t="str">
        <x:v>asset_level_inherited_not_endpoint_verified</x:v>
      </x:c>
    </x:row>
    <x:row r="10" ht="22" customHeight="1">
      <x:c r="A10" s="28" t="str">
        <x:v>CW02-B</x:v>
      </x:c>
      <x:c r="B10" s="28" t="str">
        <x:v>CW02</x:v>
      </x:c>
      <x:c r="C10" s="28" t="str">
        <x:v>2024121207</x:v>
      </x:c>
      <x:c r="D10" s="28" t="str">
        <x:v>B</x:v>
      </x:c>
      <x:c r="E10" s="48" t="n">
        <x:v>37.40226767015414</x:v>
      </x:c>
      <x:c r="F10" s="48" t="n">
        <x:v>126.92157948544892</x:v>
      </x:c>
      <x:c r="G10" s="28" t="str">
        <x:v>unknown</x:v>
      </x:c>
      <x:c r="H10" s="28" t="str"/>
      <x:c r="I10" s="28" t="str"/>
      <x:c r="J10" s="28" t="str">
        <x:v>provisional_high</x:v>
      </x:c>
      <x:c r="K10" s="30" t="n">
        <x:v>0.64</x:v>
      </x:c>
      <x:c r="L10" s="28" t="str">
        <x:v>N</x:v>
      </x:c>
      <x:c r="M10" s="33" t="str">
        <x:f>IF(S10="","pending_1st_review",IF(L10="Y",IF(Z10="","pending_2nd_review",IF(S10=Z10,"reviewed_agree",IF(AB10="","needs_adjudication","adjudicated"))),"reviewed_once"))</x:f>
        <x:v>pending_1st_review</x:v>
      </x:c>
      <x:c r="N10" s="46" t="str"/>
      <x:c r="O10" s="53" t="str"/>
      <x:c r="P10" s="46" t="str"/>
      <x:c r="Q10" s="46" t="str"/>
      <x:c r="R10" s="46" t="str"/>
      <x:c r="S10" s="46" t="str"/>
      <x:c r="T10" s="46" t="str"/>
      <x:c r="U10" s="46" t="str"/>
      <x:c r="V10" s="53" t="str"/>
      <x:c r="W10" s="46" t="str"/>
      <x:c r="X10" s="46" t="str"/>
      <x:c r="Y10" s="46" t="str"/>
      <x:c r="Z10" s="46" t="str"/>
      <x:c r="AA10" s="46" t="str"/>
      <x:c r="AB10" s="46" t="str"/>
      <x:c r="AC10" s="46" t="str">
        <x:v>geometry_mismatch_candidate</x:v>
      </x:c>
      <x:c r="AD10" s="51" t="n">
        <x:v>0.58</x:v>
      </x:c>
      <x:c r="AE10" s="46" t="str"/>
      <x:c r="AF10" s="53" t="str">
        <x:v>2025-12-01 13:09:30</x:v>
      </x:c>
      <x:c r="AG10" s="28" t="str">
        <x:v>https://map.kakao.com/link/roadview/37.4022677,126.9215795</x:v>
      </x:c>
      <x:c r="AH10" s="28" t="str">
        <x:v>asset_level_inherited_not_endpoint_verified</x:v>
      </x:c>
    </x:row>
    <x:row r="11" ht="22" customHeight="1">
      <x:c r="A11" s="28" t="str">
        <x:v>CW03-A</x:v>
      </x:c>
      <x:c r="B11" s="28" t="str">
        <x:v>CW03</x:v>
      </x:c>
      <x:c r="C11" s="28" t="str">
        <x:v>2024121198</x:v>
      </x:c>
      <x:c r="D11" s="28" t="str">
        <x:v>A</x:v>
      </x:c>
      <x:c r="E11" s="48" t="n">
        <x:v>37.40300229204492</x:v>
      </x:c>
      <x:c r="F11" s="48" t="n">
        <x:v>126.92225900640435</x:v>
      </x:c>
      <x:c r="G11" s="28" t="str">
        <x:v>unknown</x:v>
      </x:c>
      <x:c r="H11" s="28" t="str"/>
      <x:c r="I11" s="28" t="str"/>
      <x:c r="J11" s="28" t="str">
        <x:v>provisional_high</x:v>
      </x:c>
      <x:c r="K11" s="30" t="n">
        <x:v>3.4</x:v>
      </x:c>
      <x:c r="L11" s="28" t="str">
        <x:v>Y</x:v>
      </x:c>
      <x:c r="M11" s="33" t="str">
        <x:f>IF(S11="","pending_1st_review",IF(L11="Y",IF(Z11="","pending_2nd_review",IF(S11=Z11,"reviewed_agree",IF(AB11="","needs_adjudication","adjudicated"))),"reviewed_once"))</x:f>
        <x:v>pending_1st_review</x:v>
      </x:c>
      <x:c r="N11" s="46" t="str"/>
      <x:c r="O11" s="53" t="str"/>
      <x:c r="P11" s="46" t="str"/>
      <x:c r="Q11" s="46" t="str"/>
      <x:c r="R11" s="46" t="str"/>
      <x:c r="S11" s="46" t="str"/>
      <x:c r="T11" s="46" t="str"/>
      <x:c r="U11" s="46" t="str"/>
      <x:c r="V11" s="53" t="str"/>
      <x:c r="W11" s="46" t="str"/>
      <x:c r="X11" s="46" t="str"/>
      <x:c r="Y11" s="46" t="str"/>
      <x:c r="Z11" s="46" t="str"/>
      <x:c r="AA11" s="46" t="str"/>
      <x:c r="AB11" s="46" t="str"/>
      <x:c r="AC11" s="46" t="str">
        <x:v>occlusion_review_needed</x:v>
      </x:c>
      <x:c r="AD11" s="51" t="n">
        <x:v>0.52</x:v>
      </x:c>
      <x:c r="AE11" s="46" t="str"/>
      <x:c r="AF11" s="53" t="str">
        <x:v>2025-11-17 14:28:34</x:v>
      </x:c>
      <x:c r="AG11" s="28" t="str">
        <x:v>https://map.kakao.com/link/roadview/37.4030023,126.9222590</x:v>
      </x:c>
      <x:c r="AH11" s="28" t="str">
        <x:v>asset_level_inherited_not_endpoint_verified</x:v>
      </x:c>
    </x:row>
    <x:row r="12" ht="22" customHeight="1">
      <x:c r="A12" s="28" t="str">
        <x:v>CW03-B</x:v>
      </x:c>
      <x:c r="B12" s="28" t="str">
        <x:v>CW03</x:v>
      </x:c>
      <x:c r="C12" s="28" t="str">
        <x:v>2024121198</x:v>
      </x:c>
      <x:c r="D12" s="28" t="str">
        <x:v>B</x:v>
      </x:c>
      <x:c r="E12" s="48" t="n">
        <x:v>37.40303852795509</x:v>
      </x:c>
      <x:c r="F12" s="48" t="n">
        <x:v>126.92232419359563</x:v>
      </x:c>
      <x:c r="G12" s="28" t="str">
        <x:v>unknown</x:v>
      </x:c>
      <x:c r="H12" s="28" t="str"/>
      <x:c r="I12" s="28" t="str"/>
      <x:c r="J12" s="28" t="str">
        <x:v>provisional_high</x:v>
      </x:c>
      <x:c r="K12" s="30" t="n">
        <x:v>3.4</x:v>
      </x:c>
      <x:c r="L12" s="28" t="str">
        <x:v>Y</x:v>
      </x:c>
      <x:c r="M12" s="33" t="str">
        <x:f>IF(S12="","pending_1st_review",IF(L12="Y",IF(Z12="","pending_2nd_review",IF(S12=Z12,"reviewed_agree",IF(AB12="","needs_adjudication","adjudicated"))),"reviewed_once"))</x:f>
        <x:v>pending_1st_review</x:v>
      </x:c>
      <x:c r="N12" s="46" t="str"/>
      <x:c r="O12" s="53" t="str"/>
      <x:c r="P12" s="46" t="str"/>
      <x:c r="Q12" s="46" t="str"/>
      <x:c r="R12" s="46" t="str"/>
      <x:c r="S12" s="46" t="str"/>
      <x:c r="T12" s="46" t="str"/>
      <x:c r="U12" s="46" t="str"/>
      <x:c r="V12" s="53" t="str"/>
      <x:c r="W12" s="46" t="str"/>
      <x:c r="X12" s="46" t="str"/>
      <x:c r="Y12" s="46" t="str"/>
      <x:c r="Z12" s="46" t="str"/>
      <x:c r="AA12" s="46" t="str"/>
      <x:c r="AB12" s="46" t="str"/>
      <x:c r="AC12" s="46" t="str">
        <x:v>geometry_mismatch_candidate</x:v>
      </x:c>
      <x:c r="AD12" s="51" t="n">
        <x:v>0.58</x:v>
      </x:c>
      <x:c r="AE12" s="46" t="str"/>
      <x:c r="AF12" s="53" t="str">
        <x:v>2025-11-17 14:28:34</x:v>
      </x:c>
      <x:c r="AG12" s="28" t="str">
        <x:v>https://map.kakao.com/link/roadview/37.4030385,126.9223242</x:v>
      </x:c>
      <x:c r="AH12" s="28" t="str">
        <x:v>asset_level_inherited_not_endpoint_verified</x:v>
      </x:c>
    </x:row>
    <x:row r="13" ht="22" customHeight="1">
      <x:c r="A13" s="28" t="str">
        <x:v>CW04-A</x:v>
      </x:c>
      <x:c r="B13" s="28" t="str">
        <x:v>CW04</x:v>
      </x:c>
      <x:c r="C13" s="28" t="str">
        <x:v>2024121191</x:v>
      </x:c>
      <x:c r="D13" s="28" t="str">
        <x:v>A</x:v>
      </x:c>
      <x:c r="E13" s="48" t="n">
        <x:v>37.402219732308936</x:v>
      </x:c>
      <x:c r="F13" s="48" t="n">
        <x:v>126.92134421014717</x:v>
      </x:c>
      <x:c r="G13" s="28" t="str">
        <x:v>unknown</x:v>
      </x:c>
      <x:c r="H13" s="28" t="str"/>
      <x:c r="I13" s="28" t="str"/>
      <x:c r="J13" s="28" t="str">
        <x:v>provisional_high</x:v>
      </x:c>
      <x:c r="K13" s="30" t="n">
        <x:v>4.72</x:v>
      </x:c>
      <x:c r="L13" s="28" t="str">
        <x:v>N</x:v>
      </x:c>
      <x:c r="M13" s="33" t="str">
        <x:f>IF(S13="","pending_1st_review",IF(L13="Y",IF(Z13="","pending_2nd_review",IF(S13=Z13,"reviewed_agree",IF(AB13="","needs_adjudication","adjudicated"))),"reviewed_once"))</x:f>
        <x:v>pending_1st_review</x:v>
      </x:c>
      <x:c r="N13" s="46" t="str"/>
      <x:c r="O13" s="53" t="str"/>
      <x:c r="P13" s="46" t="str"/>
      <x:c r="Q13" s="46" t="str"/>
      <x:c r="R13" s="46" t="str"/>
      <x:c r="S13" s="46" t="str"/>
      <x:c r="T13" s="46" t="str"/>
      <x:c r="U13" s="46" t="str"/>
      <x:c r="V13" s="53" t="str"/>
      <x:c r="W13" s="46" t="str"/>
      <x:c r="X13" s="46" t="str"/>
      <x:c r="Y13" s="46" t="str"/>
      <x:c r="Z13" s="46" t="str"/>
      <x:c r="AA13" s="46" t="str"/>
      <x:c r="AB13" s="46" t="str"/>
      <x:c r="AC13" s="46" t="str">
        <x:v>construction_block_candidate</x:v>
      </x:c>
      <x:c r="AD13" s="51" t="n">
        <x:v>0.82</x:v>
      </x:c>
      <x:c r="AE13" s="46" t="str"/>
      <x:c r="AF13" s="53" t="str">
        <x:v>2025-12-01 13:09:31</x:v>
      </x:c>
      <x:c r="AG13" s="28" t="str">
        <x:v>https://map.kakao.com/link/roadview/37.4022197,126.9213442</x:v>
      </x:c>
      <x:c r="AH13" s="28" t="str">
        <x:v>asset_level_inherited_not_endpoint_verified</x:v>
      </x:c>
    </x:row>
    <x:row r="14" ht="22" customHeight="1">
      <x:c r="A14" s="28" t="str">
        <x:v>CW04-B</x:v>
      </x:c>
      <x:c r="B14" s="28" t="str">
        <x:v>CW04</x:v>
      </x:c>
      <x:c r="C14" s="28" t="str">
        <x:v>2024121191</x:v>
      </x:c>
      <x:c r="D14" s="28" t="str">
        <x:v>B</x:v>
      </x:c>
      <x:c r="E14" s="48" t="n">
        <x:v>37.402296707691065</x:v>
      </x:c>
      <x:c r="F14" s="48" t="n">
        <x:v>126.92148278985283</x:v>
      </x:c>
      <x:c r="G14" s="28" t="str">
        <x:v>unknown</x:v>
      </x:c>
      <x:c r="H14" s="28" t="str"/>
      <x:c r="I14" s="28" t="str"/>
      <x:c r="J14" s="28" t="str">
        <x:v>provisional_high</x:v>
      </x:c>
      <x:c r="K14" s="30" t="n">
        <x:v>4.72</x:v>
      </x:c>
      <x:c r="L14" s="28" t="str">
        <x:v>N</x:v>
      </x:c>
      <x:c r="M14" s="33" t="str">
        <x:f>IF(S14="","pending_1st_review",IF(L14="Y",IF(Z14="","pending_2nd_review",IF(S14=Z14,"reviewed_agree",IF(AB14="","needs_adjudication","adjudicated"))),"reviewed_once"))</x:f>
        <x:v>pending_1st_review</x:v>
      </x:c>
      <x:c r="N14" s="46" t="str"/>
      <x:c r="O14" s="53" t="str"/>
      <x:c r="P14" s="46" t="str"/>
      <x:c r="Q14" s="46" t="str"/>
      <x:c r="R14" s="46" t="str"/>
      <x:c r="S14" s="46" t="str"/>
      <x:c r="T14" s="46" t="str"/>
      <x:c r="U14" s="46" t="str"/>
      <x:c r="V14" s="53" t="str"/>
      <x:c r="W14" s="46" t="str"/>
      <x:c r="X14" s="46" t="str"/>
      <x:c r="Y14" s="46" t="str"/>
      <x:c r="Z14" s="46" t="str"/>
      <x:c r="AA14" s="46" t="str"/>
      <x:c r="AB14" s="46" t="str"/>
      <x:c r="AC14" s="46" t="str">
        <x:v>likely_accessible_candidate</x:v>
      </x:c>
      <x:c r="AD14" s="51" t="n">
        <x:v>0.82</x:v>
      </x:c>
      <x:c r="AE14" s="46" t="str"/>
      <x:c r="AF14" s="53" t="str">
        <x:v>2025-12-01 13:09:31</x:v>
      </x:c>
      <x:c r="AG14" s="28" t="str">
        <x:v>https://map.kakao.com/link/roadview/37.4022967,126.9214828</x:v>
      </x:c>
      <x:c r="AH14" s="28" t="str">
        <x:v>asset_level_inherited_not_endpoint_verified</x:v>
      </x:c>
    </x:row>
    <x:row r="15" ht="22" customHeight="1">
      <x:c r="A15" s="28" t="str">
        <x:v>CW05-A</x:v>
      </x:c>
      <x:c r="B15" s="28" t="str">
        <x:v>CW05</x:v>
      </x:c>
      <x:c r="C15" s="28" t="str">
        <x:v>2024121201</x:v>
      </x:c>
      <x:c r="D15" s="28" t="str">
        <x:v>A</x:v>
      </x:c>
      <x:c r="E15" s="48" t="n">
        <x:v>37.40215763504363</x:v>
      </x:c>
      <x:c r="F15" s="48" t="n">
        <x:v>126.92291684588432</x:v>
      </x:c>
      <x:c r="G15" s="28" t="str">
        <x:v>unknown</x:v>
      </x:c>
      <x:c r="H15" s="28" t="str"/>
      <x:c r="I15" s="28" t="str"/>
      <x:c r="J15" s="28" t="str">
        <x:v>provisional_high</x:v>
      </x:c>
      <x:c r="K15" s="30" t="n">
        <x:v>0.47</x:v>
      </x:c>
      <x:c r="L15" s="28" t="str">
        <x:v>Y</x:v>
      </x:c>
      <x:c r="M15" s="33" t="str">
        <x:f>IF(S15="","pending_1st_review",IF(L15="Y",IF(Z15="","pending_2nd_review",IF(S15=Z15,"reviewed_agree",IF(AB15="","needs_adjudication","adjudicated"))),"reviewed_once"))</x:f>
        <x:v>pending_1st_review</x:v>
      </x:c>
      <x:c r="N15" s="46" t="str"/>
      <x:c r="O15" s="53" t="str"/>
      <x:c r="P15" s="46" t="str"/>
      <x:c r="Q15" s="46" t="str"/>
      <x:c r="R15" s="46" t="str"/>
      <x:c r="S15" s="46" t="str"/>
      <x:c r="T15" s="46" t="str"/>
      <x:c r="U15" s="46" t="str"/>
      <x:c r="V15" s="53" t="str"/>
      <x:c r="W15" s="46" t="str"/>
      <x:c r="X15" s="46" t="str"/>
      <x:c r="Y15" s="46" t="str"/>
      <x:c r="Z15" s="46" t="str"/>
      <x:c r="AA15" s="46" t="str"/>
      <x:c r="AB15" s="46" t="str"/>
      <x:c r="AC15" s="46" t="str">
        <x:v>likely_accessible_candidate</x:v>
      </x:c>
      <x:c r="AD15" s="51" t="n">
        <x:v>0.82</x:v>
      </x:c>
      <x:c r="AE15" s="46" t="str"/>
      <x:c r="AF15" s="53" t="str">
        <x:v>2025-11-17 14:28:18</x:v>
      </x:c>
      <x:c r="AG15" s="28" t="str">
        <x:v>https://map.kakao.com/link/roadview/37.4021576,126.9229168</x:v>
      </x:c>
      <x:c r="AH15" s="28" t="str">
        <x:v>asset_level_inherited_not_endpoint_verified</x:v>
      </x:c>
    </x:row>
    <x:row r="16" ht="22" customHeight="1">
      <x:c r="A16" s="28" t="str">
        <x:v>CW05-B</x:v>
      </x:c>
      <x:c r="B16" s="28" t="str">
        <x:v>CW05</x:v>
      </x:c>
      <x:c r="C16" s="28" t="str">
        <x:v>2024121201</x:v>
      </x:c>
      <x:c r="D16" s="28" t="str">
        <x:v>B</x:v>
      </x:c>
      <x:c r="E16" s="48" t="n">
        <x:v>37.40219794495638</x:v>
      </x:c>
      <x:c r="F16" s="48" t="n">
        <x:v>126.92299535411566</x:v>
      </x:c>
      <x:c r="G16" s="28" t="str">
        <x:v>unknown</x:v>
      </x:c>
      <x:c r="H16" s="28" t="str"/>
      <x:c r="I16" s="28" t="str"/>
      <x:c r="J16" s="28" t="str">
        <x:v>provisional_high</x:v>
      </x:c>
      <x:c r="K16" s="30" t="n">
        <x:v>0.47</x:v>
      </x:c>
      <x:c r="L16" s="28" t="str">
        <x:v>Y</x:v>
      </x:c>
      <x:c r="M16" s="33" t="str">
        <x:f>IF(S16="","pending_1st_review",IF(L16="Y",IF(Z16="","pending_2nd_review",IF(S16=Z16,"reviewed_agree",IF(AB16="","needs_adjudication","adjudicated"))),"reviewed_once"))</x:f>
        <x:v>pending_1st_review</x:v>
      </x:c>
      <x:c r="N16" s="46" t="str"/>
      <x:c r="O16" s="53" t="str"/>
      <x:c r="P16" s="46" t="str"/>
      <x:c r="Q16" s="46" t="str"/>
      <x:c r="R16" s="46" t="str"/>
      <x:c r="S16" s="46" t="str"/>
      <x:c r="T16" s="46" t="str"/>
      <x:c r="U16" s="46" t="str"/>
      <x:c r="V16" s="53" t="str"/>
      <x:c r="W16" s="46" t="str"/>
      <x:c r="X16" s="46" t="str"/>
      <x:c r="Y16" s="46" t="str"/>
      <x:c r="Z16" s="46" t="str"/>
      <x:c r="AA16" s="46" t="str"/>
      <x:c r="AB16" s="46" t="str"/>
      <x:c r="AC16" s="46" t="str">
        <x:v>visibility_review_needed</x:v>
      </x:c>
      <x:c r="AD16" s="51" t="n">
        <x:v>0.52</x:v>
      </x:c>
      <x:c r="AE16" s="46" t="str"/>
      <x:c r="AF16" s="53" t="str">
        <x:v>2025-11-17 14:28:18</x:v>
      </x:c>
      <x:c r="AG16" s="28" t="str">
        <x:v>https://map.kakao.com/link/roadview/37.4021979,126.9229954</x:v>
      </x:c>
      <x:c r="AH16" s="28" t="str">
        <x:v>asset_level_inherited_not_endpoint_verified</x:v>
      </x:c>
    </x:row>
    <x:row r="17" ht="22" customHeight="1">
      <x:c r="A17" s="28" t="str">
        <x:v>CW06-A</x:v>
      </x:c>
      <x:c r="B17" s="28" t="str">
        <x:v>CW06</x:v>
      </x:c>
      <x:c r="C17" s="28" t="str">
        <x:v>2024121072</x:v>
      </x:c>
      <x:c r="D17" s="28" t="str">
        <x:v>A</x:v>
      </x:c>
      <x:c r="E17" s="48" t="n">
        <x:v>37.4017671465952</x:v>
      </x:c>
      <x:c r="F17" s="48" t="n">
        <x:v>126.92166571676718</x:v>
      </x:c>
      <x:c r="G17" s="28" t="str">
        <x:v>unknown</x:v>
      </x:c>
      <x:c r="H17" s="28" t="str"/>
      <x:c r="I17" s="28" t="str"/>
      <x:c r="J17" s="28" t="str">
        <x:v>provisional_high</x:v>
      </x:c>
      <x:c r="K17" s="30" t="n">
        <x:v>1.4</x:v>
      </x:c>
      <x:c r="L17" s="28" t="str">
        <x:v>N</x:v>
      </x:c>
      <x:c r="M17" s="33" t="str">
        <x:f>IF(S17="","pending_1st_review",IF(L17="Y",IF(Z17="","pending_2nd_review",IF(S17=Z17,"reviewed_agree",IF(AB17="","needs_adjudication","adjudicated"))),"reviewed_once"))</x:f>
        <x:v>pending_1st_review</x:v>
      </x:c>
      <x:c r="N17" s="46" t="str"/>
      <x:c r="O17" s="53" t="str"/>
      <x:c r="P17" s="46" t="str"/>
      <x:c r="Q17" s="46" t="str"/>
      <x:c r="R17" s="46" t="str"/>
      <x:c r="S17" s="46" t="str"/>
      <x:c r="T17" s="46" t="str"/>
      <x:c r="U17" s="46" t="str"/>
      <x:c r="V17" s="53" t="str"/>
      <x:c r="W17" s="46" t="str"/>
      <x:c r="X17" s="46" t="str"/>
      <x:c r="Y17" s="46" t="str"/>
      <x:c r="Z17" s="46" t="str"/>
      <x:c r="AA17" s="46" t="str"/>
      <x:c r="AB17" s="46" t="str"/>
      <x:c r="AC17" s="46" t="str">
        <x:v>occlusion_review_needed</x:v>
      </x:c>
      <x:c r="AD17" s="51" t="n">
        <x:v>0.52</x:v>
      </x:c>
      <x:c r="AE17" s="46" t="str"/>
      <x:c r="AF17" s="53" t="str">
        <x:v>2025-12-01 14:54:27</x:v>
      </x:c>
      <x:c r="AG17" s="28" t="str">
        <x:v>https://map.kakao.com/link/roadview/37.4017671,126.9216657</x:v>
      </x:c>
      <x:c r="AH17" s="28" t="str">
        <x:v>asset_level_inherited_not_endpoint_verified</x:v>
      </x:c>
    </x:row>
    <x:row r="18" ht="22" customHeight="1">
      <x:c r="A18" s="28" t="str">
        <x:v>CW06-B</x:v>
      </x:c>
      <x:c r="B18" s="28" t="str">
        <x:v>CW06</x:v>
      </x:c>
      <x:c r="C18" s="28" t="str">
        <x:v>2024121072</x:v>
      </x:c>
      <x:c r="D18" s="28" t="str">
        <x:v>B</x:v>
      </x:c>
      <x:c r="E18" s="48" t="n">
        <x:v>37.401844893404814</x:v>
      </x:c>
      <x:c r="F18" s="48" t="n">
        <x:v>126.92158628323284</x:v>
      </x:c>
      <x:c r="G18" s="28" t="str">
        <x:v>unknown</x:v>
      </x:c>
      <x:c r="H18" s="28" t="str"/>
      <x:c r="I18" s="28" t="str"/>
      <x:c r="J18" s="28" t="str">
        <x:v>provisional_high</x:v>
      </x:c>
      <x:c r="K18" s="30" t="n">
        <x:v>1.4</x:v>
      </x:c>
      <x:c r="L18" s="28" t="str">
        <x:v>N</x:v>
      </x:c>
      <x:c r="M18" s="33" t="str">
        <x:f>IF(S18="","pending_1st_review",IF(L18="Y",IF(Z18="","pending_2nd_review",IF(S18=Z18,"reviewed_agree",IF(AB18="","needs_adjudication","adjudicated"))),"reviewed_once"))</x:f>
        <x:v>pending_1st_review</x:v>
      </x:c>
      <x:c r="N18" s="46" t="str"/>
      <x:c r="O18" s="53" t="str"/>
      <x:c r="P18" s="46" t="str"/>
      <x:c r="Q18" s="46" t="str"/>
      <x:c r="R18" s="46" t="str"/>
      <x:c r="S18" s="46" t="str"/>
      <x:c r="T18" s="46" t="str"/>
      <x:c r="U18" s="46" t="str"/>
      <x:c r="V18" s="53" t="str"/>
      <x:c r="W18" s="46" t="str"/>
      <x:c r="X18" s="46" t="str"/>
      <x:c r="Y18" s="46" t="str"/>
      <x:c r="Z18" s="46" t="str"/>
      <x:c r="AA18" s="46" t="str"/>
      <x:c r="AB18" s="46" t="str"/>
      <x:c r="AC18" s="46" t="str">
        <x:v>occlusion_review_needed</x:v>
      </x:c>
      <x:c r="AD18" s="51" t="n">
        <x:v>0.52</x:v>
      </x:c>
      <x:c r="AE18" s="46" t="str"/>
      <x:c r="AF18" s="53" t="str">
        <x:v>2025-12-01 14:54:27</x:v>
      </x:c>
      <x:c r="AG18" s="28" t="str">
        <x:v>https://map.kakao.com/link/roadview/37.4018449,126.9215863</x:v>
      </x:c>
      <x:c r="AH18" s="28" t="str">
        <x:v>asset_level_inherited_not_endpoint_verified</x:v>
      </x:c>
    </x:row>
    <x:row r="19" ht="22" customHeight="1">
      <x:c r="A19" s="28" t="str">
        <x:v>CW07-A</x:v>
      </x:c>
      <x:c r="B19" s="28" t="str">
        <x:v>CW07</x:v>
      </x:c>
      <x:c r="C19" s="28" t="str">
        <x:v>2024121209</x:v>
      </x:c>
      <x:c r="D19" s="28" t="str">
        <x:v>A</x:v>
      </x:c>
      <x:c r="E19" s="48" t="n">
        <x:v>37.40172334566271</x:v>
      </x:c>
      <x:c r="F19" s="48" t="n">
        <x:v>126.92173024130342</x:v>
      </x:c>
      <x:c r="G19" s="28" t="str">
        <x:v>unknown</x:v>
      </x:c>
      <x:c r="H19" s="28" t="str"/>
      <x:c r="I19" s="28" t="str"/>
      <x:c r="J19" s="28" t="str">
        <x:v>provisional_high</x:v>
      </x:c>
      <x:c r="K19" s="30" t="n">
        <x:v>3.53</x:v>
      </x:c>
      <x:c r="L19" s="28" t="str">
        <x:v>Y</x:v>
      </x:c>
      <x:c r="M19" s="33" t="str">
        <x:f>IF(S19="","pending_1st_review",IF(L19="Y",IF(Z19="","pending_2nd_review",IF(S19=Z19,"reviewed_agree",IF(AB19="","needs_adjudication","adjudicated"))),"reviewed_once"))</x:f>
        <x:v>pending_1st_review</x:v>
      </x:c>
      <x:c r="N19" s="46" t="str"/>
      <x:c r="O19" s="53" t="str"/>
      <x:c r="P19" s="46" t="str"/>
      <x:c r="Q19" s="46" t="str"/>
      <x:c r="R19" s="46" t="str"/>
      <x:c r="S19" s="46" t="str"/>
      <x:c r="T19" s="46" t="str"/>
      <x:c r="U19" s="46" t="str"/>
      <x:c r="V19" s="53" t="str"/>
      <x:c r="W19" s="46" t="str"/>
      <x:c r="X19" s="46" t="str"/>
      <x:c r="Y19" s="46" t="str"/>
      <x:c r="Z19" s="46" t="str"/>
      <x:c r="AA19" s="46" t="str"/>
      <x:c r="AB19" s="46" t="str"/>
      <x:c r="AC19" s="46" t="str">
        <x:v>geometry_mismatch_candidate</x:v>
      </x:c>
      <x:c r="AD19" s="51" t="n">
        <x:v>0.58</x:v>
      </x:c>
      <x:c r="AE19" s="46" t="str"/>
      <x:c r="AF19" s="53" t="str">
        <x:v>2025-12-01 13:09:25</x:v>
      </x:c>
      <x:c r="AG19" s="28" t="str">
        <x:v>https://map.kakao.com/link/roadview/37.4017233,126.9217302</x:v>
      </x:c>
      <x:c r="AH19" s="28" t="str">
        <x:v>asset_level_inherited_not_endpoint_verified</x:v>
      </x:c>
    </x:row>
    <x:row r="20" ht="22" customHeight="1">
      <x:c r="A20" s="28" t="str">
        <x:v>CW07-B</x:v>
      </x:c>
      <x:c r="B20" s="28" t="str">
        <x:v>CW07</x:v>
      </x:c>
      <x:c r="C20" s="28" t="str">
        <x:v>2024121209</x:v>
      </x:c>
      <x:c r="D20" s="28" t="str">
        <x:v>B</x:v>
      </x:c>
      <x:c r="E20" s="48" t="n">
        <x:v>37.4017507743373</x:v>
      </x:c>
      <x:c r="F20" s="48" t="n">
        <x:v>126.9217985586966</x:v>
      </x:c>
      <x:c r="G20" s="28" t="str">
        <x:v>unknown</x:v>
      </x:c>
      <x:c r="H20" s="28" t="str"/>
      <x:c r="I20" s="28" t="str"/>
      <x:c r="J20" s="28" t="str">
        <x:v>provisional_high</x:v>
      </x:c>
      <x:c r="K20" s="30" t="n">
        <x:v>3.53</x:v>
      </x:c>
      <x:c r="L20" s="28" t="str">
        <x:v>Y</x:v>
      </x:c>
      <x:c r="M20" s="33" t="str">
        <x:f>IF(S20="","pending_1st_review",IF(L20="Y",IF(Z20="","pending_2nd_review",IF(S20=Z20,"reviewed_agree",IF(AB20="","needs_adjudication","adjudicated"))),"reviewed_once"))</x:f>
        <x:v>pending_1st_review</x:v>
      </x:c>
      <x:c r="N20" s="46" t="str"/>
      <x:c r="O20" s="53" t="str"/>
      <x:c r="P20" s="46" t="str"/>
      <x:c r="Q20" s="46" t="str"/>
      <x:c r="R20" s="46" t="str"/>
      <x:c r="S20" s="46" t="str"/>
      <x:c r="T20" s="46" t="str"/>
      <x:c r="U20" s="46" t="str"/>
      <x:c r="V20" s="53" t="str"/>
      <x:c r="W20" s="46" t="str"/>
      <x:c r="X20" s="46" t="str"/>
      <x:c r="Y20" s="46" t="str"/>
      <x:c r="Z20" s="46" t="str"/>
      <x:c r="AA20" s="46" t="str"/>
      <x:c r="AB20" s="46" t="str"/>
      <x:c r="AC20" s="46" t="str">
        <x:v>geometry_mismatch_candidate</x:v>
      </x:c>
      <x:c r="AD20" s="51" t="n">
        <x:v>0.58</x:v>
      </x:c>
      <x:c r="AE20" s="46" t="str"/>
      <x:c r="AF20" s="53" t="str">
        <x:v>2025-12-01 13:09:25</x:v>
      </x:c>
      <x:c r="AG20" s="28" t="str">
        <x:v>https://map.kakao.com/link/roadview/37.4017508,126.9217986</x:v>
      </x:c>
      <x:c r="AH20" s="28" t="str">
        <x:v>asset_level_inherited_not_endpoint_verified</x:v>
      </x:c>
    </x:row>
    <x:row r="21" ht="22" customHeight="1">
      <x:c r="A21" s="28" t="str">
        <x:v>CW08-A</x:v>
      </x:c>
      <x:c r="B21" s="28" t="str">
        <x:v>CW08</x:v>
      </x:c>
      <x:c r="C21" s="28" t="str">
        <x:v>2024121206</x:v>
      </x:c>
      <x:c r="D21" s="28" t="str">
        <x:v>A</x:v>
      </x:c>
      <x:c r="E21" s="48" t="n">
        <x:v>37.40151630806864</x:v>
      </x:c>
      <x:c r="F21" s="48" t="n">
        <x:v>126.92345020395895</x:v>
      </x:c>
      <x:c r="G21" s="28" t="str">
        <x:v>unknown</x:v>
      </x:c>
      <x:c r="H21" s="28" t="str"/>
      <x:c r="I21" s="28" t="str"/>
      <x:c r="J21" s="28" t="str">
        <x:v>provisional_high</x:v>
      </x:c>
      <x:c r="K21" s="30" t="n">
        <x:v>0.44</x:v>
      </x:c>
      <x:c r="L21" s="28" t="str">
        <x:v>N</x:v>
      </x:c>
      <x:c r="M21" s="33" t="str">
        <x:f>IF(S21="","pending_1st_review",IF(L21="Y",IF(Z21="","pending_2nd_review",IF(S21=Z21,"reviewed_agree",IF(AB21="","needs_adjudication","adjudicated"))),"reviewed_once"))</x:f>
        <x:v>pending_1st_review</x:v>
      </x:c>
      <x:c r="N21" s="46" t="str"/>
      <x:c r="O21" s="53" t="str"/>
      <x:c r="P21" s="46" t="str"/>
      <x:c r="Q21" s="46" t="str"/>
      <x:c r="R21" s="46" t="str"/>
      <x:c r="S21" s="46" t="str"/>
      <x:c r="T21" s="46" t="str"/>
      <x:c r="U21" s="46" t="str"/>
      <x:c r="V21" s="53" t="str"/>
      <x:c r="W21" s="46" t="str"/>
      <x:c r="X21" s="46" t="str"/>
      <x:c r="Y21" s="46" t="str"/>
      <x:c r="Z21" s="46" t="str"/>
      <x:c r="AA21" s="46" t="str"/>
      <x:c r="AB21" s="46" t="str"/>
      <x:c r="AC21" s="46" t="str">
        <x:v>occlusion_review_needed</x:v>
      </x:c>
      <x:c r="AD21" s="51" t="n">
        <x:v>0.52</x:v>
      </x:c>
      <x:c r="AE21" s="46" t="str"/>
      <x:c r="AF21" s="53" t="str">
        <x:v>2025-11-17 14:28:06</x:v>
      </x:c>
      <x:c r="AG21" s="28" t="str">
        <x:v>https://map.kakao.com/link/roadview/37.4015163,126.9234502</x:v>
      </x:c>
      <x:c r="AH21" s="28" t="str">
        <x:v>asset_level_inherited_not_endpoint_verified</x:v>
      </x:c>
    </x:row>
    <x:row r="22" ht="22" customHeight="1">
      <x:c r="A22" s="28" t="str">
        <x:v>CW08-B</x:v>
      </x:c>
      <x:c r="B22" s="28" t="str">
        <x:v>CW08</x:v>
      </x:c>
      <x:c r="C22" s="28" t="str">
        <x:v>2024121206</x:v>
      </x:c>
      <x:c r="D22" s="28" t="str">
        <x:v>B</x:v>
      </x:c>
      <x:c r="E22" s="48" t="n">
        <x:v>37.401551731931356</x:v>
      </x:c>
      <x:c r="F22" s="48" t="n">
        <x:v>126.92351919604104</x:v>
      </x:c>
      <x:c r="G22" s="28" t="str">
        <x:v>unknown</x:v>
      </x:c>
      <x:c r="H22" s="28" t="str"/>
      <x:c r="I22" s="28" t="str"/>
      <x:c r="J22" s="28" t="str">
        <x:v>provisional_high</x:v>
      </x:c>
      <x:c r="K22" s="30" t="n">
        <x:v>0.44</x:v>
      </x:c>
      <x:c r="L22" s="28" t="str">
        <x:v>N</x:v>
      </x:c>
      <x:c r="M22" s="33" t="str">
        <x:f>IF(S22="","pending_1st_review",IF(L22="Y",IF(Z22="","pending_2nd_review",IF(S22=Z22,"reviewed_agree",IF(AB22="","needs_adjudication","adjudicated"))),"reviewed_once"))</x:f>
        <x:v>pending_1st_review</x:v>
      </x:c>
      <x:c r="N22" s="46" t="str"/>
      <x:c r="O22" s="53" t="str"/>
      <x:c r="P22" s="46" t="str"/>
      <x:c r="Q22" s="46" t="str"/>
      <x:c r="R22" s="46" t="str"/>
      <x:c r="S22" s="46" t="str"/>
      <x:c r="T22" s="46" t="str"/>
      <x:c r="U22" s="46" t="str"/>
      <x:c r="V22" s="53" t="str"/>
      <x:c r="W22" s="46" t="str"/>
      <x:c r="X22" s="46" t="str"/>
      <x:c r="Y22" s="46" t="str"/>
      <x:c r="Z22" s="46" t="str"/>
      <x:c r="AA22" s="46" t="str"/>
      <x:c r="AB22" s="46" t="str"/>
      <x:c r="AC22" s="46" t="str">
        <x:v>visibility_review_needed</x:v>
      </x:c>
      <x:c r="AD22" s="51" t="n">
        <x:v>0.52</x:v>
      </x:c>
      <x:c r="AE22" s="46" t="str"/>
      <x:c r="AF22" s="53" t="str">
        <x:v>2025-11-17 14:28:06</x:v>
      </x:c>
      <x:c r="AG22" s="28" t="str">
        <x:v>https://map.kakao.com/link/roadview/37.4015517,126.9235192</x:v>
      </x:c>
      <x:c r="AH22" s="28" t="str">
        <x:v>asset_level_inherited_not_endpoint_verified</x:v>
      </x:c>
    </x:row>
    <x:row r="23" ht="22" customHeight="1">
      <x:c r="A23" s="28" t="str">
        <x:v>CW09-A</x:v>
      </x:c>
      <x:c r="B23" s="28" t="str">
        <x:v>CW09</x:v>
      </x:c>
      <x:c r="C23" s="28" t="str">
        <x:v>2024121203</x:v>
      </x:c>
      <x:c r="D23" s="28" t="str">
        <x:v>A</x:v>
      </x:c>
      <x:c r="E23" s="48" t="n">
        <x:v>37.4012455863223</x:v>
      </x:c>
      <x:c r="F23" s="48" t="n">
        <x:v>126.92224733040224</x:v>
      </x:c>
      <x:c r="G23" s="28" t="str">
        <x:v>unknown</x:v>
      </x:c>
      <x:c r="H23" s="28" t="str"/>
      <x:c r="I23" s="28" t="str"/>
      <x:c r="J23" s="28" t="str">
        <x:v>provisional_high</x:v>
      </x:c>
      <x:c r="K23" s="30" t="n">
        <x:v>0.58</x:v>
      </x:c>
      <x:c r="L23" s="28" t="str">
        <x:v>Y</x:v>
      </x:c>
      <x:c r="M23" s="33" t="str">
        <x:f>IF(S23="","pending_1st_review",IF(L23="Y",IF(Z23="","pending_2nd_review",IF(S23=Z23,"reviewed_agree",IF(AB23="","needs_adjudication","adjudicated"))),"reviewed_once"))</x:f>
        <x:v>pending_1st_review</x:v>
      </x:c>
      <x:c r="N23" s="46" t="str"/>
      <x:c r="O23" s="53" t="str"/>
      <x:c r="P23" s="46" t="str"/>
      <x:c r="Q23" s="46" t="str"/>
      <x:c r="R23" s="46" t="str"/>
      <x:c r="S23" s="46" t="str"/>
      <x:c r="T23" s="46" t="str"/>
      <x:c r="U23" s="46" t="str"/>
      <x:c r="V23" s="53" t="str"/>
      <x:c r="W23" s="46" t="str"/>
      <x:c r="X23" s="46" t="str"/>
      <x:c r="Y23" s="46" t="str"/>
      <x:c r="Z23" s="46" t="str"/>
      <x:c r="AA23" s="46" t="str"/>
      <x:c r="AB23" s="46" t="str"/>
      <x:c r="AC23" s="46" t="str">
        <x:v>geometry_mismatch_candidate</x:v>
      </x:c>
      <x:c r="AD23" s="51" t="n">
        <x:v>0.58</x:v>
      </x:c>
      <x:c r="AE23" s="46" t="str"/>
      <x:c r="AF23" s="53" t="str">
        <x:v>2025-11-18 11:48:15</x:v>
      </x:c>
      <x:c r="AG23" s="28" t="str">
        <x:v>https://map.kakao.com/link/roadview/37.4012456,126.9222473</x:v>
      </x:c>
      <x:c r="AH23" s="28" t="str">
        <x:v>asset_level_inherited_not_endpoint_verified</x:v>
      </x:c>
    </x:row>
    <x:row r="24" ht="22" customHeight="1">
      <x:c r="A24" s="28" t="str">
        <x:v>CW09-B</x:v>
      </x:c>
      <x:c r="B24" s="28" t="str">
        <x:v>CW09</x:v>
      </x:c>
      <x:c r="C24" s="28" t="str">
        <x:v>2024121203</x:v>
      </x:c>
      <x:c r="D24" s="28" t="str">
        <x:v>B</x:v>
      </x:c>
      <x:c r="E24" s="48" t="n">
        <x:v>37.40129217367772</x:v>
      </x:c>
      <x:c r="F24" s="48" t="n">
        <x:v>126.92232506959778</x:v>
      </x:c>
      <x:c r="G24" s="28" t="str">
        <x:v>unknown</x:v>
      </x:c>
      <x:c r="H24" s="28" t="str"/>
      <x:c r="I24" s="28" t="str"/>
      <x:c r="J24" s="28" t="str">
        <x:v>provisional_high</x:v>
      </x:c>
      <x:c r="K24" s="30" t="n">
        <x:v>0.58</x:v>
      </x:c>
      <x:c r="L24" s="28" t="str">
        <x:v>Y</x:v>
      </x:c>
      <x:c r="M24" s="33" t="str">
        <x:f>IF(S24="","pending_1st_review",IF(L24="Y",IF(Z24="","pending_2nd_review",IF(S24=Z24,"reviewed_agree",IF(AB24="","needs_adjudication","adjudicated"))),"reviewed_once"))</x:f>
        <x:v>pending_1st_review</x:v>
      </x:c>
      <x:c r="N24" s="46" t="str"/>
      <x:c r="O24" s="53" t="str"/>
      <x:c r="P24" s="46" t="str"/>
      <x:c r="Q24" s="46" t="str"/>
      <x:c r="R24" s="46" t="str"/>
      <x:c r="S24" s="46" t="str"/>
      <x:c r="T24" s="46" t="str"/>
      <x:c r="U24" s="46" t="str"/>
      <x:c r="V24" s="53" t="str"/>
      <x:c r="W24" s="46" t="str"/>
      <x:c r="X24" s="46" t="str"/>
      <x:c r="Y24" s="46" t="str"/>
      <x:c r="Z24" s="46" t="str"/>
      <x:c r="AA24" s="46" t="str"/>
      <x:c r="AB24" s="46" t="str"/>
      <x:c r="AC24" s="46" t="str">
        <x:v>geometry_mismatch_candidate</x:v>
      </x:c>
      <x:c r="AD24" s="51" t="n">
        <x:v>0.58</x:v>
      </x:c>
      <x:c r="AE24" s="46" t="str"/>
      <x:c r="AF24" s="53" t="str">
        <x:v>2025-12-01 13:09:18</x:v>
      </x:c>
      <x:c r="AG24" s="28" t="str">
        <x:v>https://map.kakao.com/link/roadview/37.4012922,126.9223251</x:v>
      </x:c>
      <x:c r="AH24" s="28" t="str">
        <x:v>asset_level_inherited_not_endpoint_verified</x:v>
      </x:c>
    </x:row>
    <x:row r="25" ht="22" customHeight="1">
      <x:c r="A25" s="28" t="str">
        <x:v>CW10-A</x:v>
      </x:c>
      <x:c r="B25" s="28" t="str">
        <x:v>CW10</x:v>
      </x:c>
      <x:c r="C25" s="28" t="str">
        <x:v>2024121208</x:v>
      </x:c>
      <x:c r="D25" s="28" t="str">
        <x:v>A</x:v>
      </x:c>
      <x:c r="E25" s="48" t="n">
        <x:v>37.40122776316556</x:v>
      </x:c>
      <x:c r="F25" s="48" t="n">
        <x:v>126.92368033197005</x:v>
      </x:c>
      <x:c r="G25" s="28" t="str">
        <x:v>unknown</x:v>
      </x:c>
      <x:c r="H25" s="28" t="str"/>
      <x:c r="I25" s="28" t="str"/>
      <x:c r="J25" s="28" t="str">
        <x:v>provisional_high</x:v>
      </x:c>
      <x:c r="K25" s="30" t="n">
        <x:v>1.35</x:v>
      </x:c>
      <x:c r="L25" s="28" t="str">
        <x:v>N</x:v>
      </x:c>
      <x:c r="M25" s="33" t="str">
        <x:f>IF(S25="","pending_1st_review",IF(L25="Y",IF(Z25="","pending_2nd_review",IF(S25=Z25,"reviewed_agree",IF(AB25="","needs_adjudication","adjudicated"))),"reviewed_once"))</x:f>
        <x:v>pending_1st_review</x:v>
      </x:c>
      <x:c r="N25" s="46" t="str"/>
      <x:c r="O25" s="53" t="str"/>
      <x:c r="P25" s="46" t="str"/>
      <x:c r="Q25" s="46" t="str"/>
      <x:c r="R25" s="46" t="str"/>
      <x:c r="S25" s="46" t="str"/>
      <x:c r="T25" s="46" t="str"/>
      <x:c r="U25" s="46" t="str"/>
      <x:c r="V25" s="53" t="str"/>
      <x:c r="W25" s="46" t="str"/>
      <x:c r="X25" s="46" t="str"/>
      <x:c r="Y25" s="46" t="str"/>
      <x:c r="Z25" s="46" t="str"/>
      <x:c r="AA25" s="46" t="str"/>
      <x:c r="AB25" s="46" t="str"/>
      <x:c r="AC25" s="46" t="str">
        <x:v>occlusion_review_needed</x:v>
      </x:c>
      <x:c r="AD25" s="51" t="n">
        <x:v>0.52</x:v>
      </x:c>
      <x:c r="AE25" s="46" t="str"/>
      <x:c r="AF25" s="53" t="str">
        <x:v>2025-11-17 14:28:00</x:v>
      </x:c>
      <x:c r="AG25" s="28" t="str">
        <x:v>https://map.kakao.com/link/roadview/37.4012278,126.9236803</x:v>
      </x:c>
      <x:c r="AH25" s="28" t="str">
        <x:v>asset_level_inherited_not_endpoint_verified</x:v>
      </x:c>
    </x:row>
    <x:row r="26" ht="22" customHeight="1">
      <x:c r="A26" s="28" t="str">
        <x:v>CW10-B</x:v>
      </x:c>
      <x:c r="B26" s="28" t="str">
        <x:v>CW10</x:v>
      </x:c>
      <x:c r="C26" s="28" t="str">
        <x:v>2024121208</x:v>
      </x:c>
      <x:c r="D26" s="28" t="str">
        <x:v>B</x:v>
      </x:c>
      <x:c r="E26" s="48" t="n">
        <x:v>37.40127715683444</x:v>
      </x:c>
      <x:c r="F26" s="48" t="n">
        <x:v>126.92376726802996</x:v>
      </x:c>
      <x:c r="G26" s="28" t="str">
        <x:v>unknown</x:v>
      </x:c>
      <x:c r="H26" s="28" t="str"/>
      <x:c r="I26" s="28" t="str"/>
      <x:c r="J26" s="28" t="str">
        <x:v>provisional_high</x:v>
      </x:c>
      <x:c r="K26" s="30" t="n">
        <x:v>1.35</x:v>
      </x:c>
      <x:c r="L26" s="28" t="str">
        <x:v>N</x:v>
      </x:c>
      <x:c r="M26" s="33" t="str">
        <x:f>IF(S26="","pending_1st_review",IF(L26="Y",IF(Z26="","pending_2nd_review",IF(S26=Z26,"reviewed_agree",IF(AB26="","needs_adjudication","adjudicated"))),"reviewed_once"))</x:f>
        <x:v>pending_1st_review</x:v>
      </x:c>
      <x:c r="N26" s="46" t="str"/>
      <x:c r="O26" s="53" t="str"/>
      <x:c r="P26" s="46" t="str"/>
      <x:c r="Q26" s="46" t="str"/>
      <x:c r="R26" s="46" t="str"/>
      <x:c r="S26" s="46" t="str"/>
      <x:c r="T26" s="46" t="str"/>
      <x:c r="U26" s="46" t="str"/>
      <x:c r="V26" s="53" t="str"/>
      <x:c r="W26" s="46" t="str"/>
      <x:c r="X26" s="46" t="str"/>
      <x:c r="Y26" s="46" t="str"/>
      <x:c r="Z26" s="46" t="str"/>
      <x:c r="AA26" s="46" t="str"/>
      <x:c r="AB26" s="46" t="str"/>
      <x:c r="AC26" s="46" t="str">
        <x:v>tactile_absent_candidate</x:v>
      </x:c>
      <x:c r="AD26" s="51" t="n">
        <x:v>0.76</x:v>
      </x:c>
      <x:c r="AE26" s="46" t="str"/>
      <x:c r="AF26" s="53" t="str">
        <x:v>2025-11-17 14:28:00</x:v>
      </x:c>
      <x:c r="AG26" s="28" t="str">
        <x:v>https://map.kakao.com/link/roadview/37.4012772,126.9237673</x:v>
      </x:c>
      <x:c r="AH26" s="28" t="str">
        <x:v>asset_level_inherited_not_endpoint_verified</x:v>
      </x:c>
    </x:row>
    <x:row r="27" ht="22" customHeight="1">
      <x:c r="A27" s="28" t="str">
        <x:v>CW11-A</x:v>
      </x:c>
      <x:c r="B27" s="28" t="str">
        <x:v>CW11</x:v>
      </x:c>
      <x:c r="C27" s="28" t="str">
        <x:v>2024121196</x:v>
      </x:c>
      <x:c r="D27" s="28" t="str">
        <x:v>A</x:v>
      </x:c>
      <x:c r="E27" s="48" t="n">
        <x:v>37.401019360005925</x:v>
      </x:c>
      <x:c r="F27" s="48" t="n">
        <x:v>126.92269349040264</x:v>
      </x:c>
      <x:c r="G27" s="28" t="str">
        <x:v>unknown</x:v>
      </x:c>
      <x:c r="H27" s="28" t="str"/>
      <x:c r="I27" s="28" t="str"/>
      <x:c r="J27" s="28" t="str">
        <x:v>provisional_high</x:v>
      </x:c>
      <x:c r="K27" s="30" t="n">
        <x:v>4.77</x:v>
      </x:c>
      <x:c r="L27" s="28" t="str">
        <x:v>N</x:v>
      </x:c>
      <x:c r="M27" s="33" t="str">
        <x:f>IF(S27="","pending_1st_review",IF(L27="Y",IF(Z27="","pending_2nd_review",IF(S27=Z27,"reviewed_agree",IF(AB27="","needs_adjudication","adjudicated"))),"reviewed_once"))</x:f>
        <x:v>pending_1st_review</x:v>
      </x:c>
      <x:c r="N27" s="46" t="str"/>
      <x:c r="O27" s="53" t="str"/>
      <x:c r="P27" s="46" t="str"/>
      <x:c r="Q27" s="46" t="str"/>
      <x:c r="R27" s="46" t="str"/>
      <x:c r="S27" s="46" t="str"/>
      <x:c r="T27" s="46" t="str"/>
      <x:c r="U27" s="46" t="str"/>
      <x:c r="V27" s="53" t="str"/>
      <x:c r="W27" s="46" t="str"/>
      <x:c r="X27" s="46" t="str"/>
      <x:c r="Y27" s="46" t="str"/>
      <x:c r="Z27" s="46" t="str"/>
      <x:c r="AA27" s="46" t="str"/>
      <x:c r="AB27" s="46" t="str"/>
      <x:c r="AC27" s="46" t="str">
        <x:v>geometry_mismatch_candidate</x:v>
      </x:c>
      <x:c r="AD27" s="51" t="n">
        <x:v>0.58</x:v>
      </x:c>
      <x:c r="AE27" s="46" t="str"/>
      <x:c r="AF27" s="53" t="str">
        <x:v>2025-11-18 14:46:16</x:v>
      </x:c>
      <x:c r="AG27" s="28" t="str">
        <x:v>https://map.kakao.com/link/roadview/37.4010194,126.9226935</x:v>
      </x:c>
      <x:c r="AH27" s="28" t="str">
        <x:v>asset_level_inherited_not_endpoint_verified</x:v>
      </x:c>
    </x:row>
    <x:row r="28" ht="22" customHeight="1">
      <x:c r="A28" s="28" t="str">
        <x:v>CW11-B</x:v>
      </x:c>
      <x:c r="B28" s="28" t="str">
        <x:v>CW11</x:v>
      </x:c>
      <x:c r="C28" s="28" t="str">
        <x:v>2024121196</x:v>
      </x:c>
      <x:c r="D28" s="28" t="str">
        <x:v>B</x:v>
      </x:c>
      <x:c r="E28" s="48" t="n">
        <x:v>37.40104407999407</x:v>
      </x:c>
      <x:c r="F28" s="48" t="n">
        <x:v>126.92273490959737</x:v>
      </x:c>
      <x:c r="G28" s="28" t="str">
        <x:v>unknown</x:v>
      </x:c>
      <x:c r="H28" s="28" t="str"/>
      <x:c r="I28" s="28" t="str"/>
      <x:c r="J28" s="28" t="str">
        <x:v>provisional_high</x:v>
      </x:c>
      <x:c r="K28" s="30" t="n">
        <x:v>4.77</x:v>
      </x:c>
      <x:c r="L28" s="28" t="str">
        <x:v>N</x:v>
      </x:c>
      <x:c r="M28" s="33" t="str">
        <x:f>IF(S28="","pending_1st_review",IF(L28="Y",IF(Z28="","pending_2nd_review",IF(S28=Z28,"reviewed_agree",IF(AB28="","needs_adjudication","adjudicated"))),"reviewed_once"))</x:f>
        <x:v>pending_1st_review</x:v>
      </x:c>
      <x:c r="N28" s="46" t="str"/>
      <x:c r="O28" s="53" t="str"/>
      <x:c r="P28" s="46" t="str"/>
      <x:c r="Q28" s="46" t="str"/>
      <x:c r="R28" s="46" t="str"/>
      <x:c r="S28" s="46" t="str"/>
      <x:c r="T28" s="46" t="str"/>
      <x:c r="U28" s="46" t="str"/>
      <x:c r="V28" s="53" t="str"/>
      <x:c r="W28" s="46" t="str"/>
      <x:c r="X28" s="46" t="str"/>
      <x:c r="Y28" s="46" t="str"/>
      <x:c r="Z28" s="46" t="str"/>
      <x:c r="AA28" s="46" t="str"/>
      <x:c r="AB28" s="46" t="str"/>
      <x:c r="AC28" s="46" t="str">
        <x:v>geometry_mismatch_candidate</x:v>
      </x:c>
      <x:c r="AD28" s="51" t="n">
        <x:v>0.58</x:v>
      </x:c>
      <x:c r="AE28" s="46" t="str"/>
      <x:c r="AF28" s="53" t="str">
        <x:v>2025-11-18 14:46:16</x:v>
      </x:c>
      <x:c r="AG28" s="28" t="str">
        <x:v>https://map.kakao.com/link/roadview/37.4010441,126.9227349</x:v>
      </x:c>
      <x:c r="AH28" s="28" t="str">
        <x:v>asset_level_inherited_not_endpoint_verified</x:v>
      </x:c>
    </x:row>
    <x:row r="29" ht="22" customHeight="1">
      <x:c r="A29" s="28" t="str">
        <x:v>CW12-A</x:v>
      </x:c>
      <x:c r="B29" s="28" t="str">
        <x:v>CW12</x:v>
      </x:c>
      <x:c r="C29" s="28" t="str">
        <x:v>2024121197</x:v>
      </x:c>
      <x:c r="D29" s="28" t="str">
        <x:v>A</x:v>
      </x:c>
      <x:c r="E29" s="48" t="n">
        <x:v>37.40099326142671</x:v>
      </x:c>
      <x:c r="F29" s="48" t="n">
        <x:v>126.92264523773848</x:v>
      </x:c>
      <x:c r="G29" s="28" t="str">
        <x:v>unknown</x:v>
      </x:c>
      <x:c r="H29" s="28" t="str"/>
      <x:c r="I29" s="28" t="str"/>
      <x:c r="J29" s="28" t="str">
        <x:v>provisional_high</x:v>
      </x:c>
      <x:c r="K29" s="30" t="n">
        <x:v>0.96</x:v>
      </x:c>
      <x:c r="L29" s="28" t="str">
        <x:v>Y</x:v>
      </x:c>
      <x:c r="M29" s="33" t="str">
        <x:f>IF(S29="","pending_1st_review",IF(L29="Y",IF(Z29="","pending_2nd_review",IF(S29=Z29,"reviewed_agree",IF(AB29="","needs_adjudication","adjudicated"))),"reviewed_once"))</x:f>
        <x:v>pending_1st_review</x:v>
      </x:c>
      <x:c r="N29" s="46" t="str"/>
      <x:c r="O29" s="53" t="str"/>
      <x:c r="P29" s="46" t="str"/>
      <x:c r="Q29" s="46" t="str"/>
      <x:c r="R29" s="46" t="str"/>
      <x:c r="S29" s="46" t="str"/>
      <x:c r="T29" s="46" t="str"/>
      <x:c r="U29" s="46" t="str"/>
      <x:c r="V29" s="53" t="str"/>
      <x:c r="W29" s="46" t="str"/>
      <x:c r="X29" s="46" t="str"/>
      <x:c r="Y29" s="46" t="str"/>
      <x:c r="Z29" s="46" t="str"/>
      <x:c r="AA29" s="46" t="str"/>
      <x:c r="AB29" s="46" t="str"/>
      <x:c r="AC29" s="46" t="str">
        <x:v>geometry_mismatch_candidate</x:v>
      </x:c>
      <x:c r="AD29" s="51" t="n">
        <x:v>0.58</x:v>
      </x:c>
      <x:c r="AE29" s="46" t="str"/>
      <x:c r="AF29" s="53" t="str">
        <x:v>2025-11-18 14:46:16</x:v>
      </x:c>
      <x:c r="AG29" s="28" t="str">
        <x:v>https://map.kakao.com/link/roadview/37.4009933,126.9226452</x:v>
      </x:c>
      <x:c r="AH29" s="28" t="str">
        <x:v>asset_level_inherited_not_endpoint_verified</x:v>
      </x:c>
    </x:row>
    <x:row r="30" ht="22" customHeight="1">
      <x:c r="A30" s="28" t="str">
        <x:v>CW12-B</x:v>
      </x:c>
      <x:c r="B30" s="28" t="str">
        <x:v>CW12</x:v>
      </x:c>
      <x:c r="C30" s="28" t="str">
        <x:v>2024121197</x:v>
      </x:c>
      <x:c r="D30" s="28" t="str">
        <x:v>B</x:v>
      </x:c>
      <x:c r="E30" s="48" t="n">
        <x:v>37.401011598573284</x:v>
      </x:c>
      <x:c r="F30" s="48" t="n">
        <x:v>126.92267596226152</x:v>
      </x:c>
      <x:c r="G30" s="28" t="str">
        <x:v>unknown</x:v>
      </x:c>
      <x:c r="H30" s="28" t="str"/>
      <x:c r="I30" s="28" t="str"/>
      <x:c r="J30" s="28" t="str">
        <x:v>provisional_high</x:v>
      </x:c>
      <x:c r="K30" s="30" t="n">
        <x:v>0.96</x:v>
      </x:c>
      <x:c r="L30" s="28" t="str">
        <x:v>Y</x:v>
      </x:c>
      <x:c r="M30" s="33" t="str">
        <x:f>IF(S30="","pending_1st_review",IF(L30="Y",IF(Z30="","pending_2nd_review",IF(S30=Z30,"reviewed_agree",IF(AB30="","needs_adjudication","adjudicated"))),"reviewed_once"))</x:f>
        <x:v>pending_1st_review</x:v>
      </x:c>
      <x:c r="N30" s="46" t="str"/>
      <x:c r="O30" s="53" t="str"/>
      <x:c r="P30" s="46" t="str"/>
      <x:c r="Q30" s="46" t="str"/>
      <x:c r="R30" s="46" t="str"/>
      <x:c r="S30" s="46" t="str"/>
      <x:c r="T30" s="46" t="str"/>
      <x:c r="U30" s="46" t="str"/>
      <x:c r="V30" s="53" t="str"/>
      <x:c r="W30" s="46" t="str"/>
      <x:c r="X30" s="46" t="str"/>
      <x:c r="Y30" s="46" t="str"/>
      <x:c r="Z30" s="46" t="str"/>
      <x:c r="AA30" s="46" t="str"/>
      <x:c r="AB30" s="46" t="str"/>
      <x:c r="AC30" s="46" t="str">
        <x:v>geometry_mismatch_candidate</x:v>
      </x:c>
      <x:c r="AD30" s="51" t="n">
        <x:v>0.58</x:v>
      </x:c>
      <x:c r="AE30" s="46" t="str"/>
      <x:c r="AF30" s="53" t="str">
        <x:v>2025-11-18 14:46:16</x:v>
      </x:c>
      <x:c r="AG30" s="28" t="str">
        <x:v>https://map.kakao.com/link/roadview/37.4010116,126.9226760</x:v>
      </x:c>
      <x:c r="AH30" s="28" t="str">
        <x:v>asset_level_inherited_not_endpoint_verified</x:v>
      </x:c>
    </x:row>
    <x:row r="31" ht="22" customHeight="1">
      <x:c r="A31" s="28" t="str">
        <x:v>CW13-A</x:v>
      </x:c>
      <x:c r="B31" s="28" t="str">
        <x:v>CW13</x:v>
      </x:c>
      <x:c r="C31" s="28" t="str">
        <x:v>2024121190</x:v>
      </x:c>
      <x:c r="D31" s="28" t="str">
        <x:v>A</x:v>
      </x:c>
      <x:c r="E31" s="48" t="n">
        <x:v>37.40083738053178</x:v>
      </x:c>
      <x:c r="F31" s="48" t="n">
        <x:v>126.92194039159135</x:v>
      </x:c>
      <x:c r="G31" s="28" t="str">
        <x:v>unknown</x:v>
      </x:c>
      <x:c r="H31" s="28" t="str"/>
      <x:c r="I31" s="28" t="str"/>
      <x:c r="J31" s="28" t="str">
        <x:v>provisional_high</x:v>
      </x:c>
      <x:c r="K31" s="30" t="n">
        <x:v>1.68</x:v>
      </x:c>
      <x:c r="L31" s="28" t="str">
        <x:v>N</x:v>
      </x:c>
      <x:c r="M31" s="33" t="str">
        <x:f>IF(S31="","pending_1st_review",IF(L31="Y",IF(Z31="","pending_2nd_review",IF(S31=Z31,"reviewed_agree",IF(AB31="","needs_adjudication","adjudicated"))),"reviewed_once"))</x:f>
        <x:v>pending_1st_review</x:v>
      </x:c>
      <x:c r="N31" s="46" t="str"/>
      <x:c r="O31" s="53" t="str"/>
      <x:c r="P31" s="46" t="str"/>
      <x:c r="Q31" s="46" t="str"/>
      <x:c r="R31" s="46" t="str"/>
      <x:c r="S31" s="46" t="str"/>
      <x:c r="T31" s="46" t="str"/>
      <x:c r="U31" s="46" t="str"/>
      <x:c r="V31" s="53" t="str"/>
      <x:c r="W31" s="46" t="str"/>
      <x:c r="X31" s="46" t="str"/>
      <x:c r="Y31" s="46" t="str"/>
      <x:c r="Z31" s="46" t="str"/>
      <x:c r="AA31" s="46" t="str"/>
      <x:c r="AB31" s="46" t="str"/>
      <x:c r="AC31" s="46" t="str">
        <x:v>geometry_mismatch_candidate</x:v>
      </x:c>
      <x:c r="AD31" s="51" t="n">
        <x:v>0.58</x:v>
      </x:c>
      <x:c r="AE31" s="46" t="str"/>
      <x:c r="AF31" s="53" t="str">
        <x:v>2025-11-18 15:01:57</x:v>
      </x:c>
      <x:c r="AG31" s="28" t="str">
        <x:v>https://map.kakao.com/link/roadview/37.4008374,126.9219404</x:v>
      </x:c>
      <x:c r="AH31" s="28" t="str">
        <x:v>asset_level_inherited_not_endpoint_verified</x:v>
      </x:c>
    </x:row>
    <x:row r="32" ht="22" customHeight="1">
      <x:c r="A32" s="28" t="str">
        <x:v>CW13-B</x:v>
      </x:c>
      <x:c r="B32" s="28" t="str">
        <x:v>CW13</x:v>
      </x:c>
      <x:c r="C32" s="28" t="str">
        <x:v>2024121190</x:v>
      </x:c>
      <x:c r="D32" s="28" t="str">
        <x:v>B</x:v>
      </x:c>
      <x:c r="E32" s="48" t="n">
        <x:v>37.40089461946822</x:v>
      </x:c>
      <x:c r="F32" s="48" t="n">
        <x:v>126.92181340840867</x:v>
      </x:c>
      <x:c r="G32" s="28" t="str">
        <x:v>unknown</x:v>
      </x:c>
      <x:c r="H32" s="28" t="str"/>
      <x:c r="I32" s="28" t="str"/>
      <x:c r="J32" s="28" t="str">
        <x:v>provisional_high</x:v>
      </x:c>
      <x:c r="K32" s="30" t="n">
        <x:v>1.68</x:v>
      </x:c>
      <x:c r="L32" s="28" t="str">
        <x:v>N</x:v>
      </x:c>
      <x:c r="M32" s="33" t="str">
        <x:f>IF(S32="","pending_1st_review",IF(L32="Y",IF(Z32="","pending_2nd_review",IF(S32=Z32,"reviewed_agree",IF(AB32="","needs_adjudication","adjudicated"))),"reviewed_once"))</x:f>
        <x:v>pending_1st_review</x:v>
      </x:c>
      <x:c r="N32" s="46" t="str"/>
      <x:c r="O32" s="53" t="str"/>
      <x:c r="P32" s="46" t="str"/>
      <x:c r="Q32" s="46" t="str"/>
      <x:c r="R32" s="46" t="str"/>
      <x:c r="S32" s="46" t="str"/>
      <x:c r="T32" s="46" t="str"/>
      <x:c r="U32" s="46" t="str"/>
      <x:c r="V32" s="53" t="str"/>
      <x:c r="W32" s="46" t="str"/>
      <x:c r="X32" s="46" t="str"/>
      <x:c r="Y32" s="46" t="str"/>
      <x:c r="Z32" s="46" t="str"/>
      <x:c r="AA32" s="46" t="str"/>
      <x:c r="AB32" s="46" t="str"/>
      <x:c r="AC32" s="46" t="str">
        <x:v>tactile_absent_candidate</x:v>
      </x:c>
      <x:c r="AD32" s="51" t="n">
        <x:v>0.76</x:v>
      </x:c>
      <x:c r="AE32" s="46" t="str"/>
      <x:c r="AF32" s="53" t="str">
        <x:v>2025-11-18 11:52:27</x:v>
      </x:c>
      <x:c r="AG32" s="28" t="str">
        <x:v>https://map.kakao.com/link/roadview/37.4008946,126.9218134</x:v>
      </x:c>
      <x:c r="AH32" s="28" t="str">
        <x:v>asset_level_inherited_not_endpoint_verified</x:v>
      </x:c>
    </x:row>
    <x:row r="33" ht="22" customHeight="1">
      <x:c r="A33" s="28" t="str">
        <x:v>CW14-A</x:v>
      </x:c>
      <x:c r="B33" s="28" t="str">
        <x:v>CW14</x:v>
      </x:c>
      <x:c r="C33" s="28" t="str">
        <x:v>2024120086</x:v>
      </x:c>
      <x:c r="D33" s="28" t="str">
        <x:v>A</x:v>
      </x:c>
      <x:c r="E33" s="48" t="n">
        <x:v>37.39951423562795</x:v>
      </x:c>
      <x:c r="F33" s="48" t="n">
        <x:v>126.92380849157105</x:v>
      </x:c>
      <x:c r="G33" s="28" t="str">
        <x:v>unknown</x:v>
      </x:c>
      <x:c r="H33" s="28" t="str"/>
      <x:c r="I33" s="28" t="str"/>
      <x:c r="J33" s="28" t="str">
        <x:v>provisional_high</x:v>
      </x:c>
      <x:c r="K33" s="30" t="n">
        <x:v>0.47</x:v>
      </x:c>
      <x:c r="L33" s="28" t="str">
        <x:v>Y</x:v>
      </x:c>
      <x:c r="M33" s="33" t="str">
        <x:f>IF(S33="","pending_1st_review",IF(L33="Y",IF(Z33="","pending_2nd_review",IF(S33=Z33,"reviewed_agree",IF(AB33="","needs_adjudication","adjudicated"))),"reviewed_once"))</x:f>
        <x:v>pending_1st_review</x:v>
      </x:c>
      <x:c r="N33" s="46" t="str"/>
      <x:c r="O33" s="53" t="str"/>
      <x:c r="P33" s="46" t="str"/>
      <x:c r="Q33" s="46" t="str"/>
      <x:c r="R33" s="46" t="str"/>
      <x:c r="S33" s="46" t="str"/>
      <x:c r="T33" s="46" t="str"/>
      <x:c r="U33" s="46" t="str"/>
      <x:c r="V33" s="53" t="str"/>
      <x:c r="W33" s="46" t="str"/>
      <x:c r="X33" s="46" t="str"/>
      <x:c r="Y33" s="46" t="str"/>
      <x:c r="Z33" s="46" t="str"/>
      <x:c r="AA33" s="46" t="str"/>
      <x:c r="AB33" s="46" t="str"/>
      <x:c r="AC33" s="46" t="str">
        <x:v>likely_accessible_candidate</x:v>
      </x:c>
      <x:c r="AD33" s="51" t="n">
        <x:v>0.82</x:v>
      </x:c>
      <x:c r="AE33" s="46" t="str"/>
      <x:c r="AF33" s="53" t="str">
        <x:v>2025-11-18 14:45:30</x:v>
      </x:c>
      <x:c r="AG33" s="28" t="str">
        <x:v>https://map.kakao.com/link/roadview/37.3995142,126.9238085</x:v>
      </x:c>
      <x:c r="AH33" s="28" t="str">
        <x:v>asset_level_inherited_not_endpoint_verified</x:v>
      </x:c>
    </x:row>
    <x:row r="34" ht="22" customHeight="1">
      <x:c r="A34" s="28" t="str">
        <x:v>CW14-B</x:v>
      </x:c>
      <x:c r="B34" s="28" t="str">
        <x:v>CW14</x:v>
      </x:c>
      <x:c r="C34" s="28" t="str">
        <x:v>2024120086</x:v>
      </x:c>
      <x:c r="D34" s="28" t="str">
        <x:v>B</x:v>
      </x:c>
      <x:c r="E34" s="48" t="n">
        <x:v>37.399604184372045</x:v>
      </x:c>
      <x:c r="F34" s="48" t="n">
        <x:v>126.92395310842896</x:v>
      </x:c>
      <x:c r="G34" s="28" t="str">
        <x:v>unknown</x:v>
      </x:c>
      <x:c r="H34" s="28" t="str"/>
      <x:c r="I34" s="28" t="str"/>
      <x:c r="J34" s="28" t="str">
        <x:v>provisional_high</x:v>
      </x:c>
      <x:c r="K34" s="30" t="n">
        <x:v>0.47</x:v>
      </x:c>
      <x:c r="L34" s="28" t="str">
        <x:v>Y</x:v>
      </x:c>
      <x:c r="M34" s="33" t="str">
        <x:f>IF(S34="","pending_1st_review",IF(L34="Y",IF(Z34="","pending_2nd_review",IF(S34=Z34,"reviewed_agree",IF(AB34="","needs_adjudication","adjudicated"))),"reviewed_once"))</x:f>
        <x:v>pending_1st_review</x:v>
      </x:c>
      <x:c r="N34" s="46" t="str"/>
      <x:c r="O34" s="53" t="str"/>
      <x:c r="P34" s="46" t="str"/>
      <x:c r="Q34" s="46" t="str"/>
      <x:c r="R34" s="46" t="str"/>
      <x:c r="S34" s="46" t="str"/>
      <x:c r="T34" s="46" t="str"/>
      <x:c r="U34" s="46" t="str"/>
      <x:c r="V34" s="53" t="str"/>
      <x:c r="W34" s="46" t="str"/>
      <x:c r="X34" s="46" t="str"/>
      <x:c r="Y34" s="46" t="str"/>
      <x:c r="Z34" s="46" t="str"/>
      <x:c r="AA34" s="46" t="str"/>
      <x:c r="AB34" s="46" t="str"/>
      <x:c r="AC34" s="46" t="str">
        <x:v>likely_accessible_candidate</x:v>
      </x:c>
      <x:c r="AD34" s="51" t="n">
        <x:v>0.82</x:v>
      </x:c>
      <x:c r="AE34" s="46" t="str"/>
      <x:c r="AF34" s="53" t="str">
        <x:v>2025-11-18 14:45:30</x:v>
      </x:c>
      <x:c r="AG34" s="28" t="str">
        <x:v>https://map.kakao.com/link/roadview/37.3996042,126.9239531</x:v>
      </x:c>
      <x:c r="AH34" s="28" t="str">
        <x:v>asset_level_inherited_not_endpoint_verified</x:v>
      </x:c>
    </x:row>
    <x:row r="35" ht="22" customHeight="1">
      <x:c r="A35" s="28" t="str">
        <x:v>CW15-A</x:v>
      </x:c>
      <x:c r="B35" s="28" t="str">
        <x:v>CW15</x:v>
      </x:c>
      <x:c r="C35" s="28" t="str">
        <x:v>2024122521</x:v>
      </x:c>
      <x:c r="D35" s="28" t="str">
        <x:v>A</x:v>
      </x:c>
      <x:c r="E35" s="48" t="n">
        <x:v>37.398330514879135</x:v>
      </x:c>
      <x:c r="F35" s="48" t="n">
        <x:v>126.92430267046433</x:v>
      </x:c>
      <x:c r="G35" s="28" t="str">
        <x:v>unknown</x:v>
      </x:c>
      <x:c r="H35" s="28" t="str"/>
      <x:c r="I35" s="28" t="str"/>
      <x:c r="J35" s="28" t="str">
        <x:v>provisional_high</x:v>
      </x:c>
      <x:c r="K35" s="30" t="n">
        <x:v>0.73</x:v>
      </x:c>
      <x:c r="L35" s="28" t="str">
        <x:v>N</x:v>
      </x:c>
      <x:c r="M35" s="33" t="str">
        <x:f>IF(S35="","pending_1st_review",IF(L35="Y",IF(Z35="","pending_2nd_review",IF(S35=Z35,"reviewed_agree",IF(AB35="","needs_adjudication","adjudicated"))),"reviewed_once"))</x:f>
        <x:v>pending_1st_review</x:v>
      </x:c>
      <x:c r="N35" s="46" t="str"/>
      <x:c r="O35" s="53" t="str"/>
      <x:c r="P35" s="46" t="str"/>
      <x:c r="Q35" s="46" t="str"/>
      <x:c r="R35" s="46" t="str"/>
      <x:c r="S35" s="46" t="str"/>
      <x:c r="T35" s="46" t="str"/>
      <x:c r="U35" s="46" t="str"/>
      <x:c r="V35" s="53" t="str"/>
      <x:c r="W35" s="46" t="str"/>
      <x:c r="X35" s="46" t="str"/>
      <x:c r="Y35" s="46" t="str"/>
      <x:c r="Z35" s="46" t="str"/>
      <x:c r="AA35" s="46" t="str"/>
      <x:c r="AB35" s="46" t="str"/>
      <x:c r="AC35" s="46" t="str">
        <x:v>geometry_mismatch_candidate</x:v>
      </x:c>
      <x:c r="AD35" s="51" t="n">
        <x:v>0.58</x:v>
      </x:c>
      <x:c r="AE35" s="46" t="str"/>
      <x:c r="AF35" s="53" t="str">
        <x:v>2025-11-18 11:45:38</x:v>
      </x:c>
      <x:c r="AG35" s="28" t="str">
        <x:v>https://map.kakao.com/link/roadview/37.3983305,126.9243027</x:v>
      </x:c>
      <x:c r="AH35" s="28" t="str">
        <x:v>asset_level_inherited_not_endpoint_verified</x:v>
      </x:c>
    </x:row>
    <x:row r="36" ht="22" customHeight="1">
      <x:c r="A36" s="28" t="str">
        <x:v>CW15-B</x:v>
      </x:c>
      <x:c r="B36" s="28" t="str">
        <x:v>CW15</x:v>
      </x:c>
      <x:c r="C36" s="28" t="str">
        <x:v>2024122521</x:v>
      </x:c>
      <x:c r="D36" s="28" t="str">
        <x:v>B</x:v>
      </x:c>
      <x:c r="E36" s="48" t="n">
        <x:v>37.39843440512087</x:v>
      </x:c>
      <x:c r="F36" s="48" t="n">
        <x:v>126.92420312953567</x:v>
      </x:c>
      <x:c r="G36" s="28" t="str">
        <x:v>unknown</x:v>
      </x:c>
      <x:c r="H36" s="28" t="str"/>
      <x:c r="I36" s="28" t="str"/>
      <x:c r="J36" s="28" t="str">
        <x:v>provisional_high</x:v>
      </x:c>
      <x:c r="K36" s="30" t="n">
        <x:v>0.73</x:v>
      </x:c>
      <x:c r="L36" s="28" t="str">
        <x:v>N</x:v>
      </x:c>
      <x:c r="M36" s="33" t="str">
        <x:f>IF(S36="","pending_1st_review",IF(L36="Y",IF(Z36="","pending_2nd_review",IF(S36=Z36,"reviewed_agree",IF(AB36="","needs_adjudication","adjudicated"))),"reviewed_once"))</x:f>
        <x:v>pending_1st_review</x:v>
      </x:c>
      <x:c r="N36" s="46" t="str"/>
      <x:c r="O36" s="53" t="str"/>
      <x:c r="P36" s="46" t="str"/>
      <x:c r="Q36" s="46" t="str"/>
      <x:c r="R36" s="46" t="str"/>
      <x:c r="S36" s="46" t="str"/>
      <x:c r="T36" s="46" t="str"/>
      <x:c r="U36" s="46" t="str"/>
      <x:c r="V36" s="53" t="str"/>
      <x:c r="W36" s="46" t="str"/>
      <x:c r="X36" s="46" t="str"/>
      <x:c r="Y36" s="46" t="str"/>
      <x:c r="Z36" s="46" t="str"/>
      <x:c r="AA36" s="46" t="str"/>
      <x:c r="AB36" s="46" t="str"/>
      <x:c r="AC36" s="46" t="str">
        <x:v>geometry_mismatch_candidate</x:v>
      </x:c>
      <x:c r="AD36" s="51" t="n">
        <x:v>0.58</x:v>
      </x:c>
      <x:c r="AE36" s="46" t="str"/>
      <x:c r="AF36" s="53" t="str">
        <x:v>2025-11-18 11:49:28</x:v>
      </x:c>
      <x:c r="AG36" s="28" t="str">
        <x:v>https://map.kakao.com/link/roadview/37.3984344,126.9242031</x:v>
      </x:c>
      <x:c r="AH36" s="28" t="str">
        <x:v>asset_level_inherited_not_endpoint_verified</x:v>
      </x:c>
    </x:row>
    <x:row r="37" ht="22" customHeight="1">
      <x:c r="A37" s="28" t="str">
        <x:v>CW16-A</x:v>
      </x:c>
      <x:c r="B37" s="28" t="str">
        <x:v>CW16</x:v>
      </x:c>
      <x:c r="C37" s="28" t="str">
        <x:v>2024122517</x:v>
      </x:c>
      <x:c r="D37" s="28" t="str">
        <x:v>A</x:v>
      </x:c>
      <x:c r="E37" s="48" t="n">
        <x:v>37.39751862266188</x:v>
      </x:c>
      <x:c r="F37" s="48" t="n">
        <x:v>126.92279839429749</x:v>
      </x:c>
      <x:c r="G37" s="28" t="str">
        <x:v>unknown</x:v>
      </x:c>
      <x:c r="H37" s="28" t="str"/>
      <x:c r="I37" s="28" t="str"/>
      <x:c r="J37" s="28" t="str">
        <x:v>provisional_high</x:v>
      </x:c>
      <x:c r="K37" s="30" t="n">
        <x:v>1.36</x:v>
      </x:c>
      <x:c r="L37" s="28" t="str">
        <x:v>Y</x:v>
      </x:c>
      <x:c r="M37" s="33" t="str">
        <x:f>IF(S37="","pending_1st_review",IF(L37="Y",IF(Z37="","pending_2nd_review",IF(S37=Z37,"reviewed_agree",IF(AB37="","needs_adjudication","adjudicated"))),"reviewed_once"))</x:f>
        <x:v>pending_1st_review</x:v>
      </x:c>
      <x:c r="N37" s="46" t="str"/>
      <x:c r="O37" s="53" t="str"/>
      <x:c r="P37" s="46" t="str"/>
      <x:c r="Q37" s="46" t="str"/>
      <x:c r="R37" s="46" t="str"/>
      <x:c r="S37" s="46" t="str"/>
      <x:c r="T37" s="46" t="str"/>
      <x:c r="U37" s="46" t="str"/>
      <x:c r="V37" s="53" t="str"/>
      <x:c r="W37" s="46" t="str"/>
      <x:c r="X37" s="46" t="str"/>
      <x:c r="Y37" s="46" t="str"/>
      <x:c r="Z37" s="46" t="str"/>
      <x:c r="AA37" s="46" t="str"/>
      <x:c r="AB37" s="46" t="str"/>
      <x:c r="AC37" s="46" t="str">
        <x:v>likely_accessible_candidate</x:v>
      </x:c>
      <x:c r="AD37" s="51" t="n">
        <x:v>0.82</x:v>
      </x:c>
      <x:c r="AE37" s="46" t="str"/>
      <x:c r="AF37" s="53" t="str">
        <x:v>2025-11-18 14:18:05</x:v>
      </x:c>
      <x:c r="AG37" s="28" t="str">
        <x:v>https://map.kakao.com/link/roadview/37.3975186,126.9227984</x:v>
      </x:c>
      <x:c r="AH37" s="28" t="str">
        <x:v>asset_level_inherited_not_endpoint_verified</x:v>
      </x:c>
    </x:row>
    <x:row r="38" ht="22" customHeight="1">
      <x:c r="A38" s="28" t="str">
        <x:v>CW16-B</x:v>
      </x:c>
      <x:c r="B38" s="28" t="str">
        <x:v>CW16</x:v>
      </x:c>
      <x:c r="C38" s="28" t="str">
        <x:v>2024122517</x:v>
      </x:c>
      <x:c r="D38" s="28" t="str">
        <x:v>B</x:v>
      </x:c>
      <x:c r="E38" s="48" t="n">
        <x:v>37.397654297338114</x:v>
      </x:c>
      <x:c r="F38" s="48" t="n">
        <x:v>126.92268200570251</x:v>
      </x:c>
      <x:c r="G38" s="28" t="str">
        <x:v>unknown</x:v>
      </x:c>
      <x:c r="H38" s="28" t="str"/>
      <x:c r="I38" s="28" t="str"/>
      <x:c r="J38" s="28" t="str">
        <x:v>provisional_high</x:v>
      </x:c>
      <x:c r="K38" s="30" t="n">
        <x:v>1.36</x:v>
      </x:c>
      <x:c r="L38" s="28" t="str">
        <x:v>Y</x:v>
      </x:c>
      <x:c r="M38" s="33" t="str">
        <x:f>IF(S38="","pending_1st_review",IF(L38="Y",IF(Z38="","pending_2nd_review",IF(S38=Z38,"reviewed_agree",IF(AB38="","needs_adjudication","adjudicated"))),"reviewed_once"))</x:f>
        <x:v>pending_1st_review</x:v>
      </x:c>
      <x:c r="N38" s="46" t="str"/>
      <x:c r="O38" s="53" t="str"/>
      <x:c r="P38" s="46" t="str"/>
      <x:c r="Q38" s="46" t="str"/>
      <x:c r="R38" s="46" t="str"/>
      <x:c r="S38" s="46" t="str"/>
      <x:c r="T38" s="46" t="str"/>
      <x:c r="U38" s="46" t="str"/>
      <x:c r="V38" s="53" t="str"/>
      <x:c r="W38" s="46" t="str"/>
      <x:c r="X38" s="46" t="str"/>
      <x:c r="Y38" s="46" t="str"/>
      <x:c r="Z38" s="46" t="str"/>
      <x:c r="AA38" s="46" t="str"/>
      <x:c r="AB38" s="46" t="str"/>
      <x:c r="AC38" s="46" t="str">
        <x:v>likely_accessible_candidate</x:v>
      </x:c>
      <x:c r="AD38" s="51" t="n">
        <x:v>0.82</x:v>
      </x:c>
      <x:c r="AE38" s="46" t="str"/>
      <x:c r="AF38" s="53" t="str">
        <x:v>2025-11-18 14:18:05</x:v>
      </x:c>
      <x:c r="AG38" s="28" t="str">
        <x:v>https://map.kakao.com/link/roadview/37.3976543,126.9226820</x:v>
      </x:c>
      <x:c r="AH38" s="28" t="str">
        <x:v>asset_level_inherited_not_endpoint_verified</x:v>
      </x:c>
    </x:row>
    <x:row r="39" ht="22" customHeight="1">
      <x:c r="A39" s="28" t="str">
        <x:v>CW17-A</x:v>
      </x:c>
      <x:c r="B39" s="28" t="str">
        <x:v>CW17</x:v>
      </x:c>
      <x:c r="C39" s="28" t="str">
        <x:v>2024122512</x:v>
      </x:c>
      <x:c r="D39" s="28" t="str">
        <x:v>A</x:v>
      </x:c>
      <x:c r="E39" s="48" t="n">
        <x:v>37.39667273168306</x:v>
      </x:c>
      <x:c r="F39" s="48" t="n">
        <x:v>126.92338647331106</x:v>
      </x:c>
      <x:c r="G39" s="28" t="str">
        <x:v>unknown</x:v>
      </x:c>
      <x:c r="H39" s="28" t="str"/>
      <x:c r="I39" s="28" t="str"/>
      <x:c r="J39" s="28" t="str">
        <x:v>provisional_high</x:v>
      </x:c>
      <x:c r="K39" s="30" t="n">
        <x:v>0.19</x:v>
      </x:c>
      <x:c r="L39" s="28" t="str">
        <x:v>N</x:v>
      </x:c>
      <x:c r="M39" s="33" t="str">
        <x:f>IF(S39="","pending_1st_review",IF(L39="Y",IF(Z39="","pending_2nd_review",IF(S39=Z39,"reviewed_agree",IF(AB39="","needs_adjudication","adjudicated"))),"reviewed_once"))</x:f>
        <x:v>pending_1st_review</x:v>
      </x:c>
      <x:c r="N39" s="46" t="str"/>
      <x:c r="O39" s="53" t="str"/>
      <x:c r="P39" s="46" t="str"/>
      <x:c r="Q39" s="46" t="str"/>
      <x:c r="R39" s="46" t="str"/>
      <x:c r="S39" s="46" t="str"/>
      <x:c r="T39" s="46" t="str"/>
      <x:c r="U39" s="46" t="str"/>
      <x:c r="V39" s="53" t="str"/>
      <x:c r="W39" s="46" t="str"/>
      <x:c r="X39" s="46" t="str"/>
      <x:c r="Y39" s="46" t="str"/>
      <x:c r="Z39" s="46" t="str"/>
      <x:c r="AA39" s="46" t="str"/>
      <x:c r="AB39" s="46" t="str"/>
      <x:c r="AC39" s="46" t="str">
        <x:v>occlusion_review_needed</x:v>
      </x:c>
      <x:c r="AD39" s="51" t="n">
        <x:v>0.52</x:v>
      </x:c>
      <x:c r="AE39" s="46" t="str"/>
      <x:c r="AF39" s="53" t="str">
        <x:v>2025-11-18 15:24:23</x:v>
      </x:c>
      <x:c r="AG39" s="28" t="str">
        <x:v>https://map.kakao.com/link/roadview/37.3966727,126.9233865</x:v>
      </x:c>
      <x:c r="AH39" s="28" t="str">
        <x:v>asset_level_inherited_not_endpoint_verified</x:v>
      </x:c>
    </x:row>
    <x:row r="40" ht="22" customHeight="1">
      <x:c r="A40" s="28" t="str">
        <x:v>CW17-B</x:v>
      </x:c>
      <x:c r="B40" s="28" t="str">
        <x:v>CW17</x:v>
      </x:c>
      <x:c r="C40" s="28" t="str">
        <x:v>2024122512</x:v>
      </x:c>
      <x:c r="D40" s="28" t="str">
        <x:v>B</x:v>
      </x:c>
      <x:c r="E40" s="48" t="n">
        <x:v>37.396727708316945</x:v>
      </x:c>
      <x:c r="F40" s="48" t="n">
        <x:v>126.92333932668895</x:v>
      </x:c>
      <x:c r="G40" s="28" t="str">
        <x:v>unknown</x:v>
      </x:c>
      <x:c r="H40" s="28" t="str"/>
      <x:c r="I40" s="28" t="str"/>
      <x:c r="J40" s="28" t="str">
        <x:v>provisional_high</x:v>
      </x:c>
      <x:c r="K40" s="30" t="n">
        <x:v>0.19</x:v>
      </x:c>
      <x:c r="L40" s="28" t="str">
        <x:v>N</x:v>
      </x:c>
      <x:c r="M40" s="33" t="str">
        <x:f>IF(S40="","pending_1st_review",IF(L40="Y",IF(Z40="","pending_2nd_review",IF(S40=Z40,"reviewed_agree",IF(AB40="","needs_adjudication","adjudicated"))),"reviewed_once"))</x:f>
        <x:v>pending_1st_review</x:v>
      </x:c>
      <x:c r="N40" s="46" t="str"/>
      <x:c r="O40" s="53" t="str"/>
      <x:c r="P40" s="46" t="str"/>
      <x:c r="Q40" s="46" t="str"/>
      <x:c r="R40" s="46" t="str"/>
      <x:c r="S40" s="46" t="str"/>
      <x:c r="T40" s="46" t="str"/>
      <x:c r="U40" s="46" t="str"/>
      <x:c r="V40" s="53" t="str"/>
      <x:c r="W40" s="46" t="str"/>
      <x:c r="X40" s="46" t="str"/>
      <x:c r="Y40" s="46" t="str"/>
      <x:c r="Z40" s="46" t="str"/>
      <x:c r="AA40" s="46" t="str"/>
      <x:c r="AB40" s="46" t="str"/>
      <x:c r="AC40" s="46" t="str">
        <x:v>visibility_review_needed</x:v>
      </x:c>
      <x:c r="AD40" s="51" t="n">
        <x:v>0.52</x:v>
      </x:c>
      <x:c r="AE40" s="46" t="str"/>
      <x:c r="AF40" s="53" t="str">
        <x:v>2025-11-18 15:24:23</x:v>
      </x:c>
      <x:c r="AG40" s="28" t="str">
        <x:v>https://map.kakao.com/link/roadview/37.3967277,126.9233393</x:v>
      </x:c>
      <x:c r="AH40" s="28" t="str">
        <x:v>asset_level_inherited_not_endpoint_verified</x:v>
      </x:c>
    </x:row>
    <x:row r="41" ht="22" customHeight="1">
      <x:c r="A41" s="28" t="str">
        <x:v>CW18-A</x:v>
      </x:c>
      <x:c r="B41" s="28" t="str">
        <x:v>CW18</x:v>
      </x:c>
      <x:c r="C41" s="28" t="str">
        <x:v>2024122514</x:v>
      </x:c>
      <x:c r="D41" s="28" t="str">
        <x:v>A</x:v>
      </x:c>
      <x:c r="E41" s="48" t="n">
        <x:v>37.39581829178769</x:v>
      </x:c>
      <x:c r="F41" s="48" t="n">
        <x:v>126.9241050997271</x:v>
      </x:c>
      <x:c r="G41" s="28" t="str">
        <x:v>unknown</x:v>
      </x:c>
      <x:c r="H41" s="28" t="str"/>
      <x:c r="I41" s="28" t="str"/>
      <x:c r="J41" s="28" t="str">
        <x:v>provisional_high</x:v>
      </x:c>
      <x:c r="K41" s="30" t="n">
        <x:v>0.86</x:v>
      </x:c>
      <x:c r="L41" s="28" t="str">
        <x:v>Y</x:v>
      </x:c>
      <x:c r="M41" s="33" t="str">
        <x:f>IF(S41="","pending_1st_review",IF(L41="Y",IF(Z41="","pending_2nd_review",IF(S41=Z41,"reviewed_agree",IF(AB41="","needs_adjudication","adjudicated"))),"reviewed_once"))</x:f>
        <x:v>pending_1st_review</x:v>
      </x:c>
      <x:c r="N41" s="46" t="str"/>
      <x:c r="O41" s="53" t="str"/>
      <x:c r="P41" s="46" t="str"/>
      <x:c r="Q41" s="46" t="str"/>
      <x:c r="R41" s="46" t="str"/>
      <x:c r="S41" s="46" t="str"/>
      <x:c r="T41" s="46" t="str"/>
      <x:c r="U41" s="46" t="str"/>
      <x:c r="V41" s="53" t="str"/>
      <x:c r="W41" s="46" t="str"/>
      <x:c r="X41" s="46" t="str"/>
      <x:c r="Y41" s="46" t="str"/>
      <x:c r="Z41" s="46" t="str"/>
      <x:c r="AA41" s="46" t="str"/>
      <x:c r="AB41" s="46" t="str"/>
      <x:c r="AC41" s="46" t="str">
        <x:v>tactile_absent_candidate</x:v>
      </x:c>
      <x:c r="AD41" s="51" t="n">
        <x:v>0.76</x:v>
      </x:c>
      <x:c r="AE41" s="46" t="str"/>
      <x:c r="AF41" s="53" t="str">
        <x:v>2025-12-01 14:08:47</x:v>
      </x:c>
      <x:c r="AG41" s="28" t="str">
        <x:v>https://map.kakao.com/link/roadview/37.3958183,126.9241051</x:v>
      </x:c>
      <x:c r="AH41" s="28" t="str">
        <x:v>asset_level_inherited_not_endpoint_verified</x:v>
      </x:c>
    </x:row>
    <x:row r="42" ht="22" customHeight="1">
      <x:c r="A42" s="28" t="str">
        <x:v>CW18-B</x:v>
      </x:c>
      <x:c r="B42" s="28" t="str">
        <x:v>CW18</x:v>
      </x:c>
      <x:c r="C42" s="28" t="str">
        <x:v>2024122514</x:v>
      </x:c>
      <x:c r="D42" s="28" t="str">
        <x:v>B</x:v>
      </x:c>
      <x:c r="E42" s="48" t="n">
        <x:v>37.39588836821232</x:v>
      </x:c>
      <x:c r="F42" s="48" t="n">
        <x:v>126.92404650027288</x:v>
      </x:c>
      <x:c r="G42" s="28" t="str">
        <x:v>unknown</x:v>
      </x:c>
      <x:c r="H42" s="28" t="str"/>
      <x:c r="I42" s="28" t="str"/>
      <x:c r="J42" s="28" t="str">
        <x:v>provisional_high</x:v>
      </x:c>
      <x:c r="K42" s="30" t="n">
        <x:v>0.86</x:v>
      </x:c>
      <x:c r="L42" s="28" t="str">
        <x:v>Y</x:v>
      </x:c>
      <x:c r="M42" s="33" t="str">
        <x:f>IF(S42="","pending_1st_review",IF(L42="Y",IF(Z42="","pending_2nd_review",IF(S42=Z42,"reviewed_agree",IF(AB42="","needs_adjudication","adjudicated"))),"reviewed_once"))</x:f>
        <x:v>pending_1st_review</x:v>
      </x:c>
      <x:c r="N42" s="46" t="str"/>
      <x:c r="O42" s="53" t="str"/>
      <x:c r="P42" s="46" t="str"/>
      <x:c r="Q42" s="46" t="str"/>
      <x:c r="R42" s="46" t="str"/>
      <x:c r="S42" s="46" t="str"/>
      <x:c r="T42" s="46" t="str"/>
      <x:c r="U42" s="46" t="str"/>
      <x:c r="V42" s="53" t="str"/>
      <x:c r="W42" s="46" t="str"/>
      <x:c r="X42" s="46" t="str"/>
      <x:c r="Y42" s="46" t="str"/>
      <x:c r="Z42" s="46" t="str"/>
      <x:c r="AA42" s="46" t="str"/>
      <x:c r="AB42" s="46" t="str"/>
      <x:c r="AC42" s="46" t="str">
        <x:v>occlusion_review_needed</x:v>
      </x:c>
      <x:c r="AD42" s="51" t="n">
        <x:v>0.52</x:v>
      </x:c>
      <x:c r="AE42" s="46" t="str"/>
      <x:c r="AF42" s="53" t="str">
        <x:v>2025-12-01 14:09:05</x:v>
      </x:c>
      <x:c r="AG42" s="28" t="str">
        <x:v>https://map.kakao.com/link/roadview/37.3958884,126.9240465</x:v>
      </x:c>
      <x:c r="AH42" s="28" t="str">
        <x:v>asset_level_inherited_not_endpoint_verified</x:v>
      </x:c>
    </x:row>
    <x:row r="43" ht="22" customHeight="1">
      <x:c r="A43" s="28" t="str">
        <x:v>CW19-A</x:v>
      </x:c>
      <x:c r="B43" s="28" t="str">
        <x:v>CW19</x:v>
      </x:c>
      <x:c r="C43" s="28" t="str">
        <x:v>2024120083</x:v>
      </x:c>
      <x:c r="D43" s="28" t="str">
        <x:v>A</x:v>
      </x:c>
      <x:c r="E43" s="48" t="n">
        <x:v>37.39561913411808</x:v>
      </x:c>
      <x:c r="F43" s="48" t="n">
        <x:v>126.9239184646548</x:v>
      </x:c>
      <x:c r="G43" s="28" t="str">
        <x:v>unknown</x:v>
      </x:c>
      <x:c r="H43" s="28" t="str"/>
      <x:c r="I43" s="28" t="str"/>
      <x:c r="J43" s="28" t="str">
        <x:v>provisional_high</x:v>
      </x:c>
      <x:c r="K43" s="30" t="n">
        <x:v>0.55</x:v>
      </x:c>
      <x:c r="L43" s="28" t="str">
        <x:v>N</x:v>
      </x:c>
      <x:c r="M43" s="33" t="str">
        <x:f>IF(S43="","pending_1st_review",IF(L43="Y",IF(Z43="","pending_2nd_review",IF(S43=Z43,"reviewed_agree",IF(AB43="","needs_adjudication","adjudicated"))),"reviewed_once"))</x:f>
        <x:v>pending_1st_review</x:v>
      </x:c>
      <x:c r="N43" s="46" t="str"/>
      <x:c r="O43" s="53" t="str"/>
      <x:c r="P43" s="46" t="str"/>
      <x:c r="Q43" s="46" t="str"/>
      <x:c r="R43" s="46" t="str"/>
      <x:c r="S43" s="46" t="str"/>
      <x:c r="T43" s="46" t="str"/>
      <x:c r="U43" s="46" t="str"/>
      <x:c r="V43" s="53" t="str"/>
      <x:c r="W43" s="46" t="str"/>
      <x:c r="X43" s="46" t="str"/>
      <x:c r="Y43" s="46" t="str"/>
      <x:c r="Z43" s="46" t="str"/>
      <x:c r="AA43" s="46" t="str"/>
      <x:c r="AB43" s="46" t="str"/>
      <x:c r="AC43" s="46" t="str">
        <x:v>visibility_review_needed</x:v>
      </x:c>
      <x:c r="AD43" s="51" t="n">
        <x:v>0.52</x:v>
      </x:c>
      <x:c r="AE43" s="46" t="str"/>
      <x:c r="AF43" s="53" t="str">
        <x:v>2025-12-01 13:50:22</x:v>
      </x:c>
      <x:c r="AG43" s="28" t="str">
        <x:v>https://map.kakao.com/link/roadview/37.3956191,126.9239185</x:v>
      </x:c>
      <x:c r="AH43" s="28" t="str">
        <x:v>asset_level_inherited_not_endpoint_verified</x:v>
      </x:c>
    </x:row>
    <x:row r="44" ht="22" customHeight="1">
      <x:c r="A44" s="28" t="str">
        <x:v>CW19-B</x:v>
      </x:c>
      <x:c r="B44" s="28" t="str">
        <x:v>CW19</x:v>
      </x:c>
      <x:c r="C44" s="28" t="str">
        <x:v>2024120083</x:v>
      </x:c>
      <x:c r="D44" s="28" t="str">
        <x:v>B</x:v>
      </x:c>
      <x:c r="E44" s="48" t="n">
        <x:v>37.39573534588192</x:v>
      </x:c>
      <x:c r="F44" s="48" t="n">
        <x:v>126.92413853534521</x:v>
      </x:c>
      <x:c r="G44" s="28" t="str">
        <x:v>unknown</x:v>
      </x:c>
      <x:c r="H44" s="28" t="str"/>
      <x:c r="I44" s="28" t="str"/>
      <x:c r="J44" s="28" t="str">
        <x:v>provisional_high</x:v>
      </x:c>
      <x:c r="K44" s="30" t="n">
        <x:v>0.55</x:v>
      </x:c>
      <x:c r="L44" s="28" t="str">
        <x:v>N</x:v>
      </x:c>
      <x:c r="M44" s="33" t="str">
        <x:f>IF(S44="","pending_1st_review",IF(L44="Y",IF(Z44="","pending_2nd_review",IF(S44=Z44,"reviewed_agree",IF(AB44="","needs_adjudication","adjudicated"))),"reviewed_once"))</x:f>
        <x:v>pending_1st_review</x:v>
      </x:c>
      <x:c r="N44" s="46" t="str"/>
      <x:c r="O44" s="53" t="str"/>
      <x:c r="P44" s="46" t="str"/>
      <x:c r="Q44" s="46" t="str"/>
      <x:c r="R44" s="46" t="str"/>
      <x:c r="S44" s="46" t="str"/>
      <x:c r="T44" s="46" t="str"/>
      <x:c r="U44" s="46" t="str"/>
      <x:c r="V44" s="53" t="str"/>
      <x:c r="W44" s="46" t="str"/>
      <x:c r="X44" s="46" t="str"/>
      <x:c r="Y44" s="46" t="str"/>
      <x:c r="Z44" s="46" t="str"/>
      <x:c r="AA44" s="46" t="str"/>
      <x:c r="AB44" s="46" t="str"/>
      <x:c r="AC44" s="46" t="str">
        <x:v>likely_accessible_candidate</x:v>
      </x:c>
      <x:c r="AD44" s="51" t="n">
        <x:v>0.82</x:v>
      </x:c>
      <x:c r="AE44" s="46" t="str"/>
      <x:c r="AF44" s="53" t="str">
        <x:v>2025-12-01 14:08:44</x:v>
      </x:c>
      <x:c r="AG44" s="28" t="str">
        <x:v>https://map.kakao.com/link/roadview/37.3957353,126.9241385</x:v>
      </x:c>
      <x:c r="AH44" s="28" t="str">
        <x:v>asset_level_inherited_not_endpoint_verified</x:v>
      </x:c>
    </x:row>
    <x:row r="45" ht="22" customHeight="1">
      <x:c r="A45" s="28" t="str">
        <x:v>CW20-A</x:v>
      </x:c>
      <x:c r="B45" s="28" t="str">
        <x:v>CW20</x:v>
      </x:c>
      <x:c r="C45" s="28" t="str">
        <x:v>2024120362</x:v>
      </x:c>
      <x:c r="D45" s="28" t="str">
        <x:v>A</x:v>
      </x:c>
      <x:c r="E45" s="48" t="n">
        <x:v>37.39434797316774</x:v>
      </x:c>
      <x:c r="F45" s="48" t="n">
        <x:v>126.92501464784056</x:v>
      </x:c>
      <x:c r="G45" s="28" t="str">
        <x:v>unknown</x:v>
      </x:c>
      <x:c r="H45" s="28" t="str"/>
      <x:c r="I45" s="28" t="str"/>
      <x:c r="J45" s="28" t="str">
        <x:v>provisional_high</x:v>
      </x:c>
      <x:c r="K45" s="30" t="n">
        <x:v>2.18</x:v>
      </x:c>
      <x:c r="L45" s="28" t="str">
        <x:v>Y</x:v>
      </x:c>
      <x:c r="M45" s="33" t="str">
        <x:f>IF(S45="","pending_1st_review",IF(L45="Y",IF(Z45="","pending_2nd_review",IF(S45=Z45,"reviewed_agree",IF(AB45="","needs_adjudication","adjudicated"))),"reviewed_once"))</x:f>
        <x:v>pending_1st_review</x:v>
      </x:c>
      <x:c r="N45" s="46" t="str"/>
      <x:c r="O45" s="53" t="str"/>
      <x:c r="P45" s="46" t="str"/>
      <x:c r="Q45" s="46" t="str"/>
      <x:c r="R45" s="46" t="str"/>
      <x:c r="S45" s="46" t="str"/>
      <x:c r="T45" s="46" t="str"/>
      <x:c r="U45" s="46" t="str"/>
      <x:c r="V45" s="53" t="str"/>
      <x:c r="W45" s="46" t="str"/>
      <x:c r="X45" s="46" t="str"/>
      <x:c r="Y45" s="46" t="str"/>
      <x:c r="Z45" s="46" t="str"/>
      <x:c r="AA45" s="46" t="str"/>
      <x:c r="AB45" s="46" t="str"/>
      <x:c r="AC45" s="46" t="str">
        <x:v>geometry_mismatch_candidate</x:v>
      </x:c>
      <x:c r="AD45" s="51" t="n">
        <x:v>0.58</x:v>
      </x:c>
      <x:c r="AE45" s="46" t="str"/>
      <x:c r="AF45" s="53" t="str">
        <x:v>2025-12-01 13:50:35</x:v>
      </x:c>
      <x:c r="AG45" s="28" t="str">
        <x:v>https://map.kakao.com/link/roadview/37.3943480,126.9250146</x:v>
      </x:c>
      <x:c r="AH45" s="28" t="str">
        <x:v>asset_level_inherited_not_endpoint_verified</x:v>
      </x:c>
    </x:row>
    <x:row r="46" ht="22" customHeight="1">
      <x:c r="A46" s="28" t="str">
        <x:v>CW20-B</x:v>
      </x:c>
      <x:c r="B46" s="28" t="str">
        <x:v>CW20</x:v>
      </x:c>
      <x:c r="C46" s="28" t="str">
        <x:v>2024120362</x:v>
      </x:c>
      <x:c r="D46" s="28" t="str">
        <x:v>B</x:v>
      </x:c>
      <x:c r="E46" s="48" t="n">
        <x:v>37.39446220683226</x:v>
      </x:c>
      <x:c r="F46" s="48" t="n">
        <x:v>126.92522835215944</x:v>
      </x:c>
      <x:c r="G46" s="28" t="str">
        <x:v>unknown</x:v>
      </x:c>
      <x:c r="H46" s="28" t="str"/>
      <x:c r="I46" s="28" t="str"/>
      <x:c r="J46" s="28" t="str">
        <x:v>provisional_high</x:v>
      </x:c>
      <x:c r="K46" s="30" t="n">
        <x:v>2.18</x:v>
      </x:c>
      <x:c r="L46" s="28" t="str">
        <x:v>Y</x:v>
      </x:c>
      <x:c r="M46" s="33" t="str">
        <x:f>IF(S46="","pending_1st_review",IF(L46="Y",IF(Z46="","pending_2nd_review",IF(S46=Z46,"reviewed_agree",IF(AB46="","needs_adjudication","adjudicated"))),"reviewed_once"))</x:f>
        <x:v>pending_1st_review</x:v>
      </x:c>
      <x:c r="N46" s="46" t="str"/>
      <x:c r="O46" s="53" t="str"/>
      <x:c r="P46" s="46" t="str"/>
      <x:c r="Q46" s="46" t="str"/>
      <x:c r="R46" s="46" t="str"/>
      <x:c r="S46" s="46" t="str"/>
      <x:c r="T46" s="46" t="str"/>
      <x:c r="U46" s="46" t="str"/>
      <x:c r="V46" s="53" t="str"/>
      <x:c r="W46" s="46" t="str"/>
      <x:c r="X46" s="46" t="str"/>
      <x:c r="Y46" s="46" t="str"/>
      <x:c r="Z46" s="46" t="str"/>
      <x:c r="AA46" s="46" t="str"/>
      <x:c r="AB46" s="46" t="str"/>
      <x:c r="AC46" s="46" t="str">
        <x:v>geometry_mismatch_candidate</x:v>
      </x:c>
      <x:c r="AD46" s="51" t="n">
        <x:v>0.58</x:v>
      </x:c>
      <x:c r="AE46" s="46" t="str"/>
      <x:c r="AF46" s="53" t="str">
        <x:v>2025-12-01 14:08:27</x:v>
      </x:c>
      <x:c r="AG46" s="28" t="str">
        <x:v>https://map.kakao.com/link/roadview/37.3944622,126.9252284</x:v>
      </x:c>
      <x:c r="AH46" s="28" t="str">
        <x:v>asset_level_inherited_not_endpoint_verified</x:v>
      </x:c>
    </x:row>
    <x:row r="47" ht="22" customHeight="1">
      <x:c r="A47" s="28" t="str">
        <x:v>CW21-A</x:v>
      </x:c>
      <x:c r="B47" s="28" t="str">
        <x:v>CW21</x:v>
      </x:c>
      <x:c r="C47" s="28" t="str">
        <x:v>2025085034</x:v>
      </x:c>
      <x:c r="D47" s="28" t="str">
        <x:v>A</x:v>
      </x:c>
      <x:c r="E47" s="48" t="n">
        <x:v>37.39303756607922</x:v>
      </x:c>
      <x:c r="F47" s="48" t="n">
        <x:v>126.92322375721096</x:v>
      </x:c>
      <x:c r="G47" s="28" t="str">
        <x:v>public_explicit_present</x:v>
      </x:c>
      <x:c r="H47" s="28" t="str">
        <x:v>있음</x:v>
      </x:c>
      <x:c r="I47" s="28" t="str">
        <x:v>있음</x:v>
      </x:c>
      <x:c r="J47" s="28" t="str">
        <x:v>provisional_high</x:v>
      </x:c>
      <x:c r="K47" s="30" t="n">
        <x:v>0.34</x:v>
      </x:c>
      <x:c r="L47" s="28" t="str">
        <x:v>Y</x:v>
      </x:c>
      <x:c r="M47" s="33" t="str">
        <x:f>IF(S47="","pending_1st_review",IF(L47="Y",IF(Z47="","pending_2nd_review",IF(S47=Z47,"reviewed_agree",IF(AB47="","needs_adjudication","adjudicated"))),"reviewed_once"))</x:f>
        <x:v>pending_1st_review</x:v>
      </x:c>
      <x:c r="N47" s="46" t="str"/>
      <x:c r="O47" s="53" t="str"/>
      <x:c r="P47" s="46" t="str"/>
      <x:c r="Q47" s="46" t="str"/>
      <x:c r="R47" s="46" t="str"/>
      <x:c r="S47" s="46" t="str"/>
      <x:c r="T47" s="46" t="str"/>
      <x:c r="U47" s="46" t="str"/>
      <x:c r="V47" s="53" t="str"/>
      <x:c r="W47" s="46" t="str"/>
      <x:c r="X47" s="46" t="str"/>
      <x:c r="Y47" s="46" t="str"/>
      <x:c r="Z47" s="46" t="str"/>
      <x:c r="AA47" s="46" t="str"/>
      <x:c r="AB47" s="46" t="str"/>
      <x:c r="AC47" s="46" t="str">
        <x:v>likely_accessible_candidate</x:v>
      </x:c>
      <x:c r="AD47" s="51" t="n">
        <x:v>0.82</x:v>
      </x:c>
      <x:c r="AE47" s="46" t="str"/>
      <x:c r="AF47" s="53" t="str">
        <x:v>2025-11-18 11:18:33</x:v>
      </x:c>
      <x:c r="AG47" s="28" t="str">
        <x:v>https://map.kakao.com/link/roadview/37.3930376,126.9232238</x:v>
      </x:c>
      <x:c r="AH47" s="28" t="str">
        <x:v>asset_level_inherited_not_endpoint_verified</x:v>
      </x:c>
    </x:row>
    <x:row r="48" ht="22" customHeight="1">
      <x:c r="A48" s="28" t="str">
        <x:v>CW21-B</x:v>
      </x:c>
      <x:c r="B48" s="28" t="str">
        <x:v>CW21</x:v>
      </x:c>
      <x:c r="C48" s="28" t="str">
        <x:v>2025085034</x:v>
      </x:c>
      <x:c r="D48" s="28" t="str">
        <x:v>B</x:v>
      </x:c>
      <x:c r="E48" s="48" t="n">
        <x:v>37.39310371392077</x:v>
      </x:c>
      <x:c r="F48" s="48" t="n">
        <x:v>126.92317024278903</x:v>
      </x:c>
      <x:c r="G48" s="28" t="str">
        <x:v>public_explicit_present</x:v>
      </x:c>
      <x:c r="H48" s="28" t="str">
        <x:v>있음</x:v>
      </x:c>
      <x:c r="I48" s="28" t="str">
        <x:v>있음</x:v>
      </x:c>
      <x:c r="J48" s="28" t="str">
        <x:v>provisional_high</x:v>
      </x:c>
      <x:c r="K48" s="30" t="n">
        <x:v>0.34</x:v>
      </x:c>
      <x:c r="L48" s="28" t="str">
        <x:v>Y</x:v>
      </x:c>
      <x:c r="M48" s="33" t="str">
        <x:f>IF(S48="","pending_1st_review",IF(L48="Y",IF(Z48="","pending_2nd_review",IF(S48=Z48,"reviewed_agree",IF(AB48="","needs_adjudication","adjudicated"))),"reviewed_once"))</x:f>
        <x:v>pending_1st_review</x:v>
      </x:c>
      <x:c r="N48" s="46" t="str"/>
      <x:c r="O48" s="53" t="str"/>
      <x:c r="P48" s="46" t="str"/>
      <x:c r="Q48" s="46" t="str"/>
      <x:c r="R48" s="46" t="str"/>
      <x:c r="S48" s="46" t="str"/>
      <x:c r="T48" s="46" t="str"/>
      <x:c r="U48" s="46" t="str"/>
      <x:c r="V48" s="53" t="str"/>
      <x:c r="W48" s="46" t="str"/>
      <x:c r="X48" s="46" t="str"/>
      <x:c r="Y48" s="46" t="str"/>
      <x:c r="Z48" s="46" t="str"/>
      <x:c r="AA48" s="46" t="str"/>
      <x:c r="AB48" s="46" t="str"/>
      <x:c r="AC48" s="46" t="str">
        <x:v>visibility_review_needed</x:v>
      </x:c>
      <x:c r="AD48" s="51" t="n">
        <x:v>0.52</x:v>
      </x:c>
      <x:c r="AE48" s="46" t="str"/>
      <x:c r="AF48" s="53" t="str">
        <x:v>2025-11-18 11:18:33</x:v>
      </x:c>
      <x:c r="AG48" s="28" t="str">
        <x:v>https://map.kakao.com/link/roadview/37.3931037,126.9231702</x:v>
      </x:c>
      <x:c r="AH48" s="28" t="str">
        <x:v>asset_level_inherited_not_endpoint_verified</x:v>
      </x:c>
    </x:row>
    <x:row r="49" ht="22" customHeight="1">
      <x:c r="A49" s="28" t="str">
        <x:v>CW22-A</x:v>
      </x:c>
      <x:c r="B49" s="28" t="str">
        <x:v>CW22</x:v>
      </x:c>
      <x:c r="C49" s="28" t="str">
        <x:v>2025085029</x:v>
      </x:c>
      <x:c r="D49" s="28" t="str">
        <x:v>A</x:v>
      </x:c>
      <x:c r="E49" s="48" t="n">
        <x:v>37.39214078880838</x:v>
      </x:c>
      <x:c r="F49" s="48" t="n">
        <x:v>126.92361853491747</x:v>
      </x:c>
      <x:c r="G49" s="28" t="str">
        <x:v>public_explicit_present</x:v>
      </x:c>
      <x:c r="H49" s="28" t="str">
        <x:v>있음</x:v>
      </x:c>
      <x:c r="I49" s="28" t="str">
        <x:v>있음</x:v>
      </x:c>
      <x:c r="J49" s="28" t="str">
        <x:v>provisional_high</x:v>
      </x:c>
      <x:c r="K49" s="30" t="n">
        <x:v>4.12</x:v>
      </x:c>
      <x:c r="L49" s="28" t="str">
        <x:v>N</x:v>
      </x:c>
      <x:c r="M49" s="33" t="str">
        <x:f>IF(S49="","pending_1st_review",IF(L49="Y",IF(Z49="","pending_2nd_review",IF(S49=Z49,"reviewed_agree",IF(AB49="","needs_adjudication","adjudicated"))),"reviewed_once"))</x:f>
        <x:v>pending_1st_review</x:v>
      </x:c>
      <x:c r="N49" s="46" t="str"/>
      <x:c r="O49" s="53" t="str"/>
      <x:c r="P49" s="46" t="str"/>
      <x:c r="Q49" s="46" t="str"/>
      <x:c r="R49" s="46" t="str"/>
      <x:c r="S49" s="46" t="str"/>
      <x:c r="T49" s="46" t="str"/>
      <x:c r="U49" s="46" t="str"/>
      <x:c r="V49" s="53" t="str"/>
      <x:c r="W49" s="46" t="str"/>
      <x:c r="X49" s="46" t="str"/>
      <x:c r="Y49" s="46" t="str"/>
      <x:c r="Z49" s="46" t="str"/>
      <x:c r="AA49" s="46" t="str"/>
      <x:c r="AB49" s="46" t="str"/>
      <x:c r="AC49" s="46" t="str">
        <x:v>likely_accessible_candidate</x:v>
      </x:c>
      <x:c r="AD49" s="51" t="n">
        <x:v>0.82</x:v>
      </x:c>
      <x:c r="AE49" s="46" t="str"/>
      <x:c r="AF49" s="53" t="str">
        <x:v>2025-11-17 11:58:28</x:v>
      </x:c>
      <x:c r="AG49" s="28" t="str">
        <x:v>https://map.kakao.com/link/roadview/37.3921408,126.9236185</x:v>
      </x:c>
      <x:c r="AH49" s="28" t="str">
        <x:v>asset_level_inherited_not_endpoint_verified</x:v>
      </x:c>
    </x:row>
    <x:row r="50" ht="22" customHeight="1">
      <x:c r="A50" s="28" t="str">
        <x:v>CW22-B</x:v>
      </x:c>
      <x:c r="B50" s="28" t="str">
        <x:v>CW22</x:v>
      </x:c>
      <x:c r="C50" s="28" t="str">
        <x:v>2025085029</x:v>
      </x:c>
      <x:c r="D50" s="28" t="str">
        <x:v>B</x:v>
      </x:c>
      <x:c r="E50" s="48" t="n">
        <x:v>37.39221919119162</x:v>
      </x:c>
      <x:c r="F50" s="48" t="n">
        <x:v>126.92376926508251</x:v>
      </x:c>
      <x:c r="G50" s="28" t="str">
        <x:v>public_explicit_present</x:v>
      </x:c>
      <x:c r="H50" s="28" t="str">
        <x:v>있음</x:v>
      </x:c>
      <x:c r="I50" s="28" t="str">
        <x:v>있음</x:v>
      </x:c>
      <x:c r="J50" s="28" t="str">
        <x:v>provisional_high</x:v>
      </x:c>
      <x:c r="K50" s="30" t="n">
        <x:v>4.12</x:v>
      </x:c>
      <x:c r="L50" s="28" t="str">
        <x:v>N</x:v>
      </x:c>
      <x:c r="M50" s="33" t="str">
        <x:f>IF(S50="","pending_1st_review",IF(L50="Y",IF(Z50="","pending_2nd_review",IF(S50=Z50,"reviewed_agree",IF(AB50="","needs_adjudication","adjudicated"))),"reviewed_once"))</x:f>
        <x:v>pending_1st_review</x:v>
      </x:c>
      <x:c r="N50" s="46" t="str"/>
      <x:c r="O50" s="53" t="str"/>
      <x:c r="P50" s="46" t="str"/>
      <x:c r="Q50" s="46" t="str"/>
      <x:c r="R50" s="46" t="str"/>
      <x:c r="S50" s="46" t="str"/>
      <x:c r="T50" s="46" t="str"/>
      <x:c r="U50" s="46" t="str"/>
      <x:c r="V50" s="53" t="str"/>
      <x:c r="W50" s="46" t="str"/>
      <x:c r="X50" s="46" t="str"/>
      <x:c r="Y50" s="46" t="str"/>
      <x:c r="Z50" s="46" t="str"/>
      <x:c r="AA50" s="46" t="str"/>
      <x:c r="AB50" s="46" t="str"/>
      <x:c r="AC50" s="46" t="str">
        <x:v>visibility_review_needed</x:v>
      </x:c>
      <x:c r="AD50" s="51" t="n">
        <x:v>0.52</x:v>
      </x:c>
      <x:c r="AE50" s="46" t="str"/>
      <x:c r="AF50" s="53" t="str">
        <x:v>2025-11-17 11:58:28</x:v>
      </x:c>
      <x:c r="AG50" s="28" t="str">
        <x:v>https://map.kakao.com/link/roadview/37.3922192,126.9237693</x:v>
      </x:c>
      <x:c r="AH50" s="28" t="str">
        <x:v>asset_level_inherited_not_endpoint_verified</x:v>
      </x:c>
    </x:row>
    <x:row r="51" ht="22" customHeight="1">
      <x:c r="A51" s="28" t="str">
        <x:v>CW23-A</x:v>
      </x:c>
      <x:c r="B51" s="28" t="str">
        <x:v>CW23</x:v>
      </x:c>
      <x:c r="C51" s="28" t="str">
        <x:v>2025085023</x:v>
      </x:c>
      <x:c r="D51" s="28" t="str">
        <x:v>A</x:v>
      </x:c>
      <x:c r="E51" s="48" t="n">
        <x:v>37.39211628056607</x:v>
      </x:c>
      <x:c r="F51" s="48" t="n">
        <x:v>126.92388323781566</x:v>
      </x:c>
      <x:c r="G51" s="28" t="str">
        <x:v>public_explicit_present</x:v>
      </x:c>
      <x:c r="H51" s="28" t="str">
        <x:v>있음</x:v>
      </x:c>
      <x:c r="I51" s="28" t="str">
        <x:v>있음</x:v>
      </x:c>
      <x:c r="J51" s="28" t="str">
        <x:v>provisional_high</x:v>
      </x:c>
      <x:c r="K51" s="30" t="n">
        <x:v>0.55</x:v>
      </x:c>
      <x:c r="L51" s="28" t="str">
        <x:v>Y</x:v>
      </x:c>
      <x:c r="M51" s="33" t="str">
        <x:f>IF(S51="","pending_1st_review",IF(L51="Y",IF(Z51="","pending_2nd_review",IF(S51=Z51,"reviewed_agree",IF(AB51="","needs_adjudication","adjudicated"))),"reviewed_once"))</x:f>
        <x:v>pending_1st_review</x:v>
      </x:c>
      <x:c r="N51" s="46" t="str"/>
      <x:c r="O51" s="53" t="str"/>
      <x:c r="P51" s="46" t="str"/>
      <x:c r="Q51" s="46" t="str"/>
      <x:c r="R51" s="46" t="str"/>
      <x:c r="S51" s="46" t="str"/>
      <x:c r="T51" s="46" t="str"/>
      <x:c r="U51" s="46" t="str"/>
      <x:c r="V51" s="53" t="str"/>
      <x:c r="W51" s="46" t="str"/>
      <x:c r="X51" s="46" t="str"/>
      <x:c r="Y51" s="46" t="str"/>
      <x:c r="Z51" s="46" t="str"/>
      <x:c r="AA51" s="46" t="str"/>
      <x:c r="AB51" s="46" t="str"/>
      <x:c r="AC51" s="46" t="str">
        <x:v>geometry_mismatch_candidate</x:v>
      </x:c>
      <x:c r="AD51" s="51" t="n">
        <x:v>0.58</x:v>
      </x:c>
      <x:c r="AE51" s="46" t="str"/>
      <x:c r="AF51" s="53" t="str">
        <x:v>2025-11-18 10:22:37</x:v>
      </x:c>
      <x:c r="AG51" s="28" t="str">
        <x:v>https://map.kakao.com/link/roadview/37.3921163,126.9238832</x:v>
      </x:c>
      <x:c r="AH51" s="28" t="str">
        <x:v>asset_level_inherited_not_endpoint_verified</x:v>
      </x:c>
    </x:row>
    <x:row r="52" ht="22" customHeight="1">
      <x:c r="A52" s="28" t="str">
        <x:v>CW23-B</x:v>
      </x:c>
      <x:c r="B52" s="28" t="str">
        <x:v>CW23</x:v>
      </x:c>
      <x:c r="C52" s="28" t="str">
        <x:v>2025085023</x:v>
      </x:c>
      <x:c r="D52" s="28" t="str">
        <x:v>B</x:v>
      </x:c>
      <x:c r="E52" s="48" t="n">
        <x:v>37.39216041943393</x:v>
      </x:c>
      <x:c r="F52" s="48" t="n">
        <x:v>126.92384736218435</x:v>
      </x:c>
      <x:c r="G52" s="28" t="str">
        <x:v>public_explicit_present</x:v>
      </x:c>
      <x:c r="H52" s="28" t="str">
        <x:v>있음</x:v>
      </x:c>
      <x:c r="I52" s="28" t="str">
        <x:v>있음</x:v>
      </x:c>
      <x:c r="J52" s="28" t="str">
        <x:v>provisional_high</x:v>
      </x:c>
      <x:c r="K52" s="30" t="n">
        <x:v>0.55</x:v>
      </x:c>
      <x:c r="L52" s="28" t="str">
        <x:v>Y</x:v>
      </x:c>
      <x:c r="M52" s="33" t="str">
        <x:f>IF(S52="","pending_1st_review",IF(L52="Y",IF(Z52="","pending_2nd_review",IF(S52=Z52,"reviewed_agree",IF(AB52="","needs_adjudication","adjudicated"))),"reviewed_once"))</x:f>
        <x:v>pending_1st_review</x:v>
      </x:c>
      <x:c r="N52" s="46" t="str"/>
      <x:c r="O52" s="53" t="str"/>
      <x:c r="P52" s="46" t="str"/>
      <x:c r="Q52" s="46" t="str"/>
      <x:c r="R52" s="46" t="str"/>
      <x:c r="S52" s="46" t="str"/>
      <x:c r="T52" s="46" t="str"/>
      <x:c r="U52" s="46" t="str"/>
      <x:c r="V52" s="53" t="str"/>
      <x:c r="W52" s="46" t="str"/>
      <x:c r="X52" s="46" t="str"/>
      <x:c r="Y52" s="46" t="str"/>
      <x:c r="Z52" s="46" t="str"/>
      <x:c r="AA52" s="46" t="str"/>
      <x:c r="AB52" s="46" t="str"/>
      <x:c r="AC52" s="46" t="str">
        <x:v>geometry_mismatch_candidate</x:v>
      </x:c>
      <x:c r="AD52" s="51" t="n">
        <x:v>0.58</x:v>
      </x:c>
      <x:c r="AE52" s="46" t="str"/>
      <x:c r="AF52" s="53" t="str">
        <x:v>2025-11-18 10:22:37</x:v>
      </x:c>
      <x:c r="AG52" s="28" t="str">
        <x:v>https://map.kakao.com/link/roadview/37.3921604,126.9238474</x:v>
      </x:c>
      <x:c r="AH52" s="28" t="str">
        <x:v>asset_level_inherited_not_endpoint_verified</x:v>
      </x:c>
    </x:row>
    <x:row r="53" ht="22" customHeight="1">
      <x:c r="A53" s="28" t="str">
        <x:v>CW24-A</x:v>
      </x:c>
      <x:c r="B53" s="28" t="str">
        <x:v>CW24</x:v>
      </x:c>
      <x:c r="C53" s="28" t="str">
        <x:v>2025085028</x:v>
      </x:c>
      <x:c r="D53" s="28" t="str">
        <x:v>A</x:v>
      </x:c>
      <x:c r="E53" s="48" t="n">
        <x:v>37.3920183365017</x:v>
      </x:c>
      <x:c r="F53" s="48" t="n">
        <x:v>126.92359267780495</x:v>
      </x:c>
      <x:c r="G53" s="28" t="str">
        <x:v>public_explicit_present</x:v>
      </x:c>
      <x:c r="H53" s="28" t="str">
        <x:v>있음</x:v>
      </x:c>
      <x:c r="I53" s="28" t="str">
        <x:v>있음</x:v>
      </x:c>
      <x:c r="J53" s="28" t="str">
        <x:v>provisional_high</x:v>
      </x:c>
      <x:c r="K53" s="30" t="n">
        <x:v>14.39</x:v>
      </x:c>
      <x:c r="L53" s="28" t="str">
        <x:v>N</x:v>
      </x:c>
      <x:c r="M53" s="33" t="str">
        <x:f>IF(S53="","pending_1st_review",IF(L53="Y",IF(Z53="","pending_2nd_review",IF(S53=Z53,"reviewed_agree",IF(AB53="","needs_adjudication","adjudicated"))),"reviewed_once"))</x:f>
        <x:v>pending_1st_review</x:v>
      </x:c>
      <x:c r="N53" s="46" t="str"/>
      <x:c r="O53" s="53" t="str"/>
      <x:c r="P53" s="46" t="str"/>
      <x:c r="Q53" s="46" t="str"/>
      <x:c r="R53" s="46" t="str"/>
      <x:c r="S53" s="46" t="str"/>
      <x:c r="T53" s="46" t="str"/>
      <x:c r="U53" s="46" t="str"/>
      <x:c r="V53" s="53" t="str"/>
      <x:c r="W53" s="46" t="str"/>
      <x:c r="X53" s="46" t="str"/>
      <x:c r="Y53" s="46" t="str"/>
      <x:c r="Z53" s="46" t="str"/>
      <x:c r="AA53" s="46" t="str"/>
      <x:c r="AB53" s="46" t="str"/>
      <x:c r="AC53" s="46" t="str">
        <x:v>likely_accessible_candidate</x:v>
      </x:c>
      <x:c r="AD53" s="51" t="n">
        <x:v>0.82</x:v>
      </x:c>
      <x:c r="AE53" s="46" t="str"/>
      <x:c r="AF53" s="53" t="str">
        <x:v>2025-11-17 11:58:26</x:v>
      </x:c>
      <x:c r="AG53" s="28" t="str">
        <x:v>https://map.kakao.com/link/roadview/37.3920183,126.9235927</x:v>
      </x:c>
      <x:c r="AH53" s="28" t="str">
        <x:v>asset_level_inherited_not_endpoint_verified</x:v>
      </x:c>
    </x:row>
    <x:row r="54" ht="22" customHeight="1">
      <x:c r="A54" s="28" t="str">
        <x:v>CW24-B</x:v>
      </x:c>
      <x:c r="B54" s="28" t="str">
        <x:v>CW24</x:v>
      </x:c>
      <x:c r="C54" s="28" t="str">
        <x:v>2025085028</x:v>
      </x:c>
      <x:c r="D54" s="28" t="str">
        <x:v>B</x:v>
      </x:c>
      <x:c r="E54" s="48" t="n">
        <x:v>37.392087123498314</x:v>
      </x:c>
      <x:c r="F54" s="48" t="n">
        <x:v>126.92372492219503</x:v>
      </x:c>
      <x:c r="G54" s="28" t="str">
        <x:v>public_explicit_present</x:v>
      </x:c>
      <x:c r="H54" s="28" t="str">
        <x:v>있음</x:v>
      </x:c>
      <x:c r="I54" s="28" t="str">
        <x:v>있음</x:v>
      </x:c>
      <x:c r="J54" s="28" t="str">
        <x:v>provisional_high</x:v>
      </x:c>
      <x:c r="K54" s="30" t="n">
        <x:v>14.39</x:v>
      </x:c>
      <x:c r="L54" s="28" t="str">
        <x:v>N</x:v>
      </x:c>
      <x:c r="M54" s="33" t="str">
        <x:f>IF(S54="","pending_1st_review",IF(L54="Y",IF(Z54="","pending_2nd_review",IF(S54=Z54,"reviewed_agree",IF(AB54="","needs_adjudication","adjudicated"))),"reviewed_once"))</x:f>
        <x:v>pending_1st_review</x:v>
      </x:c>
      <x:c r="N54" s="46" t="str"/>
      <x:c r="O54" s="53" t="str"/>
      <x:c r="P54" s="46" t="str"/>
      <x:c r="Q54" s="46" t="str"/>
      <x:c r="R54" s="46" t="str"/>
      <x:c r="S54" s="46" t="str"/>
      <x:c r="T54" s="46" t="str"/>
      <x:c r="U54" s="46" t="str"/>
      <x:c r="V54" s="53" t="str"/>
      <x:c r="W54" s="46" t="str"/>
      <x:c r="X54" s="46" t="str"/>
      <x:c r="Y54" s="46" t="str"/>
      <x:c r="Z54" s="46" t="str"/>
      <x:c r="AA54" s="46" t="str"/>
      <x:c r="AB54" s="46" t="str"/>
      <x:c r="AC54" s="46" t="str">
        <x:v>visibility_review_needed</x:v>
      </x:c>
      <x:c r="AD54" s="51" t="n">
        <x:v>0.52</x:v>
      </x:c>
      <x:c r="AE54" s="46" t="str"/>
      <x:c r="AF54" s="53" t="str">
        <x:v>2025-11-17 11:58:26</x:v>
      </x:c>
      <x:c r="AG54" s="28" t="str">
        <x:v>https://map.kakao.com/link/roadview/37.3920871,126.9237249</x:v>
      </x:c>
      <x:c r="AH54" s="28" t="str">
        <x:v>asset_level_inherited_not_endpoint_verified</x:v>
      </x:c>
    </x:row>
    <x:row r="55" ht="22" customHeight="1">
      <x:c r="A55" s="28" t="str">
        <x:v>CW25-A</x:v>
      </x:c>
      <x:c r="B55" s="28" t="str">
        <x:v>CW25</x:v>
      </x:c>
      <x:c r="C55" s="28" t="str">
        <x:v>2025085030</x:v>
      </x:c>
      <x:c r="D55" s="28" t="str">
        <x:v>A</x:v>
      </x:c>
      <x:c r="E55" s="48" t="n">
        <x:v>37.3919801552276</x:v>
      </x:c>
      <x:c r="F55" s="48" t="n">
        <x:v>126.9237435785561</x:v>
      </x:c>
      <x:c r="G55" s="28" t="str">
        <x:v>public_explicit_present</x:v>
      </x:c>
      <x:c r="H55" s="28" t="str">
        <x:v>있음</x:v>
      </x:c>
      <x:c r="I55" s="28" t="str">
        <x:v>있음</x:v>
      </x:c>
      <x:c r="J55" s="28" t="str">
        <x:v>provisional_high</x:v>
      </x:c>
      <x:c r="K55" s="30" t="n">
        <x:v>4.39</x:v>
      </x:c>
      <x:c r="L55" s="28" t="str">
        <x:v>Y</x:v>
      </x:c>
      <x:c r="M55" s="33" t="str">
        <x:f>IF(S55="","pending_1st_review",IF(L55="Y",IF(Z55="","pending_2nd_review",IF(S55=Z55,"reviewed_agree",IF(AB55="","needs_adjudication","adjudicated"))),"reviewed_once"))</x:f>
        <x:v>pending_1st_review</x:v>
      </x:c>
      <x:c r="N55" s="46" t="str"/>
      <x:c r="O55" s="53" t="str"/>
      <x:c r="P55" s="46" t="str"/>
      <x:c r="Q55" s="46" t="str"/>
      <x:c r="R55" s="46" t="str"/>
      <x:c r="S55" s="46" t="str"/>
      <x:c r="T55" s="46" t="str"/>
      <x:c r="U55" s="46" t="str"/>
      <x:c r="V55" s="53" t="str"/>
      <x:c r="W55" s="46" t="str"/>
      <x:c r="X55" s="46" t="str"/>
      <x:c r="Y55" s="46" t="str"/>
      <x:c r="Z55" s="46" t="str"/>
      <x:c r="AA55" s="46" t="str"/>
      <x:c r="AB55" s="46" t="str"/>
      <x:c r="AC55" s="46" t="str">
        <x:v>likely_accessible_candidate</x:v>
      </x:c>
      <x:c r="AD55" s="51" t="n">
        <x:v>0.82</x:v>
      </x:c>
      <x:c r="AE55" s="46" t="str"/>
      <x:c r="AF55" s="53" t="str">
        <x:v>2025-11-17 11:58:25</x:v>
      </x:c>
      <x:c r="AG55" s="28" t="str">
        <x:v>https://map.kakao.com/link/roadview/37.3919802,126.9237436</x:v>
      </x:c>
      <x:c r="AH55" s="28" t="str">
        <x:v>asset_level_inherited_not_endpoint_verified</x:v>
      </x:c>
    </x:row>
    <x:row r="56" ht="22" customHeight="1">
      <x:c r="A56" s="28" t="str">
        <x:v>CW25-B</x:v>
      </x:c>
      <x:c r="B56" s="28" t="str">
        <x:v>CW25</x:v>
      </x:c>
      <x:c r="C56" s="28" t="str">
        <x:v>2025085030</x:v>
      </x:c>
      <x:c r="D56" s="28" t="str">
        <x:v>B</x:v>
      </x:c>
      <x:c r="E56" s="48" t="n">
        <x:v>37.3920609447724</x:v>
      </x:c>
      <x:c r="F56" s="48" t="n">
        <x:v>126.9238972214439</x:v>
      </x:c>
      <x:c r="G56" s="28" t="str">
        <x:v>public_explicit_present</x:v>
      </x:c>
      <x:c r="H56" s="28" t="str">
        <x:v>있음</x:v>
      </x:c>
      <x:c r="I56" s="28" t="str">
        <x:v>있음</x:v>
      </x:c>
      <x:c r="J56" s="28" t="str">
        <x:v>provisional_high</x:v>
      </x:c>
      <x:c r="K56" s="30" t="n">
        <x:v>4.39</x:v>
      </x:c>
      <x:c r="L56" s="28" t="str">
        <x:v>Y</x:v>
      </x:c>
      <x:c r="M56" s="33" t="str">
        <x:f>IF(S56="","pending_1st_review",IF(L56="Y",IF(Z56="","pending_2nd_review",IF(S56=Z56,"reviewed_agree",IF(AB56="","needs_adjudication","adjudicated"))),"reviewed_once"))</x:f>
        <x:v>pending_1st_review</x:v>
      </x:c>
      <x:c r="N56" s="46" t="str"/>
      <x:c r="O56" s="53" t="str"/>
      <x:c r="P56" s="46" t="str"/>
      <x:c r="Q56" s="46" t="str"/>
      <x:c r="R56" s="46" t="str"/>
      <x:c r="S56" s="46" t="str"/>
      <x:c r="T56" s="46" t="str"/>
      <x:c r="U56" s="46" t="str"/>
      <x:c r="V56" s="53" t="str"/>
      <x:c r="W56" s="46" t="str"/>
      <x:c r="X56" s="46" t="str"/>
      <x:c r="Y56" s="46" t="str"/>
      <x:c r="Z56" s="46" t="str"/>
      <x:c r="AA56" s="46" t="str"/>
      <x:c r="AB56" s="46" t="str"/>
      <x:c r="AC56" s="46" t="str">
        <x:v>likely_accessible_candidate</x:v>
      </x:c>
      <x:c r="AD56" s="51" t="n">
        <x:v>0.82</x:v>
      </x:c>
      <x:c r="AE56" s="46" t="str"/>
      <x:c r="AF56" s="53" t="str">
        <x:v>2025-11-17 11:58:25</x:v>
      </x:c>
      <x:c r="AG56" s="28" t="str">
        <x:v>https://map.kakao.com/link/roadview/37.3920609,126.9238972</x:v>
      </x:c>
      <x:c r="AH56" s="28" t="str">
        <x:v>asset_level_inherited_not_endpoint_verified</x:v>
      </x:c>
    </x:row>
    <x:row r="57" ht="22" customHeight="1">
      <x:c r="A57" s="28" t="str">
        <x:v>CW26-A</x:v>
      </x:c>
      <x:c r="B57" s="28" t="str">
        <x:v>CW26</x:v>
      </x:c>
      <x:c r="C57" s="28" t="str">
        <x:v>2025085031</x:v>
      </x:c>
      <x:c r="D57" s="28" t="str">
        <x:v>A</x:v>
      </x:c>
      <x:c r="E57" s="48" t="n">
        <x:v>37.39130366285457</x:v>
      </x:c>
      <x:c r="F57" s="48" t="n">
        <x:v>126.9243625992532</x:v>
      </x:c>
      <x:c r="G57" s="28" t="str">
        <x:v>public_explicit_present</x:v>
      </x:c>
      <x:c r="H57" s="28" t="str">
        <x:v>있음</x:v>
      </x:c>
      <x:c r="I57" s="28" t="str">
        <x:v>있음</x:v>
      </x:c>
      <x:c r="J57" s="28" t="str">
        <x:v>provisional_high</x:v>
      </x:c>
      <x:c r="K57" s="30" t="n">
        <x:v>3.09</x:v>
      </x:c>
      <x:c r="L57" s="28" t="str">
        <x:v>N</x:v>
      </x:c>
      <x:c r="M57" s="33" t="str">
        <x:f>IF(S57="","pending_1st_review",IF(L57="Y",IF(Z57="","pending_2nd_review",IF(S57=Z57,"reviewed_agree",IF(AB57="","needs_adjudication","adjudicated"))),"reviewed_once"))</x:f>
        <x:v>pending_1st_review</x:v>
      </x:c>
      <x:c r="N57" s="46" t="str"/>
      <x:c r="O57" s="53" t="str"/>
      <x:c r="P57" s="46" t="str"/>
      <x:c r="Q57" s="46" t="str"/>
      <x:c r="R57" s="46" t="str"/>
      <x:c r="S57" s="46" t="str"/>
      <x:c r="T57" s="46" t="str"/>
      <x:c r="U57" s="46" t="str"/>
      <x:c r="V57" s="53" t="str"/>
      <x:c r="W57" s="46" t="str"/>
      <x:c r="X57" s="46" t="str"/>
      <x:c r="Y57" s="46" t="str"/>
      <x:c r="Z57" s="46" t="str"/>
      <x:c r="AA57" s="46" t="str"/>
      <x:c r="AB57" s="46" t="str"/>
      <x:c r="AC57" s="46" t="str">
        <x:v>likely_accessible_candidate</x:v>
      </x:c>
      <x:c r="AD57" s="51" t="n">
        <x:v>0.82</x:v>
      </x:c>
      <x:c r="AE57" s="46" t="str"/>
      <x:c r="AF57" s="53" t="str">
        <x:v>2025-11-17 11:57:37</x:v>
      </x:c>
      <x:c r="AG57" s="28" t="str">
        <x:v>https://map.kakao.com/link/roadview/37.3913037,126.9243626</x:v>
      </x:c>
      <x:c r="AH57" s="28" t="str">
        <x:v>asset_level_inherited_not_endpoint_verified</x:v>
      </x:c>
    </x:row>
    <x:row r="58" ht="22" customHeight="1">
      <x:c r="A58" s="28" t="str">
        <x:v>CW26-B</x:v>
      </x:c>
      <x:c r="B58" s="28" t="str">
        <x:v>CW26</x:v>
      </x:c>
      <x:c r="C58" s="28" t="str">
        <x:v>2025085031</x:v>
      </x:c>
      <x:c r="D58" s="28" t="str">
        <x:v>B</x:v>
      </x:c>
      <x:c r="E58" s="48" t="n">
        <x:v>37.39135683714544</x:v>
      </x:c>
      <x:c r="F58" s="48" t="n">
        <x:v>126.92446840074679</x:v>
      </x:c>
      <x:c r="G58" s="28" t="str">
        <x:v>public_explicit_present</x:v>
      </x:c>
      <x:c r="H58" s="28" t="str">
        <x:v>있음</x:v>
      </x:c>
      <x:c r="I58" s="28" t="str">
        <x:v>있음</x:v>
      </x:c>
      <x:c r="J58" s="28" t="str">
        <x:v>provisional_high</x:v>
      </x:c>
      <x:c r="K58" s="30" t="n">
        <x:v>3.09</x:v>
      </x:c>
      <x:c r="L58" s="28" t="str">
        <x:v>N</x:v>
      </x:c>
      <x:c r="M58" s="33" t="str">
        <x:f>IF(S58="","pending_1st_review",IF(L58="Y",IF(Z58="","pending_2nd_review",IF(S58=Z58,"reviewed_agree",IF(AB58="","needs_adjudication","adjudicated"))),"reviewed_once"))</x:f>
        <x:v>pending_1st_review</x:v>
      </x:c>
      <x:c r="N58" s="46" t="str"/>
      <x:c r="O58" s="53" t="str"/>
      <x:c r="P58" s="46" t="str"/>
      <x:c r="Q58" s="46" t="str"/>
      <x:c r="R58" s="46" t="str"/>
      <x:c r="S58" s="46" t="str"/>
      <x:c r="T58" s="46" t="str"/>
      <x:c r="U58" s="46" t="str"/>
      <x:c r="V58" s="53" t="str"/>
      <x:c r="W58" s="46" t="str"/>
      <x:c r="X58" s="46" t="str"/>
      <x:c r="Y58" s="46" t="str"/>
      <x:c r="Z58" s="46" t="str"/>
      <x:c r="AA58" s="46" t="str"/>
      <x:c r="AB58" s="46" t="str"/>
      <x:c r="AC58" s="46" t="str">
        <x:v>geometry_mismatch_candidate</x:v>
      </x:c>
      <x:c r="AD58" s="51" t="n">
        <x:v>0.58</x:v>
      </x:c>
      <x:c r="AE58" s="46" t="str"/>
      <x:c r="AF58" s="53" t="str">
        <x:v>2025-11-17 11:57:37</x:v>
      </x:c>
      <x:c r="AG58" s="28" t="str">
        <x:v>https://map.kakao.com/link/roadview/37.3913568,126.9244684</x:v>
      </x:c>
      <x:c r="AH58" s="28" t="str">
        <x:v>asset_level_inherited_not_endpoint_verified</x:v>
      </x:c>
    </x:row>
    <x:row r="59" ht="22" customHeight="1">
      <x:c r="A59" s="28" t="str">
        <x:v>CW27-A</x:v>
      </x:c>
      <x:c r="B59" s="28" t="str">
        <x:v>CW27</x:v>
      </x:c>
      <x:c r="C59" s="28" t="str">
        <x:v>2025085009</x:v>
      </x:c>
      <x:c r="D59" s="28" t="str">
        <x:v>A</x:v>
      </x:c>
      <x:c r="E59" s="48" t="n">
        <x:v>37.39045684884471</x:v>
      </x:c>
      <x:c r="F59" s="48" t="n">
        <x:v>126.92505581204853</x:v>
      </x:c>
      <x:c r="G59" s="28" t="str">
        <x:v>public_explicit_present</x:v>
      </x:c>
      <x:c r="H59" s="28" t="str">
        <x:v>있음</x:v>
      </x:c>
      <x:c r="I59" s="28" t="str">
        <x:v>있음</x:v>
      </x:c>
      <x:c r="J59" s="28" t="str">
        <x:v>provisional_high</x:v>
      </x:c>
      <x:c r="K59" s="30" t="n">
        <x:v>2.77</x:v>
      </x:c>
      <x:c r="L59" s="28" t="str">
        <x:v>Y</x:v>
      </x:c>
      <x:c r="M59" s="33" t="str">
        <x:f>IF(S59="","pending_1st_review",IF(L59="Y",IF(Z59="","pending_2nd_review",IF(S59=Z59,"reviewed_agree",IF(AB59="","needs_adjudication","adjudicated"))),"reviewed_once"))</x:f>
        <x:v>pending_1st_review</x:v>
      </x:c>
      <x:c r="N59" s="46" t="str"/>
      <x:c r="O59" s="53" t="str"/>
      <x:c r="P59" s="46" t="str"/>
      <x:c r="Q59" s="46" t="str"/>
      <x:c r="R59" s="46" t="str"/>
      <x:c r="S59" s="46" t="str"/>
      <x:c r="T59" s="46" t="str"/>
      <x:c r="U59" s="46" t="str"/>
      <x:c r="V59" s="53" t="str"/>
      <x:c r="W59" s="46" t="str"/>
      <x:c r="X59" s="46" t="str"/>
      <x:c r="Y59" s="46" t="str"/>
      <x:c r="Z59" s="46" t="str"/>
      <x:c r="AA59" s="46" t="str"/>
      <x:c r="AB59" s="46" t="str"/>
      <x:c r="AC59" s="46" t="str">
        <x:v>likely_accessible_candidate</x:v>
      </x:c>
      <x:c r="AD59" s="51" t="n">
        <x:v>0.82</x:v>
      </x:c>
      <x:c r="AE59" s="46" t="str"/>
      <x:c r="AF59" s="53" t="str">
        <x:v>2025-11-17 11:57:25</x:v>
      </x:c>
      <x:c r="AG59" s="28" t="str">
        <x:v>https://map.kakao.com/link/roadview/37.3904568,126.9250558</x:v>
      </x:c>
      <x:c r="AH59" s="28" t="str">
        <x:v>asset_level_inherited_not_endpoint_verified</x:v>
      </x:c>
    </x:row>
    <x:row r="60" ht="22" customHeight="1">
      <x:c r="A60" s="28" t="str">
        <x:v>CW27-B</x:v>
      </x:c>
      <x:c r="B60" s="28" t="str">
        <x:v>CW27</x:v>
      </x:c>
      <x:c r="C60" s="28" t="str">
        <x:v>2025085009</x:v>
      </x:c>
      <x:c r="D60" s="28" t="str">
        <x:v>B</x:v>
      </x:c>
      <x:c r="E60" s="48" t="n">
        <x:v>37.390526071155286</x:v>
      </x:c>
      <x:c r="F60" s="48" t="n">
        <x:v>126.92518498795148</x:v>
      </x:c>
      <x:c r="G60" s="28" t="str">
        <x:v>public_explicit_present</x:v>
      </x:c>
      <x:c r="H60" s="28" t="str">
        <x:v>있음</x:v>
      </x:c>
      <x:c r="I60" s="28" t="str">
        <x:v>있음</x:v>
      </x:c>
      <x:c r="J60" s="28" t="str">
        <x:v>provisional_high</x:v>
      </x:c>
      <x:c r="K60" s="30" t="n">
        <x:v>2.77</x:v>
      </x:c>
      <x:c r="L60" s="28" t="str">
        <x:v>Y</x:v>
      </x:c>
      <x:c r="M60" s="33" t="str">
        <x:f>IF(S60="","pending_1st_review",IF(L60="Y",IF(Z60="","pending_2nd_review",IF(S60=Z60,"reviewed_agree",IF(AB60="","needs_adjudication","adjudicated"))),"reviewed_once"))</x:f>
        <x:v>pending_1st_review</x:v>
      </x:c>
      <x:c r="N60" s="46" t="str"/>
      <x:c r="O60" s="53" t="str"/>
      <x:c r="P60" s="46" t="str"/>
      <x:c r="Q60" s="46" t="str"/>
      <x:c r="R60" s="46" t="str"/>
      <x:c r="S60" s="46" t="str"/>
      <x:c r="T60" s="46" t="str"/>
      <x:c r="U60" s="46" t="str"/>
      <x:c r="V60" s="53" t="str"/>
      <x:c r="W60" s="46" t="str"/>
      <x:c r="X60" s="46" t="str"/>
      <x:c r="Y60" s="46" t="str"/>
      <x:c r="Z60" s="46" t="str"/>
      <x:c r="AA60" s="46" t="str"/>
      <x:c r="AB60" s="46" t="str"/>
      <x:c r="AC60" s="46" t="str">
        <x:v>occlusion_review_needed</x:v>
      </x:c>
      <x:c r="AD60" s="51" t="n">
        <x:v>0.52</x:v>
      </x:c>
      <x:c r="AE60" s="46" t="str"/>
      <x:c r="AF60" s="53" t="str">
        <x:v>2025-11-17 11:57:25</x:v>
      </x:c>
      <x:c r="AG60" s="28" t="str">
        <x:v>https://map.kakao.com/link/roadview/37.3905261,126.9251850</x:v>
      </x:c>
      <x:c r="AH60" s="28" t="str">
        <x:v>asset_level_inherited_not_endpoint_verified</x:v>
      </x:c>
    </x:row>
    <x:row r="61" ht="22" customHeight="1">
      <x:c r="A61" s="28" t="str">
        <x:v>CW28-A</x:v>
      </x:c>
      <x:c r="B61" s="28" t="str">
        <x:v>CW28</x:v>
      </x:c>
      <x:c r="C61" s="28" t="str">
        <x:v>2025085010</x:v>
      </x:c>
      <x:c r="D61" s="28" t="str">
        <x:v>A</x:v>
      </x:c>
      <x:c r="E61" s="48" t="n">
        <x:v>37.39040313736469</x:v>
      </x:c>
      <x:c r="F61" s="48" t="n">
        <x:v>126.92534644316888</x:v>
      </x:c>
      <x:c r="G61" s="28" t="str">
        <x:v>public_explicit_present</x:v>
      </x:c>
      <x:c r="H61" s="28" t="str">
        <x:v>있음</x:v>
      </x:c>
      <x:c r="I61" s="28" t="str">
        <x:v>있음</x:v>
      </x:c>
      <x:c r="J61" s="28" t="str">
        <x:v>provisional_high</x:v>
      </x:c>
      <x:c r="K61" s="30" t="n">
        <x:v>1.26</x:v>
      </x:c>
      <x:c r="L61" s="28" t="str">
        <x:v>N</x:v>
      </x:c>
      <x:c r="M61" s="33" t="str">
        <x:f>IF(S61="","pending_1st_review",IF(L61="Y",IF(Z61="","pending_2nd_review",IF(S61=Z61,"reviewed_agree",IF(AB61="","needs_adjudication","adjudicated"))),"reviewed_once"))</x:f>
        <x:v>pending_1st_review</x:v>
      </x:c>
      <x:c r="N61" s="46" t="str"/>
      <x:c r="O61" s="53" t="str"/>
      <x:c r="P61" s="46" t="str"/>
      <x:c r="Q61" s="46" t="str"/>
      <x:c r="R61" s="46" t="str"/>
      <x:c r="S61" s="46" t="str"/>
      <x:c r="T61" s="46" t="str"/>
      <x:c r="U61" s="46" t="str"/>
      <x:c r="V61" s="53" t="str"/>
      <x:c r="W61" s="46" t="str"/>
      <x:c r="X61" s="46" t="str"/>
      <x:c r="Y61" s="46" t="str"/>
      <x:c r="Z61" s="46" t="str"/>
      <x:c r="AA61" s="46" t="str"/>
      <x:c r="AB61" s="46" t="str"/>
      <x:c r="AC61" s="46" t="str">
        <x:v>visibility_review_needed</x:v>
      </x:c>
      <x:c r="AD61" s="51" t="n">
        <x:v>0.52</x:v>
      </x:c>
      <x:c r="AE61" s="46" t="str"/>
      <x:c r="AF61" s="53" t="str">
        <x:v>2025-11-17 13:29:46</x:v>
      </x:c>
      <x:c r="AG61" s="28" t="str">
        <x:v>https://map.kakao.com/link/roadview/37.3904031,126.9253464</x:v>
      </x:c>
      <x:c r="AH61" s="28" t="str">
        <x:v>asset_level_inherited_not_endpoint_verified</x:v>
      </x:c>
    </x:row>
    <x:row r="62" ht="22" customHeight="1">
      <x:c r="A62" s="28" t="str">
        <x:v>CW28-B</x:v>
      </x:c>
      <x:c r="B62" s="28" t="str">
        <x:v>CW28</x:v>
      </x:c>
      <x:c r="C62" s="28" t="str">
        <x:v>2025085010</x:v>
      </x:c>
      <x:c r="D62" s="28" t="str">
        <x:v>B</x:v>
      </x:c>
      <x:c r="E62" s="48" t="n">
        <x:v>37.390506262635306</x:v>
      </x:c>
      <x:c r="F62" s="48" t="n">
        <x:v>126.92526195683112</x:v>
      </x:c>
      <x:c r="G62" s="28" t="str">
        <x:v>public_explicit_present</x:v>
      </x:c>
      <x:c r="H62" s="28" t="str">
        <x:v>있음</x:v>
      </x:c>
      <x:c r="I62" s="28" t="str">
        <x:v>있음</x:v>
      </x:c>
      <x:c r="J62" s="28" t="str">
        <x:v>provisional_high</x:v>
      </x:c>
      <x:c r="K62" s="30" t="n">
        <x:v>1.26</x:v>
      </x:c>
      <x:c r="L62" s="28" t="str">
        <x:v>N</x:v>
      </x:c>
      <x:c r="M62" s="33" t="str">
        <x:f>IF(S62="","pending_1st_review",IF(L62="Y",IF(Z62="","pending_2nd_review",IF(S62=Z62,"reviewed_agree",IF(AB62="","needs_adjudication","adjudicated"))),"reviewed_once"))</x:f>
        <x:v>pending_1st_review</x:v>
      </x:c>
      <x:c r="N62" s="46" t="str"/>
      <x:c r="O62" s="53" t="str"/>
      <x:c r="P62" s="46" t="str"/>
      <x:c r="Q62" s="46" t="str"/>
      <x:c r="R62" s="46" t="str"/>
      <x:c r="S62" s="46" t="str"/>
      <x:c r="T62" s="46" t="str"/>
      <x:c r="U62" s="46" t="str"/>
      <x:c r="V62" s="53" t="str"/>
      <x:c r="W62" s="46" t="str"/>
      <x:c r="X62" s="46" t="str"/>
      <x:c r="Y62" s="46" t="str"/>
      <x:c r="Z62" s="46" t="str"/>
      <x:c r="AA62" s="46" t="str"/>
      <x:c r="AB62" s="46" t="str"/>
      <x:c r="AC62" s="46" t="str">
        <x:v>likely_accessible_candidate</x:v>
      </x:c>
      <x:c r="AD62" s="51" t="n">
        <x:v>0.82</x:v>
      </x:c>
      <x:c r="AE62" s="46" t="str"/>
      <x:c r="AF62" s="53" t="str">
        <x:v>2025-11-17 11:57:25</x:v>
      </x:c>
      <x:c r="AG62" s="28" t="str">
        <x:v>https://map.kakao.com/link/roadview/37.3905063,126.9252620</x:v>
      </x:c>
      <x:c r="AH62" s="28" t="str">
        <x:v>asset_level_inherited_not_endpoint_verified</x:v>
      </x:c>
    </x:row>
    <x:row r="63" ht="22" customHeight="1">
      <x:c r="A63" s="28" t="str">
        <x:v>CW29-A</x:v>
      </x:c>
      <x:c r="B63" s="28" t="str">
        <x:v>CW29</x:v>
      </x:c>
      <x:c r="C63" s="28" t="str">
        <x:v>2025085011</x:v>
      </x:c>
      <x:c r="D63" s="28" t="str">
        <x:v>A</x:v>
      </x:c>
      <x:c r="E63" s="48" t="n">
        <x:v>37.39031011408944</x:v>
      </x:c>
      <x:c r="F63" s="48" t="n">
        <x:v>126.92508866166824</x:v>
      </x:c>
      <x:c r="G63" s="28" t="str">
        <x:v>public_explicit_present</x:v>
      </x:c>
      <x:c r="H63" s="28" t="str">
        <x:v>있음</x:v>
      </x:c>
      <x:c r="I63" s="28" t="str">
        <x:v>있음</x:v>
      </x:c>
      <x:c r="J63" s="28" t="str">
        <x:v>provisional_high</x:v>
      </x:c>
      <x:c r="K63" s="30" t="n">
        <x:v>0.67</x:v>
      </x:c>
      <x:c r="L63" s="28" t="str">
        <x:v>Y</x:v>
      </x:c>
      <x:c r="M63" s="33" t="str">
        <x:f>IF(S63="","pending_1st_review",IF(L63="Y",IF(Z63="","pending_2nd_review",IF(S63=Z63,"reviewed_agree",IF(AB63="","needs_adjudication","adjudicated"))),"reviewed_once"))</x:f>
        <x:v>pending_1st_review</x:v>
      </x:c>
      <x:c r="N63" s="46" t="str"/>
      <x:c r="O63" s="53" t="str"/>
      <x:c r="P63" s="46" t="str"/>
      <x:c r="Q63" s="46" t="str"/>
      <x:c r="R63" s="46" t="str"/>
      <x:c r="S63" s="46" t="str"/>
      <x:c r="T63" s="46" t="str"/>
      <x:c r="U63" s="46" t="str"/>
      <x:c r="V63" s="53" t="str"/>
      <x:c r="W63" s="46" t="str"/>
      <x:c r="X63" s="46" t="str"/>
      <x:c r="Y63" s="46" t="str"/>
      <x:c r="Z63" s="46" t="str"/>
      <x:c r="AA63" s="46" t="str"/>
      <x:c r="AB63" s="46" t="str"/>
      <x:c r="AC63" s="46" t="str">
        <x:v>likely_accessible_candidate</x:v>
      </x:c>
      <x:c r="AD63" s="51" t="n">
        <x:v>0.82</x:v>
      </x:c>
      <x:c r="AE63" s="46" t="str"/>
      <x:c r="AF63" s="53" t="str">
        <x:v>2025-11-17 13:29:43</x:v>
      </x:c>
      <x:c r="AG63" s="28" t="str">
        <x:v>https://map.kakao.com/link/roadview/37.3903101,126.9250887</x:v>
      </x:c>
      <x:c r="AH63" s="28" t="str">
        <x:v>asset_level_inherited_not_endpoint_verified</x:v>
      </x:c>
    </x:row>
    <x:row r="64" ht="22" customHeight="1">
      <x:c r="A64" s="28" t="str">
        <x:v>CW29-B</x:v>
      </x:c>
      <x:c r="B64" s="28" t="str">
        <x:v>CW29</x:v>
      </x:c>
      <x:c r="C64" s="28" t="str">
        <x:v>2025085011</x:v>
      </x:c>
      <x:c r="D64" s="28" t="str">
        <x:v>B</x:v>
      </x:c>
      <x:c r="E64" s="48" t="n">
        <x:v>37.390403245910555</x:v>
      </x:c>
      <x:c r="F64" s="48" t="n">
        <x:v>126.92504233833175</x:v>
      </x:c>
      <x:c r="G64" s="28" t="str">
        <x:v>public_explicit_present</x:v>
      </x:c>
      <x:c r="H64" s="28" t="str">
        <x:v>있음</x:v>
      </x:c>
      <x:c r="I64" s="28" t="str">
        <x:v>있음</x:v>
      </x:c>
      <x:c r="J64" s="28" t="str">
        <x:v>provisional_high</x:v>
      </x:c>
      <x:c r="K64" s="30" t="n">
        <x:v>0.67</x:v>
      </x:c>
      <x:c r="L64" s="28" t="str">
        <x:v>Y</x:v>
      </x:c>
      <x:c r="M64" s="33" t="str">
        <x:f>IF(S64="","pending_1st_review",IF(L64="Y",IF(Z64="","pending_2nd_review",IF(S64=Z64,"reviewed_agree",IF(AB64="","needs_adjudication","adjudicated"))),"reviewed_once"))</x:f>
        <x:v>pending_1st_review</x:v>
      </x:c>
      <x:c r="N64" s="46" t="str"/>
      <x:c r="O64" s="53" t="str"/>
      <x:c r="P64" s="46" t="str"/>
      <x:c r="Q64" s="46" t="str"/>
      <x:c r="R64" s="46" t="str"/>
      <x:c r="S64" s="46" t="str"/>
      <x:c r="T64" s="46" t="str"/>
      <x:c r="U64" s="46" t="str"/>
      <x:c r="V64" s="53" t="str"/>
      <x:c r="W64" s="46" t="str"/>
      <x:c r="X64" s="46" t="str"/>
      <x:c r="Y64" s="46" t="str"/>
      <x:c r="Z64" s="46" t="str"/>
      <x:c r="AA64" s="46" t="str"/>
      <x:c r="AB64" s="46" t="str"/>
      <x:c r="AC64" s="46" t="str">
        <x:v>likely_accessible_candidate</x:v>
      </x:c>
      <x:c r="AD64" s="51" t="n">
        <x:v>0.82</x:v>
      </x:c>
      <x:c r="AE64" s="46" t="str"/>
      <x:c r="AF64" s="53" t="str">
        <x:v>2025-11-17 13:29:43</x:v>
      </x:c>
      <x:c r="AG64" s="28" t="str">
        <x:v>https://map.kakao.com/link/roadview/37.3904032,126.9250423</x:v>
      </x:c>
      <x:c r="AH64" s="28" t="str">
        <x:v>asset_level_inherited_not_endpoint_verified</x:v>
      </x:c>
    </x:row>
    <x:row r="65" ht="22" customHeight="1">
      <x:c r="A65" s="28" t="str">
        <x:v>CW30-A</x:v>
      </x:c>
      <x:c r="B65" s="28" t="str">
        <x:v>CW30</x:v>
      </x:c>
      <x:c r="C65" s="28" t="str">
        <x:v>2025085027</x:v>
      </x:c>
      <x:c r="D65" s="28" t="str">
        <x:v>A</x:v>
      </x:c>
      <x:c r="E65" s="48" t="n">
        <x:v>37.39012616733453</x:v>
      </x:c>
      <x:c r="F65" s="48" t="n">
        <x:v>126.92409457142617</x:v>
      </x:c>
      <x:c r="G65" s="28" t="str">
        <x:v>public_explicit_present</x:v>
      </x:c>
      <x:c r="H65" s="28" t="str">
        <x:v>있음</x:v>
      </x:c>
      <x:c r="I65" s="28" t="str">
        <x:v>있음</x:v>
      </x:c>
      <x:c r="J65" s="28" t="str">
        <x:v>provisional_high</x:v>
      </x:c>
      <x:c r="K65" s="30" t="n">
        <x:v>8.75</x:v>
      </x:c>
      <x:c r="L65" s="28" t="str">
        <x:v>N</x:v>
      </x:c>
      <x:c r="M65" s="33" t="str">
        <x:f>IF(S65="","pending_1st_review",IF(L65="Y",IF(Z65="","pending_2nd_review",IF(S65=Z65,"reviewed_agree",IF(AB65="","needs_adjudication","adjudicated"))),"reviewed_once"))</x:f>
        <x:v>pending_1st_review</x:v>
      </x:c>
      <x:c r="N65" s="46" t="str"/>
      <x:c r="O65" s="53" t="str"/>
      <x:c r="P65" s="46" t="str"/>
      <x:c r="Q65" s="46" t="str"/>
      <x:c r="R65" s="46" t="str"/>
      <x:c r="S65" s="46" t="str"/>
      <x:c r="T65" s="46" t="str"/>
      <x:c r="U65" s="46" t="str"/>
      <x:c r="V65" s="53" t="str"/>
      <x:c r="W65" s="46" t="str"/>
      <x:c r="X65" s="46" t="str"/>
      <x:c r="Y65" s="46" t="str"/>
      <x:c r="Z65" s="46" t="str"/>
      <x:c r="AA65" s="46" t="str"/>
      <x:c r="AB65" s="46" t="str"/>
      <x:c r="AC65" s="46" t="str">
        <x:v>visibility_review_needed</x:v>
      </x:c>
      <x:c r="AD65" s="51" t="n">
        <x:v>0.52</x:v>
      </x:c>
      <x:c r="AE65" s="46" t="str"/>
      <x:c r="AF65" s="53" t="str">
        <x:v>2025-11-17 13:29:32</x:v>
      </x:c>
      <x:c r="AG65" s="28" t="str">
        <x:v>https://map.kakao.com/link/roadview/37.3901262,126.9240946</x:v>
      </x:c>
      <x:c r="AH65" s="28" t="str">
        <x:v>asset_level_inherited_not_endpoint_verified</x:v>
      </x:c>
    </x:row>
    <x:row r="66" ht="22" customHeight="1">
      <x:c r="A66" s="28" t="str">
        <x:v>CW30-B</x:v>
      </x:c>
      <x:c r="B66" s="28" t="str">
        <x:v>CW30</x:v>
      </x:c>
      <x:c r="C66" s="28" t="str">
        <x:v>2025085027</x:v>
      </x:c>
      <x:c r="D66" s="28" t="str">
        <x:v>B</x:v>
      </x:c>
      <x:c r="E66" s="48" t="n">
        <x:v>37.390204712665465</x:v>
      </x:c>
      <x:c r="F66" s="48" t="n">
        <x:v>126.92412862857385</x:v>
      </x:c>
      <x:c r="G66" s="28" t="str">
        <x:v>public_explicit_present</x:v>
      </x:c>
      <x:c r="H66" s="28" t="str">
        <x:v>있음</x:v>
      </x:c>
      <x:c r="I66" s="28" t="str">
        <x:v>있음</x:v>
      </x:c>
      <x:c r="J66" s="28" t="str">
        <x:v>provisional_high</x:v>
      </x:c>
      <x:c r="K66" s="30" t="n">
        <x:v>8.75</x:v>
      </x:c>
      <x:c r="L66" s="28" t="str">
        <x:v>N</x:v>
      </x:c>
      <x:c r="M66" s="33" t="str">
        <x:f>IF(S66="","pending_1st_review",IF(L66="Y",IF(Z66="","pending_2nd_review",IF(S66=Z66,"reviewed_agree",IF(AB66="","needs_adjudication","adjudicated"))),"reviewed_once"))</x:f>
        <x:v>pending_1st_review</x:v>
      </x:c>
      <x:c r="N66" s="46" t="str"/>
      <x:c r="O66" s="53" t="str"/>
      <x:c r="P66" s="46" t="str"/>
      <x:c r="Q66" s="46" t="str"/>
      <x:c r="R66" s="46" t="str"/>
      <x:c r="S66" s="46" t="str"/>
      <x:c r="T66" s="46" t="str"/>
      <x:c r="U66" s="46" t="str"/>
      <x:c r="V66" s="53" t="str"/>
      <x:c r="W66" s="46" t="str"/>
      <x:c r="X66" s="46" t="str"/>
      <x:c r="Y66" s="46" t="str"/>
      <x:c r="Z66" s="46" t="str"/>
      <x:c r="AA66" s="46" t="str"/>
      <x:c r="AB66" s="46" t="str"/>
      <x:c r="AC66" s="46" t="str">
        <x:v>likely_accessible_candidate</x:v>
      </x:c>
      <x:c r="AD66" s="51" t="n">
        <x:v>0.82</x:v>
      </x:c>
      <x:c r="AE66" s="46" t="str"/>
      <x:c r="AF66" s="53" t="str">
        <x:v>2025-11-17 13:29:32</x:v>
      </x:c>
      <x:c r="AG66" s="28" t="str">
        <x:v>https://map.kakao.com/link/roadview/37.3902047,126.9241286</x:v>
      </x:c>
      <x:c r="AH66" s="28" t="str">
        <x:v>asset_level_inherited_not_endpoint_verified</x:v>
      </x:c>
    </x:row>
    <x:row r="67" ht="22" customHeight="1">
      <x:c r="A67" s="28" t="str">
        <x:v>CW31-A</x:v>
      </x:c>
      <x:c r="B67" s="28" t="str">
        <x:v>CW31</x:v>
      </x:c>
      <x:c r="C67" s="28" t="str">
        <x:v>2025085012</x:v>
      </x:c>
      <x:c r="D67" s="28" t="str">
        <x:v>A</x:v>
      </x:c>
      <x:c r="E67" s="48" t="n">
        <x:v>37.39032369675492</x:v>
      </x:c>
      <x:c r="F67" s="48" t="n">
        <x:v>126.92520600321222</x:v>
      </x:c>
      <x:c r="G67" s="28" t="str">
        <x:v>public_explicit_present</x:v>
      </x:c>
      <x:c r="H67" s="28" t="str">
        <x:v>있음</x:v>
      </x:c>
      <x:c r="I67" s="28" t="str">
        <x:v>있음</x:v>
      </x:c>
      <x:c r="J67" s="28" t="str">
        <x:v>provisional_high</x:v>
      </x:c>
      <x:c r="K67" s="30" t="n">
        <x:v>1.34</x:v>
      </x:c>
      <x:c r="L67" s="28" t="str">
        <x:v>N</x:v>
      </x:c>
      <x:c r="M67" s="33" t="str">
        <x:f>IF(S67="","pending_1st_review",IF(L67="Y",IF(Z67="","pending_2nd_review",IF(S67=Z67,"reviewed_agree",IF(AB67="","needs_adjudication","adjudicated"))),"reviewed_once"))</x:f>
        <x:v>pending_1st_review</x:v>
      </x:c>
      <x:c r="N67" s="46" t="str"/>
      <x:c r="O67" s="53" t="str"/>
      <x:c r="P67" s="46" t="str"/>
      <x:c r="Q67" s="46" t="str"/>
      <x:c r="R67" s="46" t="str"/>
      <x:c r="S67" s="46" t="str"/>
      <x:c r="T67" s="46" t="str"/>
      <x:c r="U67" s="46" t="str"/>
      <x:c r="V67" s="53" t="str"/>
      <x:c r="W67" s="46" t="str"/>
      <x:c r="X67" s="46" t="str"/>
      <x:c r="Y67" s="46" t="str"/>
      <x:c r="Z67" s="46" t="str"/>
      <x:c r="AA67" s="46" t="str"/>
      <x:c r="AB67" s="46" t="str"/>
      <x:c r="AC67" s="46" t="str">
        <x:v>visibility_review_needed</x:v>
      </x:c>
      <x:c r="AD67" s="51" t="n">
        <x:v>0.52</x:v>
      </x:c>
      <x:c r="AE67" s="46" t="str"/>
      <x:c r="AF67" s="53" t="str">
        <x:v>2025-11-17 11:57:23</x:v>
      </x:c>
      <x:c r="AG67" s="28" t="str">
        <x:v>https://map.kakao.com/link/roadview/37.3903237,126.9252060</x:v>
      </x:c>
      <x:c r="AH67" s="28" t="str">
        <x:v>asset_level_inherited_not_endpoint_verified</x:v>
      </x:c>
    </x:row>
    <x:row r="68" ht="22" customHeight="1">
      <x:c r="A68" s="28" t="str">
        <x:v>CW31-B</x:v>
      </x:c>
      <x:c r="B68" s="28" t="str">
        <x:v>CW31</x:v>
      </x:c>
      <x:c r="C68" s="28" t="str">
        <x:v>2025085012</x:v>
      </x:c>
      <x:c r="D68" s="28" t="str">
        <x:v>B</x:v>
      </x:c>
      <x:c r="E68" s="48" t="n">
        <x:v>37.39036492324509</x:v>
      </x:c>
      <x:c r="F68" s="48" t="n">
        <x:v>126.92534499678776</x:v>
      </x:c>
      <x:c r="G68" s="28" t="str">
        <x:v>public_explicit_present</x:v>
      </x:c>
      <x:c r="H68" s="28" t="str">
        <x:v>있음</x:v>
      </x:c>
      <x:c r="I68" s="28" t="str">
        <x:v>있음</x:v>
      </x:c>
      <x:c r="J68" s="28" t="str">
        <x:v>provisional_high</x:v>
      </x:c>
      <x:c r="K68" s="30" t="n">
        <x:v>1.34</x:v>
      </x:c>
      <x:c r="L68" s="28" t="str">
        <x:v>N</x:v>
      </x:c>
      <x:c r="M68" s="33" t="str">
        <x:f>IF(S68="","pending_1st_review",IF(L68="Y",IF(Z68="","pending_2nd_review",IF(S68=Z68,"reviewed_agree",IF(AB68="","needs_adjudication","adjudicated"))),"reviewed_once"))</x:f>
        <x:v>pending_1st_review</x:v>
      </x:c>
      <x:c r="N68" s="46" t="str"/>
      <x:c r="O68" s="53" t="str"/>
      <x:c r="P68" s="46" t="str"/>
      <x:c r="Q68" s="46" t="str"/>
      <x:c r="R68" s="46" t="str"/>
      <x:c r="S68" s="46" t="str"/>
      <x:c r="T68" s="46" t="str"/>
      <x:c r="U68" s="46" t="str"/>
      <x:c r="V68" s="53" t="str"/>
      <x:c r="W68" s="46" t="str"/>
      <x:c r="X68" s="46" t="str"/>
      <x:c r="Y68" s="46" t="str"/>
      <x:c r="Z68" s="46" t="str"/>
      <x:c r="AA68" s="46" t="str"/>
      <x:c r="AB68" s="46" t="str"/>
      <x:c r="AC68" s="46" t="str">
        <x:v>likely_accessible_candidate</x:v>
      </x:c>
      <x:c r="AD68" s="51" t="n">
        <x:v>0.82</x:v>
      </x:c>
      <x:c r="AE68" s="46" t="str"/>
      <x:c r="AF68" s="53" t="str">
        <x:v>2025-11-17 13:29:46</x:v>
      </x:c>
      <x:c r="AG68" s="28" t="str">
        <x:v>https://map.kakao.com/link/roadview/37.3903649,126.9253450</x:v>
      </x:c>
      <x:c r="AH68" s="28" t="str">
        <x:v>asset_level_inherited_not_endpoint_verified</x:v>
      </x:c>
    </x:row>
    <x:row r="69" ht="22" customHeight="1">
      <x:c r="A69" s="28" t="str">
        <x:v>CW32-A</x:v>
      </x:c>
      <x:c r="B69" s="28" t="str">
        <x:v>CW32</x:v>
      </x:c>
      <x:c r="C69" s="28" t="str">
        <x:v>2025085025</x:v>
      </x:c>
      <x:c r="D69" s="28" t="str">
        <x:v>A</x:v>
      </x:c>
      <x:c r="E69" s="48" t="n">
        <x:v>37.390048790568265</x:v>
      </x:c>
      <x:c r="F69" s="48" t="n">
        <x:v>126.9242948447004</x:v>
      </x:c>
      <x:c r="G69" s="28" t="str">
        <x:v>public_explicit_present</x:v>
      </x:c>
      <x:c r="H69" s="28" t="str">
        <x:v>있음</x:v>
      </x:c>
      <x:c r="I69" s="28" t="str">
        <x:v>있음</x:v>
      </x:c>
      <x:c r="J69" s="28" t="str">
        <x:v>provisional_high</x:v>
      </x:c>
      <x:c r="K69" s="30" t="n">
        <x:v>1.42</x:v>
      </x:c>
      <x:c r="L69" s="28" t="str">
        <x:v>Y</x:v>
      </x:c>
      <x:c r="M69" s="33" t="str">
        <x:f>IF(S69="","pending_1st_review",IF(L69="Y",IF(Z69="","pending_2nd_review",IF(S69=Z69,"reviewed_agree",IF(AB69="","needs_adjudication","adjudicated"))),"reviewed_once"))</x:f>
        <x:v>pending_1st_review</x:v>
      </x:c>
      <x:c r="N69" s="46" t="str"/>
      <x:c r="O69" s="53" t="str"/>
      <x:c r="P69" s="46" t="str"/>
      <x:c r="Q69" s="46" t="str"/>
      <x:c r="R69" s="46" t="str"/>
      <x:c r="S69" s="46" t="str"/>
      <x:c r="T69" s="46" t="str"/>
      <x:c r="U69" s="46" t="str"/>
      <x:c r="V69" s="53" t="str"/>
      <x:c r="W69" s="46" t="str"/>
      <x:c r="X69" s="46" t="str"/>
      <x:c r="Y69" s="46" t="str"/>
      <x:c r="Z69" s="46" t="str"/>
      <x:c r="AA69" s="46" t="str"/>
      <x:c r="AB69" s="46" t="str"/>
      <x:c r="AC69" s="46" t="str">
        <x:v>visibility_review_needed</x:v>
      </x:c>
      <x:c r="AD69" s="51" t="n">
        <x:v>0.52</x:v>
      </x:c>
      <x:c r="AE69" s="46" t="str"/>
      <x:c r="AF69" s="53" t="str">
        <x:v>2025-11-17 13:29:35</x:v>
      </x:c>
      <x:c r="AG69" s="28" t="str">
        <x:v>https://map.kakao.com/link/roadview/37.3900488,126.9242948</x:v>
      </x:c>
      <x:c r="AH69" s="28" t="str">
        <x:v>asset_level_inherited_not_endpoint_verified</x:v>
      </x:c>
    </x:row>
    <x:row r="70" ht="22" customHeight="1">
      <x:c r="A70" s="28" t="str">
        <x:v>CW32-B</x:v>
      </x:c>
      <x:c r="B70" s="28" t="str">
        <x:v>CW32</x:v>
      </x:c>
      <x:c r="C70" s="28" t="str">
        <x:v>2025085025</x:v>
      </x:c>
      <x:c r="D70" s="28" t="str">
        <x:v>B</x:v>
      </x:c>
      <x:c r="E70" s="48" t="n">
        <x:v>37.39012174943174</x:v>
      </x:c>
      <x:c r="F70" s="48" t="n">
        <x:v>126.92425855529957</x:v>
      </x:c>
      <x:c r="G70" s="28" t="str">
        <x:v>public_explicit_present</x:v>
      </x:c>
      <x:c r="H70" s="28" t="str">
        <x:v>있음</x:v>
      </x:c>
      <x:c r="I70" s="28" t="str">
        <x:v>있음</x:v>
      </x:c>
      <x:c r="J70" s="28" t="str">
        <x:v>provisional_high</x:v>
      </x:c>
      <x:c r="K70" s="30" t="n">
        <x:v>1.42</x:v>
      </x:c>
      <x:c r="L70" s="28" t="str">
        <x:v>Y</x:v>
      </x:c>
      <x:c r="M70" s="33" t="str">
        <x:f>IF(S70="","pending_1st_review",IF(L70="Y",IF(Z70="","pending_2nd_review",IF(S70=Z70,"reviewed_agree",IF(AB70="","needs_adjudication","adjudicated"))),"reviewed_once"))</x:f>
        <x:v>pending_1st_review</x:v>
      </x:c>
      <x:c r="N70" s="46" t="str"/>
      <x:c r="O70" s="53" t="str"/>
      <x:c r="P70" s="46" t="str"/>
      <x:c r="Q70" s="46" t="str"/>
      <x:c r="R70" s="46" t="str"/>
      <x:c r="S70" s="46" t="str"/>
      <x:c r="T70" s="46" t="str"/>
      <x:c r="U70" s="46" t="str"/>
      <x:c r="V70" s="53" t="str"/>
      <x:c r="W70" s="46" t="str"/>
      <x:c r="X70" s="46" t="str"/>
      <x:c r="Y70" s="46" t="str"/>
      <x:c r="Z70" s="46" t="str"/>
      <x:c r="AA70" s="46" t="str"/>
      <x:c r="AB70" s="46" t="str"/>
      <x:c r="AC70" s="46" t="str">
        <x:v>likely_accessible_candidate</x:v>
      </x:c>
      <x:c r="AD70" s="51" t="n">
        <x:v>0.82</x:v>
      </x:c>
      <x:c r="AE70" s="46" t="str"/>
      <x:c r="AF70" s="53" t="str">
        <x:v>2025-11-17 13:29:34</x:v>
      </x:c>
      <x:c r="AG70" s="28" t="str">
        <x:v>https://map.kakao.com/link/roadview/37.3901217,126.9242586</x:v>
      </x:c>
      <x:c r="AH70" s="28" t="str">
        <x:v>asset_level_inherited_not_endpoint_verified</x:v>
      </x:c>
    </x:row>
    <x:row r="71" ht="22" customHeight="1">
      <x:c r="A71" s="28" t="str">
        <x:v>CW33-A</x:v>
      </x:c>
      <x:c r="B71" s="28" t="str">
        <x:v>CW33</x:v>
      </x:c>
      <x:c r="C71" s="28" t="str">
        <x:v>2025085001</x:v>
      </x:c>
      <x:c r="D71" s="28" t="str">
        <x:v>A</x:v>
      </x:c>
      <x:c r="E71" s="48" t="n">
        <x:v>37.389982227292826</x:v>
      </x:c>
      <x:c r="F71" s="48" t="n">
        <x:v>126.9254940088399</x:v>
      </x:c>
      <x:c r="G71" s="28" t="str">
        <x:v>public_explicit_risk</x:v>
      </x:c>
      <x:c r="H71" s="28" t="str">
        <x:v>있음</x:v>
      </x:c>
      <x:c r="I71" s="28" t="str">
        <x:v>없음</x:v>
      </x:c>
      <x:c r="J71" s="28" t="str">
        <x:v>provisional_high</x:v>
      </x:c>
      <x:c r="K71" s="30" t="n">
        <x:v>0.67</x:v>
      </x:c>
      <x:c r="L71" s="28" t="str">
        <x:v>Y</x:v>
      </x:c>
      <x:c r="M71" s="33" t="str">
        <x:f>IF(S71="","pending_1st_review",IF(L71="Y",IF(Z71="","pending_2nd_review",IF(S71=Z71,"reviewed_agree",IF(AB71="","needs_adjudication","adjudicated"))),"reviewed_once"))</x:f>
        <x:v>pending_1st_review</x:v>
      </x:c>
      <x:c r="N71" s="46" t="str"/>
      <x:c r="O71" s="53" t="str"/>
      <x:c r="P71" s="46" t="str"/>
      <x:c r="Q71" s="46" t="str"/>
      <x:c r="R71" s="46" t="str"/>
      <x:c r="S71" s="46" t="str"/>
      <x:c r="T71" s="46" t="str"/>
      <x:c r="U71" s="46" t="str"/>
      <x:c r="V71" s="53" t="str"/>
      <x:c r="W71" s="46" t="str"/>
      <x:c r="X71" s="46" t="str"/>
      <x:c r="Y71" s="46" t="str"/>
      <x:c r="Z71" s="46" t="str"/>
      <x:c r="AA71" s="46" t="str"/>
      <x:c r="AB71" s="46" t="str"/>
      <x:c r="AC71" s="46" t="str">
        <x:v>geometry_mismatch_candidate</x:v>
      </x:c>
      <x:c r="AD71" s="51" t="n">
        <x:v>0.58</x:v>
      </x:c>
      <x:c r="AE71" s="46" t="str"/>
      <x:c r="AF71" s="53" t="str">
        <x:v>2025-11-17 15:39:09</x:v>
      </x:c>
      <x:c r="AG71" s="28" t="str">
        <x:v>https://map.kakao.com/link/roadview/37.3899822,126.9254940</x:v>
      </x:c>
      <x:c r="AH71" s="28" t="str">
        <x:v>asset_level_inherited_not_endpoint_verified</x:v>
      </x:c>
    </x:row>
    <x:row r="72" ht="22" customHeight="1">
      <x:c r="A72" s="28" t="str">
        <x:v>CW33-B</x:v>
      </x:c>
      <x:c r="B72" s="28" t="str">
        <x:v>CW33</x:v>
      </x:c>
      <x:c r="C72" s="28" t="str">
        <x:v>2025085001</x:v>
      </x:c>
      <x:c r="D72" s="28" t="str">
        <x:v>B</x:v>
      </x:c>
      <x:c r="E72" s="48" t="n">
        <x:v>37.39001577270718</x:v>
      </x:c>
      <x:c r="F72" s="48" t="n">
        <x:v>126.9254661911601</x:v>
      </x:c>
      <x:c r="G72" s="28" t="str">
        <x:v>public_explicit_risk</x:v>
      </x:c>
      <x:c r="H72" s="28" t="str">
        <x:v>있음</x:v>
      </x:c>
      <x:c r="I72" s="28" t="str">
        <x:v>없음</x:v>
      </x:c>
      <x:c r="J72" s="28" t="str">
        <x:v>provisional_high</x:v>
      </x:c>
      <x:c r="K72" s="30" t="n">
        <x:v>0.67</x:v>
      </x:c>
      <x:c r="L72" s="28" t="str">
        <x:v>Y</x:v>
      </x:c>
      <x:c r="M72" s="33" t="str">
        <x:f>IF(S72="","pending_1st_review",IF(L72="Y",IF(Z72="","pending_2nd_review",IF(S72=Z72,"reviewed_agree",IF(AB72="","needs_adjudication","adjudicated"))),"reviewed_once"))</x:f>
        <x:v>pending_1st_review</x:v>
      </x:c>
      <x:c r="N72" s="46" t="str"/>
      <x:c r="O72" s="53" t="str"/>
      <x:c r="P72" s="46" t="str"/>
      <x:c r="Q72" s="46" t="str"/>
      <x:c r="R72" s="46" t="str"/>
      <x:c r="S72" s="46" t="str"/>
      <x:c r="T72" s="46" t="str"/>
      <x:c r="U72" s="46" t="str"/>
      <x:c r="V72" s="53" t="str"/>
      <x:c r="W72" s="46" t="str"/>
      <x:c r="X72" s="46" t="str"/>
      <x:c r="Y72" s="46" t="str"/>
      <x:c r="Z72" s="46" t="str"/>
      <x:c r="AA72" s="46" t="str"/>
      <x:c r="AB72" s="46" t="str"/>
      <x:c r="AC72" s="46" t="str">
        <x:v>geometry_mismatch_candidate</x:v>
      </x:c>
      <x:c r="AD72" s="51" t="n">
        <x:v>0.58</x:v>
      </x:c>
      <x:c r="AE72" s="46" t="str"/>
      <x:c r="AF72" s="53" t="str">
        <x:v>2025-11-17 15:39:09</x:v>
      </x:c>
      <x:c r="AG72" s="28" t="str">
        <x:v>https://map.kakao.com/link/roadview/37.3900158,126.9254662</x:v>
      </x:c>
      <x:c r="AH72" s="28" t="str">
        <x:v>asset_level_inherited_not_endpoint_verified</x:v>
      </x:c>
    </x:row>
    <x:row r="73" ht="22" customHeight="1">
      <x:c r="A73" s="28" t="str">
        <x:v>CW34-A</x:v>
      </x:c>
      <x:c r="B73" s="28" t="str">
        <x:v>CW34</x:v>
      </x:c>
      <x:c r="C73" s="28" t="str">
        <x:v>2025085002</x:v>
      </x:c>
      <x:c r="D73" s="28" t="str">
        <x:v>A</x:v>
      </x:c>
      <x:c r="E73" s="48" t="n">
        <x:v>37.389622186729625</x:v>
      </x:c>
      <x:c r="F73" s="48" t="n">
        <x:v>126.92548561896953</x:v>
      </x:c>
      <x:c r="G73" s="28" t="str">
        <x:v>public_explicit_present</x:v>
      </x:c>
      <x:c r="H73" s="28" t="str">
        <x:v>있음</x:v>
      </x:c>
      <x:c r="I73" s="28" t="str">
        <x:v>있음</x:v>
      </x:c>
      <x:c r="J73" s="28" t="str">
        <x:v>provisional_high</x:v>
      </x:c>
      <x:c r="K73" s="30" t="n">
        <x:v>1.29</x:v>
      </x:c>
      <x:c r="L73" s="28" t="str">
        <x:v>Y</x:v>
      </x:c>
      <x:c r="M73" s="33" t="str">
        <x:f>IF(S73="","pending_1st_review",IF(L73="Y",IF(Z73="","pending_2nd_review",IF(S73=Z73,"reviewed_agree",IF(AB73="","needs_adjudication","adjudicated"))),"reviewed_once"))</x:f>
        <x:v>pending_1st_review</x:v>
      </x:c>
      <x:c r="N73" s="46" t="str"/>
      <x:c r="O73" s="53" t="str"/>
      <x:c r="P73" s="46" t="str"/>
      <x:c r="Q73" s="46" t="str"/>
      <x:c r="R73" s="46" t="str"/>
      <x:c r="S73" s="46" t="str"/>
      <x:c r="T73" s="46" t="str"/>
      <x:c r="U73" s="46" t="str"/>
      <x:c r="V73" s="53" t="str"/>
      <x:c r="W73" s="46" t="str"/>
      <x:c r="X73" s="46" t="str"/>
      <x:c r="Y73" s="46" t="str"/>
      <x:c r="Z73" s="46" t="str"/>
      <x:c r="AA73" s="46" t="str"/>
      <x:c r="AB73" s="46" t="str"/>
      <x:c r="AC73" s="46" t="str">
        <x:v>likely_accessible_candidate</x:v>
      </x:c>
      <x:c r="AD73" s="51" t="n">
        <x:v>0.82</x:v>
      </x:c>
      <x:c r="AE73" s="46" t="str"/>
      <x:c r="AF73" s="53" t="str">
        <x:v>2025-11-17 13:10:05</x:v>
      </x:c>
      <x:c r="AG73" s="28" t="str">
        <x:v>https://map.kakao.com/link/roadview/37.3896222,126.9254856</x:v>
      </x:c>
      <x:c r="AH73" s="28" t="str">
        <x:v>asset_level_inherited_not_endpoint_verified</x:v>
      </x:c>
    </x:row>
    <x:row r="74" ht="22" customHeight="1">
      <x:c r="A74" s="28" t="str">
        <x:v>CW34-B</x:v>
      </x:c>
      <x:c r="B74" s="28" t="str">
        <x:v>CW34</x:v>
      </x:c>
      <x:c r="C74" s="28" t="str">
        <x:v>2025085002</x:v>
      </x:c>
      <x:c r="D74" s="28" t="str">
        <x:v>B</x:v>
      </x:c>
      <x:c r="E74" s="48" t="n">
        <x:v>37.38965699327038</x:v>
      </x:c>
      <x:c r="F74" s="48" t="n">
        <x:v>126.92561438103047</x:v>
      </x:c>
      <x:c r="G74" s="28" t="str">
        <x:v>public_explicit_present</x:v>
      </x:c>
      <x:c r="H74" s="28" t="str">
        <x:v>있음</x:v>
      </x:c>
      <x:c r="I74" s="28" t="str">
        <x:v>있음</x:v>
      </x:c>
      <x:c r="J74" s="28" t="str">
        <x:v>provisional_high</x:v>
      </x:c>
      <x:c r="K74" s="30" t="n">
        <x:v>1.29</x:v>
      </x:c>
      <x:c r="L74" s="28" t="str">
        <x:v>Y</x:v>
      </x:c>
      <x:c r="M74" s="33" t="str">
        <x:f>IF(S74="","pending_1st_review",IF(L74="Y",IF(Z74="","pending_2nd_review",IF(S74=Z74,"reviewed_agree",IF(AB74="","needs_adjudication","adjudicated"))),"reviewed_once"))</x:f>
        <x:v>pending_1st_review</x:v>
      </x:c>
      <x:c r="N74" s="46" t="str"/>
      <x:c r="O74" s="53" t="str"/>
      <x:c r="P74" s="46" t="str"/>
      <x:c r="Q74" s="46" t="str"/>
      <x:c r="R74" s="46" t="str"/>
      <x:c r="S74" s="46" t="str"/>
      <x:c r="T74" s="46" t="str"/>
      <x:c r="U74" s="46" t="str"/>
      <x:c r="V74" s="53" t="str"/>
      <x:c r="W74" s="46" t="str"/>
      <x:c r="X74" s="46" t="str"/>
      <x:c r="Y74" s="46" t="str"/>
      <x:c r="Z74" s="46" t="str"/>
      <x:c r="AA74" s="46" t="str"/>
      <x:c r="AB74" s="46" t="str"/>
      <x:c r="AC74" s="46" t="str">
        <x:v>visibility_review_needed</x:v>
      </x:c>
      <x:c r="AD74" s="51" t="n">
        <x:v>0.52</x:v>
      </x:c>
      <x:c r="AE74" s="46" t="str"/>
      <x:c r="AF74" s="53" t="str">
        <x:v>2025-11-17 11:57:08</x:v>
      </x:c>
      <x:c r="AG74" s="28" t="str">
        <x:v>https://map.kakao.com/link/roadview/37.3896570,126.9256144</x:v>
      </x:c>
      <x:c r="AH74" s="28" t="str">
        <x:v>asset_level_inherited_not_endpoint_verified</x:v>
      </x:c>
    </x:row>
    <x:row r="75" ht="22" customHeight="1">
      <x:c r="A75" s="28" t="str">
        <x:v>CW35-A</x:v>
      </x:c>
      <x:c r="B75" s="28" t="str">
        <x:v>CW35</x:v>
      </x:c>
      <x:c r="C75" s="28" t="str">
        <x:v>2025085003</x:v>
      </x:c>
      <x:c r="D75" s="28" t="str">
        <x:v>A</x:v>
      </x:c>
      <x:c r="E75" s="48" t="n">
        <x:v>37.38956545502662</x:v>
      </x:c>
      <x:c r="F75" s="48" t="n">
        <x:v>126.92568254442703</x:v>
      </x:c>
      <x:c r="G75" s="28" t="str">
        <x:v>public_explicit_present</x:v>
      </x:c>
      <x:c r="H75" s="28" t="str">
        <x:v>있음</x:v>
      </x:c>
      <x:c r="I75" s="28" t="str">
        <x:v>있음</x:v>
      </x:c>
      <x:c r="J75" s="28" t="str">
        <x:v>provisional_high</x:v>
      </x:c>
      <x:c r="K75" s="30" t="n">
        <x:v>1.14</x:v>
      </x:c>
      <x:c r="L75" s="28" t="str">
        <x:v>N</x:v>
      </x:c>
      <x:c r="M75" s="33" t="str">
        <x:f>IF(S75="","pending_1st_review",IF(L75="Y",IF(Z75="","pending_2nd_review",IF(S75=Z75,"reviewed_agree",IF(AB75="","needs_adjudication","adjudicated"))),"reviewed_once"))</x:f>
        <x:v>pending_1st_review</x:v>
      </x:c>
      <x:c r="N75" s="46" t="str"/>
      <x:c r="O75" s="53" t="str"/>
      <x:c r="P75" s="46" t="str"/>
      <x:c r="Q75" s="46" t="str"/>
      <x:c r="R75" s="46" t="str"/>
      <x:c r="S75" s="46" t="str"/>
      <x:c r="T75" s="46" t="str"/>
      <x:c r="U75" s="46" t="str"/>
      <x:c r="V75" s="53" t="str"/>
      <x:c r="W75" s="46" t="str"/>
      <x:c r="X75" s="46" t="str"/>
      <x:c r="Y75" s="46" t="str"/>
      <x:c r="Z75" s="46" t="str"/>
      <x:c r="AA75" s="46" t="str"/>
      <x:c r="AB75" s="46" t="str"/>
      <x:c r="AC75" s="46" t="str">
        <x:v>likely_accessible_candidate</x:v>
      </x:c>
      <x:c r="AD75" s="51" t="n">
        <x:v>0.82</x:v>
      </x:c>
      <x:c r="AE75" s="46" t="str"/>
      <x:c r="AF75" s="53" t="str">
        <x:v>2025-11-17 11:57:07</x:v>
      </x:c>
      <x:c r="AG75" s="28" t="str">
        <x:v>https://map.kakao.com/link/roadview/37.3895655,126.9256825</x:v>
      </x:c>
      <x:c r="AH75" s="28" t="str">
        <x:v>asset_level_inherited_not_endpoint_verified</x:v>
      </x:c>
    </x:row>
    <x:row r="76" ht="22" customHeight="1">
      <x:c r="A76" s="28" t="str">
        <x:v>CW35-B</x:v>
      </x:c>
      <x:c r="B76" s="28" t="str">
        <x:v>CW35</x:v>
      </x:c>
      <x:c r="C76" s="28" t="str">
        <x:v>2025085003</x:v>
      </x:c>
      <x:c r="D76" s="28" t="str">
        <x:v>B</x:v>
      </x:c>
      <x:c r="E76" s="48" t="n">
        <x:v>37.38963516497338</x:v>
      </x:c>
      <x:c r="F76" s="48" t="n">
        <x:v>126.92564065557295</x:v>
      </x:c>
      <x:c r="G76" s="28" t="str">
        <x:v>public_explicit_present</x:v>
      </x:c>
      <x:c r="H76" s="28" t="str">
        <x:v>있음</x:v>
      </x:c>
      <x:c r="I76" s="28" t="str">
        <x:v>있음</x:v>
      </x:c>
      <x:c r="J76" s="28" t="str">
        <x:v>provisional_high</x:v>
      </x:c>
      <x:c r="K76" s="30" t="n">
        <x:v>1.14</x:v>
      </x:c>
      <x:c r="L76" s="28" t="str">
        <x:v>N</x:v>
      </x:c>
      <x:c r="M76" s="33" t="str">
        <x:f>IF(S76="","pending_1st_review",IF(L76="Y",IF(Z76="","pending_2nd_review",IF(S76=Z76,"reviewed_agree",IF(AB76="","needs_adjudication","adjudicated"))),"reviewed_once"))</x:f>
        <x:v>pending_1st_review</x:v>
      </x:c>
      <x:c r="N76" s="46" t="str"/>
      <x:c r="O76" s="53" t="str"/>
      <x:c r="P76" s="46" t="str"/>
      <x:c r="Q76" s="46" t="str"/>
      <x:c r="R76" s="46" t="str"/>
      <x:c r="S76" s="46" t="str"/>
      <x:c r="T76" s="46" t="str"/>
      <x:c r="U76" s="46" t="str"/>
      <x:c r="V76" s="53" t="str"/>
      <x:c r="W76" s="46" t="str"/>
      <x:c r="X76" s="46" t="str"/>
      <x:c r="Y76" s="46" t="str"/>
      <x:c r="Z76" s="46" t="str"/>
      <x:c r="AA76" s="46" t="str"/>
      <x:c r="AB76" s="46" t="str"/>
      <x:c r="AC76" s="46" t="str">
        <x:v>geometry_mismatch_candidate</x:v>
      </x:c>
      <x:c r="AD76" s="51" t="n">
        <x:v>0.58</x:v>
      </x:c>
      <x:c r="AE76" s="46" t="str"/>
      <x:c r="AF76" s="53" t="str">
        <x:v>2025-11-17 11:57:08</x:v>
      </x:c>
      <x:c r="AG76" s="28" t="str">
        <x:v>https://map.kakao.com/link/roadview/37.3896352,126.9256407</x:v>
      </x:c>
      <x:c r="AH76" s="28" t="str">
        <x:v>asset_level_inherited_not_endpoint_verified</x:v>
      </x:c>
    </x:row>
    <x:row r="77" ht="22" customHeight="1">
      <x:c r="A77" s="28" t="str">
        <x:v>CW36-A</x:v>
      </x:c>
      <x:c r="B77" s="28" t="str">
        <x:v>CW36</x:v>
      </x:c>
      <x:c r="C77" s="28" t="str">
        <x:v>2025085005</x:v>
      </x:c>
      <x:c r="D77" s="28" t="str">
        <x:v>A</x:v>
      </x:c>
      <x:c r="E77" s="48" t="n">
        <x:v>37.389460889905884</x:v>
      </x:c>
      <x:c r="F77" s="48" t="n">
        <x:v>126.92553763921738</x:v>
      </x:c>
      <x:c r="G77" s="28" t="str">
        <x:v>public_explicit_present</x:v>
      </x:c>
      <x:c r="H77" s="28" t="str">
        <x:v>있음</x:v>
      </x:c>
      <x:c r="I77" s="28" t="str">
        <x:v>있음</x:v>
      </x:c>
      <x:c r="J77" s="28" t="str">
        <x:v>provisional_high</x:v>
      </x:c>
      <x:c r="K77" s="30" t="n">
        <x:v>0.6</x:v>
      </x:c>
      <x:c r="L77" s="28" t="str">
        <x:v>Y</x:v>
      </x:c>
      <x:c r="M77" s="33" t="str">
        <x:f>IF(S77="","pending_1st_review",IF(L77="Y",IF(Z77="","pending_2nd_review",IF(S77=Z77,"reviewed_agree",IF(AB77="","needs_adjudication","adjudicated"))),"reviewed_once"))</x:f>
        <x:v>pending_1st_review</x:v>
      </x:c>
      <x:c r="N77" s="46" t="str"/>
      <x:c r="O77" s="53" t="str"/>
      <x:c r="P77" s="46" t="str"/>
      <x:c r="Q77" s="46" t="str"/>
      <x:c r="R77" s="46" t="str"/>
      <x:c r="S77" s="46" t="str"/>
      <x:c r="T77" s="46" t="str"/>
      <x:c r="U77" s="46" t="str"/>
      <x:c r="V77" s="53" t="str"/>
      <x:c r="W77" s="46" t="str"/>
      <x:c r="X77" s="46" t="str"/>
      <x:c r="Y77" s="46" t="str"/>
      <x:c r="Z77" s="46" t="str"/>
      <x:c r="AA77" s="46" t="str"/>
      <x:c r="AB77" s="46" t="str"/>
      <x:c r="AC77" s="46" t="str">
        <x:v>visibility_review_needed</x:v>
      </x:c>
      <x:c r="AD77" s="51" t="n">
        <x:v>0.52</x:v>
      </x:c>
      <x:c r="AE77" s="46" t="str"/>
      <x:c r="AF77" s="53" t="str">
        <x:v>2025-11-17 13:10:05</x:v>
      </x:c>
      <x:c r="AG77" s="28" t="str">
        <x:v>https://map.kakao.com/link/roadview/37.3894609,126.9255376</x:v>
      </x:c>
      <x:c r="AH77" s="28" t="str">
        <x:v>asset_level_inherited_not_endpoint_verified</x:v>
      </x:c>
    </x:row>
    <x:row r="78" ht="22" customHeight="1">
      <x:c r="A78" s="28" t="str">
        <x:v>CW36-B</x:v>
      </x:c>
      <x:c r="B78" s="28" t="str">
        <x:v>CW36</x:v>
      </x:c>
      <x:c r="C78" s="28" t="str">
        <x:v>2025085005</x:v>
      </x:c>
      <x:c r="D78" s="28" t="str">
        <x:v>B</x:v>
      </x:c>
      <x:c r="E78" s="48" t="n">
        <x:v>37.389528410094115</x:v>
      </x:c>
      <x:c r="F78" s="48" t="n">
        <x:v>126.92545656078262</x:v>
      </x:c>
      <x:c r="G78" s="28" t="str">
        <x:v>public_explicit_present</x:v>
      </x:c>
      <x:c r="H78" s="28" t="str">
        <x:v>있음</x:v>
      </x:c>
      <x:c r="I78" s="28" t="str">
        <x:v>있음</x:v>
      </x:c>
      <x:c r="J78" s="28" t="str">
        <x:v>provisional_high</x:v>
      </x:c>
      <x:c r="K78" s="30" t="n">
        <x:v>0.6</x:v>
      </x:c>
      <x:c r="L78" s="28" t="str">
        <x:v>Y</x:v>
      </x:c>
      <x:c r="M78" s="33" t="str">
        <x:f>IF(S78="","pending_1st_review",IF(L78="Y",IF(Z78="","pending_2nd_review",IF(S78=Z78,"reviewed_agree",IF(AB78="","needs_adjudication","adjudicated"))),"reviewed_once"))</x:f>
        <x:v>pending_1st_review</x:v>
      </x:c>
      <x:c r="N78" s="46" t="str"/>
      <x:c r="O78" s="53" t="str"/>
      <x:c r="P78" s="46" t="str"/>
      <x:c r="Q78" s="46" t="str"/>
      <x:c r="R78" s="46" t="str"/>
      <x:c r="S78" s="46" t="str"/>
      <x:c r="T78" s="46" t="str"/>
      <x:c r="U78" s="46" t="str"/>
      <x:c r="V78" s="53" t="str"/>
      <x:c r="W78" s="46" t="str"/>
      <x:c r="X78" s="46" t="str"/>
      <x:c r="Y78" s="46" t="str"/>
      <x:c r="Z78" s="46" t="str"/>
      <x:c r="AA78" s="46" t="str"/>
      <x:c r="AB78" s="46" t="str"/>
      <x:c r="AC78" s="46" t="str">
        <x:v>geometry_mismatch_candidate</x:v>
      </x:c>
      <x:c r="AD78" s="51" t="n">
        <x:v>0.58</x:v>
      </x:c>
      <x:c r="AE78" s="46" t="str"/>
      <x:c r="AF78" s="53" t="str">
        <x:v>2025-11-17 13:10:05</x:v>
      </x:c>
      <x:c r="AG78" s="28" t="str">
        <x:v>https://map.kakao.com/link/roadview/37.3895284,126.9254566</x:v>
      </x:c>
      <x:c r="AH78" s="28" t="str">
        <x:v>asset_level_inherited_not_endpoint_verified</x:v>
      </x:c>
    </x:row>
    <x:row r="79" ht="22" customHeight="1">
      <x:c r="A79" s="28" t="str">
        <x:v>CW37-A</x:v>
      </x:c>
      <x:c r="B79" s="28" t="str">
        <x:v>CW37</x:v>
      </x:c>
      <x:c r="C79" s="28" t="str">
        <x:v>2025085004</x:v>
      </x:c>
      <x:c r="D79" s="28" t="str">
        <x:v>A</x:v>
      </x:c>
      <x:c r="E79" s="48" t="n">
        <x:v>37.38942767602712</x:v>
      </x:c>
      <x:c r="F79" s="48" t="n">
        <x:v>126.92561176972762</x:v>
      </x:c>
      <x:c r="G79" s="28" t="str">
        <x:v>public_explicit_present</x:v>
      </x:c>
      <x:c r="H79" s="28" t="str">
        <x:v>있음</x:v>
      </x:c>
      <x:c r="I79" s="28" t="str">
        <x:v>있음</x:v>
      </x:c>
      <x:c r="J79" s="28" t="str">
        <x:v>provisional_high</x:v>
      </x:c>
      <x:c r="K79" s="30" t="n">
        <x:v>0.45</x:v>
      </x:c>
      <x:c r="L79" s="28" t="str">
        <x:v>N</x:v>
      </x:c>
      <x:c r="M79" s="33" t="str">
        <x:f>IF(S79="","pending_1st_review",IF(L79="Y",IF(Z79="","pending_2nd_review",IF(S79=Z79,"reviewed_agree",IF(AB79="","needs_adjudication","adjudicated"))),"reviewed_once"))</x:f>
        <x:v>pending_1st_review</x:v>
      </x:c>
      <x:c r="N79" s="46" t="str"/>
      <x:c r="O79" s="53" t="str"/>
      <x:c r="P79" s="46" t="str"/>
      <x:c r="Q79" s="46" t="str"/>
      <x:c r="R79" s="46" t="str"/>
      <x:c r="S79" s="46" t="str"/>
      <x:c r="T79" s="46" t="str"/>
      <x:c r="U79" s="46" t="str"/>
      <x:c r="V79" s="53" t="str"/>
      <x:c r="W79" s="46" t="str"/>
      <x:c r="X79" s="46" t="str"/>
      <x:c r="Y79" s="46" t="str"/>
      <x:c r="Z79" s="46" t="str"/>
      <x:c r="AA79" s="46" t="str"/>
      <x:c r="AB79" s="46" t="str"/>
      <x:c r="AC79" s="46" t="str">
        <x:v>occlusion_review_needed</x:v>
      </x:c>
      <x:c r="AD79" s="51" t="n">
        <x:v>0.52</x:v>
      </x:c>
      <x:c r="AE79" s="46" t="str"/>
      <x:c r="AF79" s="53" t="str">
        <x:v>2025-11-17 11:57:06</x:v>
      </x:c>
      <x:c r="AG79" s="28" t="str">
        <x:v>https://map.kakao.com/link/roadview/37.3894277,126.9256118</x:v>
      </x:c>
      <x:c r="AH79" s="28" t="str">
        <x:v>asset_level_inherited_not_endpoint_verified</x:v>
      </x:c>
    </x:row>
    <x:row r="80" ht="22" customHeight="1">
      <x:c r="A80" s="28" t="str">
        <x:v>CW37-B</x:v>
      </x:c>
      <x:c r="B80" s="28" t="str">
        <x:v>CW37</x:v>
      </x:c>
      <x:c r="C80" s="28" t="str">
        <x:v>2025085004</x:v>
      </x:c>
      <x:c r="D80" s="28" t="str">
        <x:v>B</x:v>
      </x:c>
      <x:c r="E80" s="48" t="n">
        <x:v>37.38945428397289</x:v>
      </x:c>
      <x:c r="F80" s="48" t="n">
        <x:v>126.92570423027236</x:v>
      </x:c>
      <x:c r="G80" s="28" t="str">
        <x:v>public_explicit_present</x:v>
      </x:c>
      <x:c r="H80" s="28" t="str">
        <x:v>있음</x:v>
      </x:c>
      <x:c r="I80" s="28" t="str">
        <x:v>있음</x:v>
      </x:c>
      <x:c r="J80" s="28" t="str">
        <x:v>provisional_high</x:v>
      </x:c>
      <x:c r="K80" s="30" t="n">
        <x:v>0.45</x:v>
      </x:c>
      <x:c r="L80" s="28" t="str">
        <x:v>N</x:v>
      </x:c>
      <x:c r="M80" s="33" t="str">
        <x:f>IF(S80="","pending_1st_review",IF(L80="Y",IF(Z80="","pending_2nd_review",IF(S80=Z80,"reviewed_agree",IF(AB80="","needs_adjudication","adjudicated"))),"reviewed_once"))</x:f>
        <x:v>pending_1st_review</x:v>
      </x:c>
      <x:c r="N80" s="46" t="str"/>
      <x:c r="O80" s="53" t="str"/>
      <x:c r="P80" s="46" t="str"/>
      <x:c r="Q80" s="46" t="str"/>
      <x:c r="R80" s="46" t="str"/>
      <x:c r="S80" s="46" t="str"/>
      <x:c r="T80" s="46" t="str"/>
      <x:c r="U80" s="46" t="str"/>
      <x:c r="V80" s="53" t="str"/>
      <x:c r="W80" s="46" t="str"/>
      <x:c r="X80" s="46" t="str"/>
      <x:c r="Y80" s="46" t="str"/>
      <x:c r="Z80" s="46" t="str"/>
      <x:c r="AA80" s="46" t="str"/>
      <x:c r="AB80" s="46" t="str"/>
      <x:c r="AC80" s="46" t="str">
        <x:v>visibility_review_needed</x:v>
      </x:c>
      <x:c r="AD80" s="51" t="n">
        <x:v>0.52</x:v>
      </x:c>
      <x:c r="AE80" s="46" t="str"/>
      <x:c r="AF80" s="53" t="str">
        <x:v>2025-11-17 11:57:06</x:v>
      </x:c>
      <x:c r="AG80" s="28" t="str">
        <x:v>https://map.kakao.com/link/roadview/37.3894543,126.9257042</x:v>
      </x:c>
      <x:c r="AH80" s="28" t="str">
        <x:v>asset_level_inherited_not_endpoint_verified</x:v>
      </x:c>
    </x:row>
    <x:row r="81" ht="22" customHeight="1">
      <x:c r="A81" s="28" t="str">
        <x:v>CW38-A</x:v>
      </x:c>
      <x:c r="B81" s="28" t="str">
        <x:v>CW38</x:v>
      </x:c>
      <x:c r="C81" s="28" t="str">
        <x:v>2025085007</x:v>
      </x:c>
      <x:c r="D81" s="28" t="str">
        <x:v>A</x:v>
      </x:c>
      <x:c r="E81" s="48" t="n">
        <x:v>37.389248330727646</x:v>
      </x:c>
      <x:c r="F81" s="48" t="n">
        <x:v>126.92520180052233</x:v>
      </x:c>
      <x:c r="G81" s="28" t="str">
        <x:v>public_explicit_present</x:v>
      </x:c>
      <x:c r="H81" s="28" t="str">
        <x:v>있음</x:v>
      </x:c>
      <x:c r="I81" s="28" t="str">
        <x:v>있음</x:v>
      </x:c>
      <x:c r="J81" s="28" t="str">
        <x:v>provisional_high</x:v>
      </x:c>
      <x:c r="K81" s="30" t="n">
        <x:v>3.15</x:v>
      </x:c>
      <x:c r="L81" s="28" t="str">
        <x:v>Y</x:v>
      </x:c>
      <x:c r="M81" s="33" t="str">
        <x:f>IF(S81="","pending_1st_review",IF(L81="Y",IF(Z81="","pending_2nd_review",IF(S81=Z81,"reviewed_agree",IF(AB81="","needs_adjudication","adjudicated"))),"reviewed_once"))</x:f>
        <x:v>pending_1st_review</x:v>
      </x:c>
      <x:c r="N81" s="46" t="str"/>
      <x:c r="O81" s="53" t="str"/>
      <x:c r="P81" s="46" t="str"/>
      <x:c r="Q81" s="46" t="str"/>
      <x:c r="R81" s="46" t="str"/>
      <x:c r="S81" s="46" t="str"/>
      <x:c r="T81" s="46" t="str"/>
      <x:c r="U81" s="46" t="str"/>
      <x:c r="V81" s="53" t="str"/>
      <x:c r="W81" s="46" t="str"/>
      <x:c r="X81" s="46" t="str"/>
      <x:c r="Y81" s="46" t="str"/>
      <x:c r="Z81" s="46" t="str"/>
      <x:c r="AA81" s="46" t="str"/>
      <x:c r="AB81" s="46" t="str"/>
      <x:c r="AC81" s="46" t="str">
        <x:v>likely_accessible_candidate</x:v>
      </x:c>
      <x:c r="AD81" s="51" t="n">
        <x:v>0.82</x:v>
      </x:c>
      <x:c r="AE81" s="46" t="str"/>
      <x:c r="AF81" s="53" t="str">
        <x:v>2025-11-17 13:10:10</x:v>
      </x:c>
      <x:c r="AG81" s="28" t="str">
        <x:v>https://map.kakao.com/link/roadview/37.3892483,126.9252018</x:v>
      </x:c>
      <x:c r="AH81" s="28" t="str">
        <x:v>asset_level_inherited_not_endpoint_verified</x:v>
      </x:c>
    </x:row>
    <x:row r="82" ht="22" customHeight="1">
      <x:c r="A82" s="28" t="str">
        <x:v>CW38-B</x:v>
      </x:c>
      <x:c r="B82" s="28" t="str">
        <x:v>CW38</x:v>
      </x:c>
      <x:c r="C82" s="28" t="str">
        <x:v>2025085007</x:v>
      </x:c>
      <x:c r="D82" s="28" t="str">
        <x:v>B</x:v>
      </x:c>
      <x:c r="E82" s="48" t="n">
        <x:v>37.38930162927237</x:v>
      </x:c>
      <x:c r="F82" s="48" t="n">
        <x:v>126.9251377994777</x:v>
      </x:c>
      <x:c r="G82" s="28" t="str">
        <x:v>public_explicit_present</x:v>
      </x:c>
      <x:c r="H82" s="28" t="str">
        <x:v>있음</x:v>
      </x:c>
      <x:c r="I82" s="28" t="str">
        <x:v>있음</x:v>
      </x:c>
      <x:c r="J82" s="28" t="str">
        <x:v>provisional_high</x:v>
      </x:c>
      <x:c r="K82" s="30" t="n">
        <x:v>3.15</x:v>
      </x:c>
      <x:c r="L82" s="28" t="str">
        <x:v>Y</x:v>
      </x:c>
      <x:c r="M82" s="33" t="str">
        <x:f>IF(S82="","pending_1st_review",IF(L82="Y",IF(Z82="","pending_2nd_review",IF(S82=Z82,"reviewed_agree",IF(AB82="","needs_adjudication","adjudicated"))),"reviewed_once"))</x:f>
        <x:v>pending_1st_review</x:v>
      </x:c>
      <x:c r="N82" s="46" t="str"/>
      <x:c r="O82" s="53" t="str"/>
      <x:c r="P82" s="46" t="str"/>
      <x:c r="Q82" s="46" t="str"/>
      <x:c r="R82" s="46" t="str"/>
      <x:c r="S82" s="46" t="str"/>
      <x:c r="T82" s="46" t="str"/>
      <x:c r="U82" s="46" t="str"/>
      <x:c r="V82" s="53" t="str"/>
      <x:c r="W82" s="46" t="str"/>
      <x:c r="X82" s="46" t="str"/>
      <x:c r="Y82" s="46" t="str"/>
      <x:c r="Z82" s="46" t="str"/>
      <x:c r="AA82" s="46" t="str"/>
      <x:c r="AB82" s="46" t="str"/>
      <x:c r="AC82" s="46" t="str">
        <x:v>likely_accessible_candidate</x:v>
      </x:c>
      <x:c r="AD82" s="51" t="n">
        <x:v>0.82</x:v>
      </x:c>
      <x:c r="AE82" s="46" t="str"/>
      <x:c r="AF82" s="53" t="str">
        <x:v>2025-11-17 13:10:10</x:v>
      </x:c>
      <x:c r="AG82" s="28" t="str">
        <x:v>https://map.kakao.com/link/roadview/37.3893016,126.9251378</x:v>
      </x:c>
      <x:c r="AH82" s="28" t="str">
        <x:v>asset_level_inherited_not_endpoint_verified</x:v>
      </x:c>
    </x:row>
    <x:row r="83" ht="22" customHeight="1">
      <x:c r="A83" s="28" t="str">
        <x:v>CW39-A</x:v>
      </x:c>
      <x:c r="B83" s="28" t="str">
        <x:v>CW39</x:v>
      </x:c>
      <x:c r="C83" s="28" t="str">
        <x:v>2025085006</x:v>
      </x:c>
      <x:c r="D83" s="28" t="str">
        <x:v>A</x:v>
      </x:c>
      <x:c r="E83" s="48" t="n">
        <x:v>37.38924455741109</x:v>
      </x:c>
      <x:c r="F83" s="48" t="n">
        <x:v>126.92509509723544</x:v>
      </x:c>
      <x:c r="G83" s="28" t="str">
        <x:v>public_explicit_present</x:v>
      </x:c>
      <x:c r="H83" s="28" t="str">
        <x:v>있음</x:v>
      </x:c>
      <x:c r="I83" s="28" t="str">
        <x:v>있음</x:v>
      </x:c>
      <x:c r="J83" s="28" t="str">
        <x:v>provisional_high</x:v>
      </x:c>
      <x:c r="K83" s="30" t="n">
        <x:v>9.52</x:v>
      </x:c>
      <x:c r="L83" s="28" t="str">
        <x:v>N</x:v>
      </x:c>
      <x:c r="M83" s="33" t="str">
        <x:f>IF(S83="","pending_1st_review",IF(L83="Y",IF(Z83="","pending_2nd_review",IF(S83=Z83,"reviewed_agree",IF(AB83="","needs_adjudication","adjudicated"))),"reviewed_once"))</x:f>
        <x:v>pending_1st_review</x:v>
      </x:c>
      <x:c r="N83" s="46" t="str"/>
      <x:c r="O83" s="53" t="str"/>
      <x:c r="P83" s="46" t="str"/>
      <x:c r="Q83" s="46" t="str"/>
      <x:c r="R83" s="46" t="str"/>
      <x:c r="S83" s="46" t="str"/>
      <x:c r="T83" s="46" t="str"/>
      <x:c r="U83" s="46" t="str"/>
      <x:c r="V83" s="53" t="str"/>
      <x:c r="W83" s="46" t="str"/>
      <x:c r="X83" s="46" t="str"/>
      <x:c r="Y83" s="46" t="str"/>
      <x:c r="Z83" s="46" t="str"/>
      <x:c r="AA83" s="46" t="str"/>
      <x:c r="AB83" s="46" t="str"/>
      <x:c r="AC83" s="46" t="str">
        <x:v>geometry_mismatch_candidate</x:v>
      </x:c>
      <x:c r="AD83" s="51" t="n">
        <x:v>0.58</x:v>
      </x:c>
      <x:c r="AE83" s="46" t="str"/>
      <x:c r="AF83" s="53" t="str">
        <x:v>2025-11-17 13:10:11</x:v>
      </x:c>
      <x:c r="AG83" s="28" t="str">
        <x:v>https://map.kakao.com/link/roadview/37.3892446,126.9250951</x:v>
      </x:c>
      <x:c r="AH83" s="28" t="str">
        <x:v>asset_level_inherited_not_endpoint_verified</x:v>
      </x:c>
    </x:row>
    <x:row r="84" ht="22" customHeight="1">
      <x:c r="A84" s="28" t="str">
        <x:v>CW39-B</x:v>
      </x:c>
      <x:c r="B84" s="28" t="str">
        <x:v>CW39</x:v>
      </x:c>
      <x:c r="C84" s="28" t="str">
        <x:v>2025085006</x:v>
      </x:c>
      <x:c r="D84" s="28" t="str">
        <x:v>B</x:v>
      </x:c>
      <x:c r="E84" s="48" t="n">
        <x:v>37.38929968258892</x:v>
      </x:c>
      <x:c r="F84" s="48" t="n">
        <x:v>126.92502890276454</x:v>
      </x:c>
      <x:c r="G84" s="28" t="str">
        <x:v>public_explicit_present</x:v>
      </x:c>
      <x:c r="H84" s="28" t="str">
        <x:v>있음</x:v>
      </x:c>
      <x:c r="I84" s="28" t="str">
        <x:v>있음</x:v>
      </x:c>
      <x:c r="J84" s="28" t="str">
        <x:v>provisional_high</x:v>
      </x:c>
      <x:c r="K84" s="30" t="n">
        <x:v>9.52</x:v>
      </x:c>
      <x:c r="L84" s="28" t="str">
        <x:v>N</x:v>
      </x:c>
      <x:c r="M84" s="33" t="str">
        <x:f>IF(S84="","pending_1st_review",IF(L84="Y",IF(Z84="","pending_2nd_review",IF(S84=Z84,"reviewed_agree",IF(AB84="","needs_adjudication","adjudicated"))),"reviewed_once"))</x:f>
        <x:v>pending_1st_review</x:v>
      </x:c>
      <x:c r="N84" s="46" t="str"/>
      <x:c r="O84" s="53" t="str"/>
      <x:c r="P84" s="46" t="str"/>
      <x:c r="Q84" s="46" t="str"/>
      <x:c r="R84" s="46" t="str"/>
      <x:c r="S84" s="46" t="str"/>
      <x:c r="T84" s="46" t="str"/>
      <x:c r="U84" s="46" t="str"/>
      <x:c r="V84" s="53" t="str"/>
      <x:c r="W84" s="46" t="str"/>
      <x:c r="X84" s="46" t="str"/>
      <x:c r="Y84" s="46" t="str"/>
      <x:c r="Z84" s="46" t="str"/>
      <x:c r="AA84" s="46" t="str"/>
      <x:c r="AB84" s="46" t="str"/>
      <x:c r="AC84" s="46" t="str">
        <x:v>geometry_mismatch_candidate</x:v>
      </x:c>
      <x:c r="AD84" s="51" t="n">
        <x:v>0.58</x:v>
      </x:c>
      <x:c r="AE84" s="46" t="str"/>
      <x:c r="AF84" s="53" t="str">
        <x:v>2025-11-17 13:10:11</x:v>
      </x:c>
      <x:c r="AG84" s="28" t="str">
        <x:v>https://map.kakao.com/link/roadview/37.3892997,126.9250289</x:v>
      </x:c>
      <x:c r="AH84" s="28" t="str">
        <x:v>asset_level_inherited_not_endpoint_verified</x:v>
      </x:c>
    </x:row>
    <x:row r="85" ht="22" customHeight="1">
      <x:c r="A85" s="28" t="str">
        <x:v>CW40-A</x:v>
      </x:c>
      <x:c r="B85" s="28" t="str">
        <x:v>CW40</x:v>
      </x:c>
      <x:c r="C85" s="28" t="str">
        <x:v>2025085008</x:v>
      </x:c>
      <x:c r="D85" s="28" t="str">
        <x:v>A</x:v>
      </x:c>
      <x:c r="E85" s="48" t="n">
        <x:v>37.38914772596454</x:v>
      </x:c>
      <x:c r="F85" s="48" t="n">
        <x:v>126.92506392218567</x:v>
      </x:c>
      <x:c r="G85" s="28" t="str">
        <x:v>public_explicit_present</x:v>
      </x:c>
      <x:c r="H85" s="28" t="str">
        <x:v>있음</x:v>
      </x:c>
      <x:c r="I85" s="28" t="str">
        <x:v>있음</x:v>
      </x:c>
      <x:c r="J85" s="28" t="str">
        <x:v>provisional_high</x:v>
      </x:c>
      <x:c r="K85" s="30" t="n">
        <x:v>3.56</x:v>
      </x:c>
      <x:c r="L85" s="28" t="str">
        <x:v>N</x:v>
      </x:c>
      <x:c r="M85" s="33" t="str">
        <x:f>IF(S85="","pending_1st_review",IF(L85="Y",IF(Z85="","pending_2nd_review",IF(S85=Z85,"reviewed_agree",IF(AB85="","needs_adjudication","adjudicated"))),"reviewed_once"))</x:f>
        <x:v>pending_1st_review</x:v>
      </x:c>
      <x:c r="N85" s="46" t="str"/>
      <x:c r="O85" s="53" t="str"/>
      <x:c r="P85" s="46" t="str"/>
      <x:c r="Q85" s="46" t="str"/>
      <x:c r="R85" s="46" t="str"/>
      <x:c r="S85" s="46" t="str"/>
      <x:c r="T85" s="46" t="str"/>
      <x:c r="U85" s="46" t="str"/>
      <x:c r="V85" s="53" t="str"/>
      <x:c r="W85" s="46" t="str"/>
      <x:c r="X85" s="46" t="str"/>
      <x:c r="Y85" s="46" t="str"/>
      <x:c r="Z85" s="46" t="str"/>
      <x:c r="AA85" s="46" t="str"/>
      <x:c r="AB85" s="46" t="str"/>
      <x:c r="AC85" s="46" t="str">
        <x:v>likely_accessible_candidate</x:v>
      </x:c>
      <x:c r="AD85" s="51" t="n">
        <x:v>0.82</x:v>
      </x:c>
      <x:c r="AE85" s="46" t="str"/>
      <x:c r="AF85" s="53" t="str">
        <x:v>2025-11-17 13:10:12</x:v>
      </x:c>
      <x:c r="AG85" s="28" t="str">
        <x:v>https://map.kakao.com/link/roadview/37.3891477,126.9250639</x:v>
      </x:c>
      <x:c r="AH85" s="28" t="str">
        <x:v>asset_level_inherited_not_endpoint_verified</x:v>
      </x:c>
    </x:row>
    <x:row r="86" ht="22" customHeight="1">
      <x:c r="A86" s="28" t="str">
        <x:v>CW40-B</x:v>
      </x:c>
      <x:c r="B86" s="28" t="str">
        <x:v>CW40</x:v>
      </x:c>
      <x:c r="C86" s="28" t="str">
        <x:v>2025085008</x:v>
      </x:c>
      <x:c r="D86" s="28" t="str">
        <x:v>B</x:v>
      </x:c>
      <x:c r="E86" s="48" t="n">
        <x:v>37.38920089403547</x:v>
      </x:c>
      <x:c r="F86" s="48" t="n">
        <x:v>126.92500007781435</x:v>
      </x:c>
      <x:c r="G86" s="28" t="str">
        <x:v>public_explicit_present</x:v>
      </x:c>
      <x:c r="H86" s="28" t="str">
        <x:v>있음</x:v>
      </x:c>
      <x:c r="I86" s="28" t="str">
        <x:v>있음</x:v>
      </x:c>
      <x:c r="J86" s="28" t="str">
        <x:v>provisional_high</x:v>
      </x:c>
      <x:c r="K86" s="30" t="n">
        <x:v>3.56</x:v>
      </x:c>
      <x:c r="L86" s="28" t="str">
        <x:v>N</x:v>
      </x:c>
      <x:c r="M86" s="33" t="str">
        <x:f>IF(S86="","pending_1st_review",IF(L86="Y",IF(Z86="","pending_2nd_review",IF(S86=Z86,"reviewed_agree",IF(AB86="","needs_adjudication","adjudicated"))),"reviewed_once"))</x:f>
        <x:v>pending_1st_review</x:v>
      </x:c>
      <x:c r="N86" s="46" t="str"/>
      <x:c r="O86" s="53" t="str"/>
      <x:c r="P86" s="46" t="str"/>
      <x:c r="Q86" s="46" t="str"/>
      <x:c r="R86" s="46" t="str"/>
      <x:c r="S86" s="46" t="str"/>
      <x:c r="T86" s="46" t="str"/>
      <x:c r="U86" s="46" t="str"/>
      <x:c r="V86" s="53" t="str"/>
      <x:c r="W86" s="46" t="str"/>
      <x:c r="X86" s="46" t="str"/>
      <x:c r="Y86" s="46" t="str"/>
      <x:c r="Z86" s="46" t="str"/>
      <x:c r="AA86" s="46" t="str"/>
      <x:c r="AB86" s="46" t="str"/>
      <x:c r="AC86" s="46" t="str">
        <x:v>geometry_mismatch_candidate</x:v>
      </x:c>
      <x:c r="AD86" s="51" t="n">
        <x:v>0.58</x:v>
      </x:c>
      <x:c r="AE86" s="46" t="str"/>
      <x:c r="AF86" s="53" t="str">
        <x:v>2025-11-17 13:10:12</x:v>
      </x:c>
      <x:c r="AG86" s="28" t="str">
        <x:v>https://map.kakao.com/link/roadview/37.3892009,126.9250001</x:v>
      </x:c>
      <x:c r="AH86" s="28" t="str">
        <x:v>asset_level_inherited_not_endpoint_verified</x:v>
      </x:c>
    </x:row>
  </x:sheetData>
  <x:conditionalFormatting sqref="M7:M86">
    <x:cfRule type="containsText" dxfId="12" priority="1" operator="containsText" text="pending"/>
    <x:cfRule type="containsText" dxfId="13" priority="2" operator="containsText" text="needs"/>
    <x:cfRule type="containsText" dxfId="14" priority="3" operator="containsText" text="reviewed"/>
  </x:conditionalFormatting>
  <x:conditionalFormatting sqref="G7:G86">
    <x:cfRule type="containsText" dxfId="15" priority="4" operator="containsText" text="risk"/>
    <x:cfRule type="containsText" dxfId="16" priority="5" operator="containsText" text="unknown"/>
  </x:conditionalFormatting>
  <x:conditionalFormatting sqref="S7:S86">
    <x:cfRule type="containsText" dxfId="17" priority="6" operator="containsText" text="block"/>
  </x:conditionalFormatting>
  <x:conditionalFormatting sqref="Z7:Z86">
    <x:cfRule type="containsText" dxfId="18" priority="7" operator="containsText" text="block"/>
  </x:conditionalFormatting>
  <x:dataValidations count="9">
    <x:dataValidation type="list" sqref="P7:Q86">
      <x:formula1>"있음,없음,판독불가"</x:formula1>
    </x:dataValidation>
    <x:dataValidation type="list" sqref="W7:X86">
      <x:formula1>"있음,없음,판독불가"</x:formula1>
    </x:dataValidation>
    <x:dataValidation type="list" sqref="R7:R86">
      <x:formula1>"없음,차량,적치물,공사,경사,단차,기타,판독불가"</x:formula1>
    </x:dataValidation>
    <x:dataValidation type="list" sqref="Y7:Y86">
      <x:formula1>"없음,차량,적치물,공사,경사,단차,기타,판독불가"</x:formula1>
    </x:dataValidation>
    <x:dataValidation type="list" sqref="S7:S86">
      <x:formula1>"pass,block,unknown"</x:formula1>
    </x:dataValidation>
    <x:dataValidation type="list" sqref="Z7:Z86">
      <x:formula1>"pass,block,unknown"</x:formula1>
    </x:dataValidation>
    <x:dataValidation type="list" sqref="AB7:AB86">
      <x:formula1>"pass,block,unknown"</x:formula1>
    </x:dataValidation>
    <x:dataValidation type="list" sqref="AC7:AC86">
      <x:formula1>"curb_missing,tactile_missing,slope,obstacle,surface_damage,other,none"</x:formula1>
    </x:dataValidation>
    <x:dataValidation type="list" sqref="AE7:AE86">
      <x:formula1>"Y,N"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8" hidden="0" customWidth="1"/>
    <x:col min="2" max="2" width="7" hidden="0" customWidth="1"/>
    <x:col min="3" max="3" width="30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3" hidden="0" customWidth="1"/>
    <x:col min="10" max="10" width="14" hidden="0" customWidth="1"/>
    <x:col min="11" max="11" width="13" hidden="0" customWidth="1"/>
    <x:col min="12" max="12" width="16" hidden="0" customWidth="1"/>
    <x:col min="13" max="13" width="16" hidden="0" customWidth="1"/>
    <x:col min="14" max="14" width="16" hidden="0" customWidth="1"/>
    <x:col min="15" max="15" width="32" hidden="0" customWidth="1"/>
    <x:col min="16" max="16" width="45" hidden="0" customWidth="1"/>
    <x:col min="17" max="17" width="15" hidden="0" customWidth="1"/>
    <x:col min="18" max="18" width="15" hidden="0" customWidth="1"/>
  </x:cols>
  <x:sheetData>
    <x:row r="1">
      <x:c r="A1" s="39"/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</x:row>
    <x:row r="2" ht="22" customHeight="1">
      <x:c r="A2" s="1" t="str">
        <x:v>동일 OD 10쌍 A/B/C 경로 비교</x:v>
      </x:c>
    </x:row>
    <x:row r="3" ht="22" customHeight="1">
      <x:c r="A3" s="2" t="str">
        <x:v>A=거리기준 · B=공공 위험 차단+공란 대체엣지 1.15배 · C=B+사람 승인 AI 후보(현재 0건)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5">
      <x:c r="A5" s="2" t="str">
        <x:v>현재 C가 B와 같은 것은 AI 효과가 없다는 결론이 아니라, 미승인 후보가 경로를 바꾸지 못하게 한 운영 규칙의 기준선입니다.</x:v>
      </x:c>
    </x:row>
    <x:row r="6" ht="30" customHeight="1">
      <x:c r="A6" s="12" t="str">
        <x:v>OD</x:v>
      </x:c>
      <x:c r="B6" s="34" t="str">
        <x:v>모드</x:v>
      </x:c>
      <x:c r="C6" s="34" t="str">
        <x:v>출발</x:v>
      </x:c>
      <x:c r="D6" s="34" t="str">
        <x:v>도착</x:v>
      </x:c>
      <x:c r="E6" s="34" t="str">
        <x:v>직선거리(m)</x:v>
      </x:c>
      <x:c r="F6" s="34" t="str">
        <x:v>경로거리(m)</x:v>
      </x:c>
      <x:c r="G6" s="34" t="str">
        <x:v>가중비용(m)</x:v>
      </x:c>
      <x:c r="H6" s="34" t="str">
        <x:v>거리증분(m)</x:v>
      </x:c>
      <x:c r="I6" s="34" t="str">
        <x:v>거리증분(%)</x:v>
      </x:c>
      <x:c r="J6" s="34" t="str">
        <x:v>비용증분(m)</x:v>
      </x:c>
      <x:c r="K6" s="34" t="str">
        <x:v>A와 경로변경</x:v>
      </x:c>
      <x:c r="L6" s="34" t="str">
        <x:v>공란 대체엣지 사용</x:v>
      </x:c>
      <x:c r="M6" s="34" t="str">
        <x:v>공공 차단엣지 사용</x:v>
      </x:c>
      <x:c r="N6" s="34" t="str">
        <x:v>승인 AI 차단엣지</x:v>
      </x:c>
      <x:c r="O6" s="34" t="str">
        <x:v>근거 상태</x:v>
      </x:c>
      <x:c r="P6" s="34" t="str">
        <x:v>해석</x:v>
      </x:c>
      <x:c r="Q6" s="34" t="str">
        <x:v>출발 노드</x:v>
      </x:c>
      <x:c r="R6" s="13" t="str">
        <x:v>도착 노드</x:v>
      </x:c>
    </x:row>
    <x:row r="7" ht="22" customHeight="1">
      <x:c r="A7" s="26" t="str">
        <x:v>OD01</x:v>
      </x:c>
      <x:c r="B7" s="26" t="str">
        <x:v>A</x:v>
      </x:c>
      <x:c r="C7" s="26" t="str">
        <x:v>북부 서측 표본(CW04)</x:v>
      </x:c>
      <x:c r="D7" s="26" t="str">
        <x:v>중북부 동측 표본(CW20)</x:v>
      </x:c>
      <x:c r="E7" s="54" t="n">
        <x:v>928</x:v>
      </x:c>
      <x:c r="F7" s="54" t="n">
        <x:v>1109.1</x:v>
      </x:c>
      <x:c r="G7" s="54" t="n">
        <x:v>1109.1</x:v>
      </x:c>
      <x:c r="H7" s="54" t="n">
        <x:v>0</x:v>
      </x:c>
      <x:c r="I7" s="38" t="n">
        <x:v>0</x:v>
      </x:c>
      <x:c r="J7" s="54" t="n">
        <x:v>0</x:v>
      </x:c>
      <x:c r="K7" s="26" t="str">
        <x:v>N</x:v>
      </x:c>
      <x:c r="L7" s="26" t="n">
        <x:v>4</x:v>
      </x:c>
      <x:c r="M7" s="26" t="n">
        <x:v>0</x:v>
      </x:c>
      <x:c r="N7" s="26" t="n">
        <x:v>0</x:v>
      </x:c>
      <x:c r="O7" s="26" t="str">
        <x:v>computed_baseline</x:v>
      </x:c>
      <x:c r="P7" s="26" t="str">
        <x:v>distance-only OSM centerline proxy</x:v>
      </x:c>
      <x:c r="Q7" s="26" t="str">
        <x:v>13168924058</x:v>
      </x:c>
      <x:c r="R7" s="26" t="str">
        <x:v>457320253</x:v>
      </x:c>
    </x:row>
    <x:row r="8" ht="22" customHeight="1">
      <x:c r="A8" s="28" t="str">
        <x:v>OD01</x:v>
      </x:c>
      <x:c r="B8" s="28" t="str">
        <x:v>B</x:v>
      </x:c>
      <x:c r="C8" s="28" t="str">
        <x:v>북부 서측 표본(CW04)</x:v>
      </x:c>
      <x:c r="D8" s="28" t="str">
        <x:v>중북부 동측 표본(CW20)</x:v>
      </x:c>
      <x:c r="E8" s="55" t="n">
        <x:v>928</x:v>
      </x:c>
      <x:c r="F8" s="55" t="n">
        <x:v>1115.8</x:v>
      </x:c>
      <x:c r="G8" s="55" t="n">
        <x:v>1127.4</x:v>
      </x:c>
      <x:c r="H8" s="55" t="n">
        <x:v>6.7</x:v>
      </x:c>
      <x:c r="I8" s="31" t="n">
        <x:v>0.6</x:v>
      </x:c>
      <x:c r="J8" s="55" t="n">
        <x:v>18.3</x:v>
      </x:c>
      <x:c r="K8" s="28" t="str">
        <x:v>Y</x:v>
      </x:c>
      <x:c r="L8" s="28" t="n">
        <x:v>2</x:v>
      </x:c>
      <x:c r="M8" s="28" t="n">
        <x:v>0</x:v>
      </x:c>
      <x:c r="N8" s="28" t="n">
        <x:v>0</x:v>
      </x:c>
      <x:c r="O8" s="28" t="str">
        <x:v>computed_baseline</x:v>
      </x:c>
      <x:c r="P8" s="28" t="str">
        <x:v>public risk blocked; unknown proxy edges x1.15</x:v>
      </x:c>
      <x:c r="Q8" s="28" t="str">
        <x:v>13168924058</x:v>
      </x:c>
      <x:c r="R8" s="28" t="str">
        <x:v>457320253</x:v>
      </x:c>
    </x:row>
    <x:row r="9" ht="22" customHeight="1">
      <x:c r="A9" s="28" t="str">
        <x:v>OD01</x:v>
      </x:c>
      <x:c r="B9" s="28" t="str">
        <x:v>C</x:v>
      </x:c>
      <x:c r="C9" s="28" t="str">
        <x:v>북부 서측 표본(CW04)</x:v>
      </x:c>
      <x:c r="D9" s="28" t="str">
        <x:v>중북부 동측 표본(CW20)</x:v>
      </x:c>
      <x:c r="E9" s="55" t="n">
        <x:v>928</x:v>
      </x:c>
      <x:c r="F9" s="55" t="n">
        <x:v>1115.8</x:v>
      </x:c>
      <x:c r="G9" s="55" t="n">
        <x:v>1127.4</x:v>
      </x:c>
      <x:c r="H9" s="55" t="n">
        <x:v>6.7</x:v>
      </x:c>
      <x:c r="I9" s="31" t="n">
        <x:v>0.6</x:v>
      </x:c>
      <x:c r="J9" s="55" t="n">
        <x:v>18.3</x:v>
      </x:c>
      <x:c r="K9" s="28" t="str">
        <x:v>Y</x:v>
      </x:c>
      <x:c r="L9" s="28" t="n">
        <x:v>2</x:v>
      </x:c>
      <x:c r="M9" s="28" t="n">
        <x:v>0</x:v>
      </x:c>
      <x:c r="N9" s="28" t="n">
        <x:v>0</x:v>
      </x:c>
      <x:c r="O9" s="28" t="str">
        <x:v>baseline_no_approved_ai_candidates</x:v>
      </x:c>
      <x:c r="P9" s="28" t="str">
        <x:v>same as B because no AI candidate has human approval</x:v>
      </x:c>
      <x:c r="Q9" s="28" t="str">
        <x:v>13168924058</x:v>
      </x:c>
      <x:c r="R9" s="28" t="str">
        <x:v>457320253</x:v>
      </x:c>
    </x:row>
    <x:row r="10" ht="22" customHeight="1">
      <x:c r="A10" s="28" t="str">
        <x:v>OD02</x:v>
      </x:c>
      <x:c r="B10" s="28" t="str">
        <x:v>A</x:v>
      </x:c>
      <x:c r="C10" s="28" t="str">
        <x:v>안양청년1번가</x:v>
      </x:c>
      <x:c r="D10" s="28" t="str">
        <x:v>중북부 동측 표본(CW20)</x:v>
      </x:c>
      <x:c r="E10" s="55" t="n">
        <x:v>504.5</x:v>
      </x:c>
      <x:c r="F10" s="55" t="n">
        <x:v>652.8</x:v>
      </x:c>
      <x:c r="G10" s="55" t="n">
        <x:v>652.8</x:v>
      </x:c>
      <x:c r="H10" s="55" t="n">
        <x:v>0</x:v>
      </x:c>
      <x:c r="I10" s="31" t="n">
        <x:v>0</x:v>
      </x:c>
      <x:c r="J10" s="55" t="n">
        <x:v>0</x:v>
      </x:c>
      <x:c r="K10" s="28" t="str">
        <x:v>N</x:v>
      </x:c>
      <x:c r="L10" s="28" t="n">
        <x:v>3</x:v>
      </x:c>
      <x:c r="M10" s="28" t="n">
        <x:v>0</x:v>
      </x:c>
      <x:c r="N10" s="28" t="n">
        <x:v>0</x:v>
      </x:c>
      <x:c r="O10" s="28" t="str">
        <x:v>computed_baseline</x:v>
      </x:c>
      <x:c r="P10" s="28" t="str">
        <x:v>distance-only OSM centerline proxy</x:v>
      </x:c>
      <x:c r="Q10" s="28" t="str">
        <x:v>457319377</x:v>
      </x:c>
      <x:c r="R10" s="28" t="str">
        <x:v>457320253</x:v>
      </x:c>
    </x:row>
    <x:row r="11" ht="22" customHeight="1">
      <x:c r="A11" s="28" t="str">
        <x:v>OD02</x:v>
      </x:c>
      <x:c r="B11" s="28" t="str">
        <x:v>B</x:v>
      </x:c>
      <x:c r="C11" s="28" t="str">
        <x:v>안양청년1번가</x:v>
      </x:c>
      <x:c r="D11" s="28" t="str">
        <x:v>중북부 동측 표본(CW20)</x:v>
      </x:c>
      <x:c r="E11" s="55" t="n">
        <x:v>504.5</x:v>
      </x:c>
      <x:c r="F11" s="55" t="n">
        <x:v>656.2</x:v>
      </x:c>
      <x:c r="G11" s="55" t="n">
        <x:v>656.2</x:v>
      </x:c>
      <x:c r="H11" s="55" t="n">
        <x:v>3.4</x:v>
      </x:c>
      <x:c r="I11" s="31" t="n">
        <x:v>0.52</x:v>
      </x:c>
      <x:c r="J11" s="55" t="n">
        <x:v>3.4</x:v>
      </x:c>
      <x:c r="K11" s="28" t="str">
        <x:v>Y</x:v>
      </x:c>
      <x:c r="L11" s="28" t="n">
        <x:v>0</x:v>
      </x:c>
      <x:c r="M11" s="28" t="n">
        <x:v>0</x:v>
      </x:c>
      <x:c r="N11" s="28" t="n">
        <x:v>0</x:v>
      </x:c>
      <x:c r="O11" s="28" t="str">
        <x:v>computed_baseline</x:v>
      </x:c>
      <x:c r="P11" s="28" t="str">
        <x:v>public risk blocked; unknown proxy edges x1.15</x:v>
      </x:c>
      <x:c r="Q11" s="28" t="str">
        <x:v>457319377</x:v>
      </x:c>
      <x:c r="R11" s="28" t="str">
        <x:v>457320253</x:v>
      </x:c>
    </x:row>
    <x:row r="12" ht="22" customHeight="1">
      <x:c r="A12" s="28" t="str">
        <x:v>OD02</x:v>
      </x:c>
      <x:c r="B12" s="28" t="str">
        <x:v>C</x:v>
      </x:c>
      <x:c r="C12" s="28" t="str">
        <x:v>안양청년1번가</x:v>
      </x:c>
      <x:c r="D12" s="28" t="str">
        <x:v>중북부 동측 표본(CW20)</x:v>
      </x:c>
      <x:c r="E12" s="55" t="n">
        <x:v>504.5</x:v>
      </x:c>
      <x:c r="F12" s="55" t="n">
        <x:v>656.2</x:v>
      </x:c>
      <x:c r="G12" s="55" t="n">
        <x:v>656.2</x:v>
      </x:c>
      <x:c r="H12" s="55" t="n">
        <x:v>3.4</x:v>
      </x:c>
      <x:c r="I12" s="31" t="n">
        <x:v>0.52</x:v>
      </x:c>
      <x:c r="J12" s="55" t="n">
        <x:v>3.4</x:v>
      </x:c>
      <x:c r="K12" s="28" t="str">
        <x:v>Y</x:v>
      </x:c>
      <x:c r="L12" s="28" t="n">
        <x:v>0</x:v>
      </x:c>
      <x:c r="M12" s="28" t="n">
        <x:v>0</x:v>
      </x:c>
      <x:c r="N12" s="28" t="n">
        <x:v>0</x:v>
      </x:c>
      <x:c r="O12" s="28" t="str">
        <x:v>baseline_no_approved_ai_candidates</x:v>
      </x:c>
      <x:c r="P12" s="28" t="str">
        <x:v>same as B because no AI candidate has human approval</x:v>
      </x:c>
      <x:c r="Q12" s="28" t="str">
        <x:v>457319377</x:v>
      </x:c>
      <x:c r="R12" s="28" t="str">
        <x:v>457320253</x:v>
      </x:c>
    </x:row>
    <x:row r="13" ht="22" customHeight="1">
      <x:c r="A13" s="28" t="str">
        <x:v>OD03</x:v>
      </x:c>
      <x:c r="B13" s="28" t="str">
        <x:v>A</x:v>
      </x:c>
      <x:c r="C13" s="28" t="str">
        <x:v>중북부 서측 표본(CW13)</x:v>
      </x:c>
      <x:c r="D13" s="28" t="str">
        <x:v>중북부 동측 표본(CW20)</x:v>
      </x:c>
      <x:c r="E13" s="55" t="n">
        <x:v>769.7</x:v>
      </x:c>
      <x:c r="F13" s="55" t="n">
        <x:v>945.3</x:v>
      </x:c>
      <x:c r="G13" s="55" t="n">
        <x:v>945.3</x:v>
      </x:c>
      <x:c r="H13" s="55" t="n">
        <x:v>0</x:v>
      </x:c>
      <x:c r="I13" s="31" t="n">
        <x:v>0</x:v>
      </x:c>
      <x:c r="J13" s="55" t="n">
        <x:v>0</x:v>
      </x:c>
      <x:c r="K13" s="28" t="str">
        <x:v>N</x:v>
      </x:c>
      <x:c r="L13" s="28" t="n">
        <x:v>4</x:v>
      </x:c>
      <x:c r="M13" s="28" t="n">
        <x:v>0</x:v>
      </x:c>
      <x:c r="N13" s="28" t="n">
        <x:v>0</x:v>
      </x:c>
      <x:c r="O13" s="28" t="str">
        <x:v>computed_baseline</x:v>
      </x:c>
      <x:c r="P13" s="28" t="str">
        <x:v>distance-only OSM centerline proxy</x:v>
      </x:c>
      <x:c r="Q13" s="28" t="str">
        <x:v>7895488095</x:v>
      </x:c>
      <x:c r="R13" s="28" t="str">
        <x:v>457320253</x:v>
      </x:c>
    </x:row>
    <x:row r="14" ht="22" customHeight="1">
      <x:c r="A14" s="28" t="str">
        <x:v>OD03</x:v>
      </x:c>
      <x:c r="B14" s="28" t="str">
        <x:v>B</x:v>
      </x:c>
      <x:c r="C14" s="28" t="str">
        <x:v>중북부 서측 표본(CW13)</x:v>
      </x:c>
      <x:c r="D14" s="28" t="str">
        <x:v>중북부 동측 표본(CW20)</x:v>
      </x:c>
      <x:c r="E14" s="55" t="n">
        <x:v>769.7</x:v>
      </x:c>
      <x:c r="F14" s="55" t="n">
        <x:v>948.7</x:v>
      </x:c>
      <x:c r="G14" s="55" t="n">
        <x:v>949.9</x:v>
      </x:c>
      <x:c r="H14" s="55" t="n">
        <x:v>3.4</x:v>
      </x:c>
      <x:c r="I14" s="31" t="n">
        <x:v>0.36</x:v>
      </x:c>
      <x:c r="J14" s="55" t="n">
        <x:v>4.5</x:v>
      </x:c>
      <x:c r="K14" s="28" t="str">
        <x:v>Y</x:v>
      </x:c>
      <x:c r="L14" s="28" t="n">
        <x:v>1</x:v>
      </x:c>
      <x:c r="M14" s="28" t="n">
        <x:v>0</x:v>
      </x:c>
      <x:c r="N14" s="28" t="n">
        <x:v>0</x:v>
      </x:c>
      <x:c r="O14" s="28" t="str">
        <x:v>computed_baseline</x:v>
      </x:c>
      <x:c r="P14" s="28" t="str">
        <x:v>public risk blocked; unknown proxy edges x1.15</x:v>
      </x:c>
      <x:c r="Q14" s="28" t="str">
        <x:v>7895488095</x:v>
      </x:c>
      <x:c r="R14" s="28" t="str">
        <x:v>457320253</x:v>
      </x:c>
    </x:row>
    <x:row r="15" ht="22" customHeight="1">
      <x:c r="A15" s="28" t="str">
        <x:v>OD03</x:v>
      </x:c>
      <x:c r="B15" s="28" t="str">
        <x:v>C</x:v>
      </x:c>
      <x:c r="C15" s="28" t="str">
        <x:v>중북부 서측 표본(CW13)</x:v>
      </x:c>
      <x:c r="D15" s="28" t="str">
        <x:v>중북부 동측 표본(CW20)</x:v>
      </x:c>
      <x:c r="E15" s="55" t="n">
        <x:v>769.7</x:v>
      </x:c>
      <x:c r="F15" s="55" t="n">
        <x:v>948.7</x:v>
      </x:c>
      <x:c r="G15" s="55" t="n">
        <x:v>949.9</x:v>
      </x:c>
      <x:c r="H15" s="55" t="n">
        <x:v>3.4</x:v>
      </x:c>
      <x:c r="I15" s="31" t="n">
        <x:v>0.36</x:v>
      </x:c>
      <x:c r="J15" s="55" t="n">
        <x:v>4.5</x:v>
      </x:c>
      <x:c r="K15" s="28" t="str">
        <x:v>Y</x:v>
      </x:c>
      <x:c r="L15" s="28" t="n">
        <x:v>1</x:v>
      </x:c>
      <x:c r="M15" s="28" t="n">
        <x:v>0</x:v>
      </x:c>
      <x:c r="N15" s="28" t="n">
        <x:v>0</x:v>
      </x:c>
      <x:c r="O15" s="28" t="str">
        <x:v>baseline_no_approved_ai_candidates</x:v>
      </x:c>
      <x:c r="P15" s="28" t="str">
        <x:v>same as B because no AI candidate has human approval</x:v>
      </x:c>
      <x:c r="Q15" s="28" t="str">
        <x:v>7895488095</x:v>
      </x:c>
      <x:c r="R15" s="28" t="str">
        <x:v>457320253</x:v>
      </x:c>
    </x:row>
    <x:row r="16" ht="22" customHeight="1">
      <x:c r="A16" s="28" t="str">
        <x:v>OD04</x:v>
      </x:c>
      <x:c r="B16" s="28" t="str">
        <x:v>A</x:v>
      </x:c>
      <x:c r="C16" s="28" t="str">
        <x:v>북부 동측 표본(CW10)</x:v>
      </x:c>
      <x:c r="D16" s="28" t="str">
        <x:v>중북부 동측 표본(CW20)</x:v>
      </x:c>
      <x:c r="E16" s="55" t="n">
        <x:v>766.9</x:v>
      </x:c>
      <x:c r="F16" s="55" t="n">
        <x:v>1068.7</x:v>
      </x:c>
      <x:c r="G16" s="55" t="n">
        <x:v>1068.7</x:v>
      </x:c>
      <x:c r="H16" s="55" t="n">
        <x:v>0</x:v>
      </x:c>
      <x:c r="I16" s="31" t="n">
        <x:v>0</x:v>
      </x:c>
      <x:c r="J16" s="55" t="n">
        <x:v>0</x:v>
      </x:c>
      <x:c r="K16" s="28" t="str">
        <x:v>N</x:v>
      </x:c>
      <x:c r="L16" s="28" t="n">
        <x:v>4</x:v>
      </x:c>
      <x:c r="M16" s="28" t="n">
        <x:v>0</x:v>
      </x:c>
      <x:c r="N16" s="28" t="n">
        <x:v>0</x:v>
      </x:c>
      <x:c r="O16" s="28" t="str">
        <x:v>computed_baseline</x:v>
      </x:c>
      <x:c r="P16" s="28" t="str">
        <x:v>distance-only OSM centerline proxy</x:v>
      </x:c>
      <x:c r="Q16" s="28" t="str">
        <x:v>4641716962</x:v>
      </x:c>
      <x:c r="R16" s="28" t="str">
        <x:v>457320253</x:v>
      </x:c>
    </x:row>
    <x:row r="17" ht="22" customHeight="1">
      <x:c r="A17" s="28" t="str">
        <x:v>OD04</x:v>
      </x:c>
      <x:c r="B17" s="28" t="str">
        <x:v>B</x:v>
      </x:c>
      <x:c r="C17" s="28" t="str">
        <x:v>북부 동측 표본(CW10)</x:v>
      </x:c>
      <x:c r="D17" s="28" t="str">
        <x:v>중북부 동측 표본(CW20)</x:v>
      </x:c>
      <x:c r="E17" s="55" t="n">
        <x:v>766.9</x:v>
      </x:c>
      <x:c r="F17" s="55" t="n">
        <x:v>1072.1</x:v>
      </x:c>
      <x:c r="G17" s="55" t="n">
        <x:v>1073.7</x:v>
      </x:c>
      <x:c r="H17" s="55" t="n">
        <x:v>3.4</x:v>
      </x:c>
      <x:c r="I17" s="31" t="n">
        <x:v>0.32</x:v>
      </x:c>
      <x:c r="J17" s="55" t="n">
        <x:v>5</x:v>
      </x:c>
      <x:c r="K17" s="28" t="str">
        <x:v>Y</x:v>
      </x:c>
      <x:c r="L17" s="28" t="n">
        <x:v>1</x:v>
      </x:c>
      <x:c r="M17" s="28" t="n">
        <x:v>0</x:v>
      </x:c>
      <x:c r="N17" s="28" t="n">
        <x:v>0</x:v>
      </x:c>
      <x:c r="O17" s="28" t="str">
        <x:v>computed_baseline</x:v>
      </x:c>
      <x:c r="P17" s="28" t="str">
        <x:v>public risk blocked; unknown proxy edges x1.15</x:v>
      </x:c>
      <x:c r="Q17" s="28" t="str">
        <x:v>4641716962</x:v>
      </x:c>
      <x:c r="R17" s="28" t="str">
        <x:v>457320253</x:v>
      </x:c>
    </x:row>
    <x:row r="18" ht="22" customHeight="1">
      <x:c r="A18" s="28" t="str">
        <x:v>OD04</x:v>
      </x:c>
      <x:c r="B18" s="28" t="str">
        <x:v>C</x:v>
      </x:c>
      <x:c r="C18" s="28" t="str">
        <x:v>북부 동측 표본(CW10)</x:v>
      </x:c>
      <x:c r="D18" s="28" t="str">
        <x:v>중북부 동측 표본(CW20)</x:v>
      </x:c>
      <x:c r="E18" s="55" t="n">
        <x:v>766.9</x:v>
      </x:c>
      <x:c r="F18" s="55" t="n">
        <x:v>1072.1</x:v>
      </x:c>
      <x:c r="G18" s="55" t="n">
        <x:v>1073.7</x:v>
      </x:c>
      <x:c r="H18" s="55" t="n">
        <x:v>3.4</x:v>
      </x:c>
      <x:c r="I18" s="31" t="n">
        <x:v>0.32</x:v>
      </x:c>
      <x:c r="J18" s="55" t="n">
        <x:v>5</x:v>
      </x:c>
      <x:c r="K18" s="28" t="str">
        <x:v>Y</x:v>
      </x:c>
      <x:c r="L18" s="28" t="n">
        <x:v>1</x:v>
      </x:c>
      <x:c r="M18" s="28" t="n">
        <x:v>0</x:v>
      </x:c>
      <x:c r="N18" s="28" t="n">
        <x:v>0</x:v>
      </x:c>
      <x:c r="O18" s="28" t="str">
        <x:v>baseline_no_approved_ai_candidates</x:v>
      </x:c>
      <x:c r="P18" s="28" t="str">
        <x:v>same as B because no AI candidate has human approval</x:v>
      </x:c>
      <x:c r="Q18" s="28" t="str">
        <x:v>4641716962</x:v>
      </x:c>
      <x:c r="R18" s="28" t="str">
        <x:v>457320253</x:v>
      </x:c>
    </x:row>
    <x:row r="19" ht="22" customHeight="1">
      <x:c r="A19" s="28" t="str">
        <x:v>OD05</x:v>
      </x:c>
      <x:c r="B19" s="28" t="str">
        <x:v>A</x:v>
      </x:c>
      <x:c r="C19" s="28" t="str">
        <x:v>안양역</x:v>
      </x:c>
      <x:c r="D19" s="28" t="str">
        <x:v>중북부 동측 표본(CW20)</x:v>
      </x:c>
      <x:c r="E19" s="55" t="n">
        <x:v>894.4</x:v>
      </x:c>
      <x:c r="F19" s="55" t="n">
        <x:v>1217.4</x:v>
      </x:c>
      <x:c r="G19" s="55" t="n">
        <x:v>1217.4</x:v>
      </x:c>
      <x:c r="H19" s="55" t="n">
        <x:v>0</x:v>
      </x:c>
      <x:c r="I19" s="31" t="n">
        <x:v>0</x:v>
      </x:c>
      <x:c r="J19" s="55" t="n">
        <x:v>0</x:v>
      </x:c>
      <x:c r="K19" s="28" t="str">
        <x:v>N</x:v>
      </x:c>
      <x:c r="L19" s="28" t="n">
        <x:v>5</x:v>
      </x:c>
      <x:c r="M19" s="28" t="n">
        <x:v>0</x:v>
      </x:c>
      <x:c r="N19" s="28" t="n">
        <x:v>0</x:v>
      </x:c>
      <x:c r="O19" s="28" t="str">
        <x:v>computed_baseline</x:v>
      </x:c>
      <x:c r="P19" s="28" t="str">
        <x:v>distance-only OSM centerline proxy</x:v>
      </x:c>
      <x:c r="Q19" s="28" t="str">
        <x:v>8974707420</x:v>
      </x:c>
      <x:c r="R19" s="28" t="str">
        <x:v>457320253</x:v>
      </x:c>
    </x:row>
    <x:row r="20" ht="22" customHeight="1">
      <x:c r="A20" s="28" t="str">
        <x:v>OD05</x:v>
      </x:c>
      <x:c r="B20" s="28" t="str">
        <x:v>B</x:v>
      </x:c>
      <x:c r="C20" s="28" t="str">
        <x:v>안양역</x:v>
      </x:c>
      <x:c r="D20" s="28" t="str">
        <x:v>중북부 동측 표본(CW20)</x:v>
      </x:c>
      <x:c r="E20" s="55" t="n">
        <x:v>894.4</x:v>
      </x:c>
      <x:c r="F20" s="55" t="n">
        <x:v>1220.8</x:v>
      </x:c>
      <x:c r="G20" s="55" t="n">
        <x:v>1244.7</x:v>
      </x:c>
      <x:c r="H20" s="55" t="n">
        <x:v>3.4</x:v>
      </x:c>
      <x:c r="I20" s="31" t="n">
        <x:v>0.28</x:v>
      </x:c>
      <x:c r="J20" s="55" t="n">
        <x:v>27.3</x:v>
      </x:c>
      <x:c r="K20" s="28" t="str">
        <x:v>Y</x:v>
      </x:c>
      <x:c r="L20" s="28" t="n">
        <x:v>2</x:v>
      </x:c>
      <x:c r="M20" s="28" t="n">
        <x:v>0</x:v>
      </x:c>
      <x:c r="N20" s="28" t="n">
        <x:v>0</x:v>
      </x:c>
      <x:c r="O20" s="28" t="str">
        <x:v>computed_baseline</x:v>
      </x:c>
      <x:c r="P20" s="28" t="str">
        <x:v>public risk blocked; unknown proxy edges x1.15</x:v>
      </x:c>
      <x:c r="Q20" s="28" t="str">
        <x:v>8974707420</x:v>
      </x:c>
      <x:c r="R20" s="28" t="str">
        <x:v>457320253</x:v>
      </x:c>
    </x:row>
    <x:row r="21" ht="22" customHeight="1">
      <x:c r="A21" s="28" t="str">
        <x:v>OD05</x:v>
      </x:c>
      <x:c r="B21" s="28" t="str">
        <x:v>C</x:v>
      </x:c>
      <x:c r="C21" s="28" t="str">
        <x:v>안양역</x:v>
      </x:c>
      <x:c r="D21" s="28" t="str">
        <x:v>중북부 동측 표본(CW20)</x:v>
      </x:c>
      <x:c r="E21" s="55" t="n">
        <x:v>894.4</x:v>
      </x:c>
      <x:c r="F21" s="55" t="n">
        <x:v>1220.8</x:v>
      </x:c>
      <x:c r="G21" s="55" t="n">
        <x:v>1244.7</x:v>
      </x:c>
      <x:c r="H21" s="55" t="n">
        <x:v>3.4</x:v>
      </x:c>
      <x:c r="I21" s="31" t="n">
        <x:v>0.28</x:v>
      </x:c>
      <x:c r="J21" s="55" t="n">
        <x:v>27.3</x:v>
      </x:c>
      <x:c r="K21" s="28" t="str">
        <x:v>Y</x:v>
      </x:c>
      <x:c r="L21" s="28" t="n">
        <x:v>2</x:v>
      </x:c>
      <x:c r="M21" s="28" t="n">
        <x:v>0</x:v>
      </x:c>
      <x:c r="N21" s="28" t="n">
        <x:v>0</x:v>
      </x:c>
      <x:c r="O21" s="28" t="str">
        <x:v>baseline_no_approved_ai_candidates</x:v>
      </x:c>
      <x:c r="P21" s="28" t="str">
        <x:v>same as B because no AI candidate has human approval</x:v>
      </x:c>
      <x:c r="Q21" s="28" t="str">
        <x:v>8974707420</x:v>
      </x:c>
      <x:c r="R21" s="28" t="str">
        <x:v>457320253</x:v>
      </x:c>
    </x:row>
    <x:row r="22" ht="22" customHeight="1">
      <x:c r="A22" s="28" t="str">
        <x:v>OD06</x:v>
      </x:c>
      <x:c r="B22" s="28" t="str">
        <x:v>A</x:v>
      </x:c>
      <x:c r="C22" s="28" t="str">
        <x:v>북부 서측 표본(CW04)</x:v>
      </x:c>
      <x:c r="D22" s="28" t="str">
        <x:v>남부 동측 표본(CW35)</x:v>
      </x:c>
      <x:c r="E22" s="55" t="n">
        <x:v>1448.8</x:v>
      </x:c>
      <x:c r="F22" s="55" t="n">
        <x:v>1754.3</x:v>
      </x:c>
      <x:c r="G22" s="55" t="n">
        <x:v>1754.3</x:v>
      </x:c>
      <x:c r="H22" s="55" t="n">
        <x:v>0</x:v>
      </x:c>
      <x:c r="I22" s="31" t="n">
        <x:v>0</x:v>
      </x:c>
      <x:c r="J22" s="55" t="n">
        <x:v>0</x:v>
      </x:c>
      <x:c r="K22" s="28" t="str">
        <x:v>N</x:v>
      </x:c>
      <x:c r="L22" s="28" t="n">
        <x:v>2</x:v>
      </x:c>
      <x:c r="M22" s="28" t="n">
        <x:v>0</x:v>
      </x:c>
      <x:c r="N22" s="28" t="n">
        <x:v>0</x:v>
      </x:c>
      <x:c r="O22" s="28" t="str">
        <x:v>computed_baseline</x:v>
      </x:c>
      <x:c r="P22" s="28" t="str">
        <x:v>distance-only OSM centerline proxy</x:v>
      </x:c>
      <x:c r="Q22" s="28" t="str">
        <x:v>13168924058</x:v>
      </x:c>
      <x:c r="R22" s="28" t="str">
        <x:v>457321111</x:v>
      </x:c>
    </x:row>
    <x:row r="23" ht="22" customHeight="1">
      <x:c r="A23" s="28" t="str">
        <x:v>OD06</x:v>
      </x:c>
      <x:c r="B23" s="28" t="str">
        <x:v>B</x:v>
      </x:c>
      <x:c r="C23" s="28" t="str">
        <x:v>북부 서측 표본(CW04)</x:v>
      </x:c>
      <x:c r="D23" s="28" t="str">
        <x:v>남부 동측 표본(CW35)</x:v>
      </x:c>
      <x:c r="E23" s="55" t="n">
        <x:v>1448.8</x:v>
      </x:c>
      <x:c r="F23" s="55" t="n">
        <x:v>1754.3</x:v>
      </x:c>
      <x:c r="G23" s="55" t="n">
        <x:v>1765.9</x:v>
      </x:c>
      <x:c r="H23" s="55" t="n">
        <x:v>0</x:v>
      </x:c>
      <x:c r="I23" s="31" t="n">
        <x:v>0</x:v>
      </x:c>
      <x:c r="J23" s="55" t="n">
        <x:v>11.6</x:v>
      </x:c>
      <x:c r="K23" s="28" t="str">
        <x:v>N</x:v>
      </x:c>
      <x:c r="L23" s="28" t="n">
        <x:v>2</x:v>
      </x:c>
      <x:c r="M23" s="28" t="n">
        <x:v>0</x:v>
      </x:c>
      <x:c r="N23" s="28" t="n">
        <x:v>0</x:v>
      </x:c>
      <x:c r="O23" s="28" t="str">
        <x:v>computed_baseline</x:v>
      </x:c>
      <x:c r="P23" s="28" t="str">
        <x:v>public risk blocked; unknown proxy edges x1.15</x:v>
      </x:c>
      <x:c r="Q23" s="28" t="str">
        <x:v>13168924058</x:v>
      </x:c>
      <x:c r="R23" s="28" t="str">
        <x:v>457321111</x:v>
      </x:c>
    </x:row>
    <x:row r="24" ht="22" customHeight="1">
      <x:c r="A24" s="28" t="str">
        <x:v>OD06</x:v>
      </x:c>
      <x:c r="B24" s="28" t="str">
        <x:v>C</x:v>
      </x:c>
      <x:c r="C24" s="28" t="str">
        <x:v>북부 서측 표본(CW04)</x:v>
      </x:c>
      <x:c r="D24" s="28" t="str">
        <x:v>남부 동측 표본(CW35)</x:v>
      </x:c>
      <x:c r="E24" s="55" t="n">
        <x:v>1448.8</x:v>
      </x:c>
      <x:c r="F24" s="55" t="n">
        <x:v>1754.3</x:v>
      </x:c>
      <x:c r="G24" s="55" t="n">
        <x:v>1765.9</x:v>
      </x:c>
      <x:c r="H24" s="55" t="n">
        <x:v>0</x:v>
      </x:c>
      <x:c r="I24" s="31" t="n">
        <x:v>0</x:v>
      </x:c>
      <x:c r="J24" s="55" t="n">
        <x:v>11.6</x:v>
      </x:c>
      <x:c r="K24" s="28" t="str">
        <x:v>N</x:v>
      </x:c>
      <x:c r="L24" s="28" t="n">
        <x:v>2</x:v>
      </x:c>
      <x:c r="M24" s="28" t="n">
        <x:v>0</x:v>
      </x:c>
      <x:c r="N24" s="28" t="n">
        <x:v>0</x:v>
      </x:c>
      <x:c r="O24" s="28" t="str">
        <x:v>baseline_no_approved_ai_candidates</x:v>
      </x:c>
      <x:c r="P24" s="28" t="str">
        <x:v>same as B because no AI candidate has human approval</x:v>
      </x:c>
      <x:c r="Q24" s="28" t="str">
        <x:v>13168924058</x:v>
      </x:c>
      <x:c r="R24" s="28" t="str">
        <x:v>457321111</x:v>
      </x:c>
    </x:row>
    <x:row r="25" ht="22" customHeight="1">
      <x:c r="A25" s="28" t="str">
        <x:v>OD07</x:v>
      </x:c>
      <x:c r="B25" s="28" t="str">
        <x:v>A</x:v>
      </x:c>
      <x:c r="C25" s="28" t="str">
        <x:v>북부 서측 표본(CW04)</x:v>
      </x:c>
      <x:c r="D25" s="28" t="str">
        <x:v>공공데이터 위험 표본(CW33)</x:v>
      </x:c>
      <x:c r="E25" s="55" t="n">
        <x:v>1402</x:v>
      </x:c>
      <x:c r="F25" s="55" t="n">
        <x:v>1707.6</x:v>
      </x:c>
      <x:c r="G25" s="55" t="n">
        <x:v>1707.6</x:v>
      </x:c>
      <x:c r="H25" s="55" t="n">
        <x:v>0</x:v>
      </x:c>
      <x:c r="I25" s="31" t="n">
        <x:v>0</x:v>
      </x:c>
      <x:c r="J25" s="55" t="n">
        <x:v>0</x:v>
      </x:c>
      <x:c r="K25" s="28" t="str">
        <x:v>N</x:v>
      </x:c>
      <x:c r="L25" s="28" t="n">
        <x:v>2</x:v>
      </x:c>
      <x:c r="M25" s="28" t="n">
        <x:v>0</x:v>
      </x:c>
      <x:c r="N25" s="28" t="n">
        <x:v>0</x:v>
      </x:c>
      <x:c r="O25" s="28" t="str">
        <x:v>computed_baseline</x:v>
      </x:c>
      <x:c r="P25" s="28" t="str">
        <x:v>distance-only OSM centerline proxy</x:v>
      </x:c>
      <x:c r="Q25" s="28" t="str">
        <x:v>13168924058</x:v>
      </x:c>
      <x:c r="R25" s="28" t="str">
        <x:v>3832541730</x:v>
      </x:c>
    </x:row>
    <x:row r="26" ht="22" customHeight="1">
      <x:c r="A26" s="28" t="str">
        <x:v>OD07</x:v>
      </x:c>
      <x:c r="B26" s="28" t="str">
        <x:v>B</x:v>
      </x:c>
      <x:c r="C26" s="28" t="str">
        <x:v>북부 서측 표본(CW04)</x:v>
      </x:c>
      <x:c r="D26" s="28" t="str">
        <x:v>공공데이터 위험 표본(CW33)</x:v>
      </x:c>
      <x:c r="E26" s="55" t="n">
        <x:v>1402</x:v>
      </x:c>
      <x:c r="F26" s="55" t="n">
        <x:v>1707.6</x:v>
      </x:c>
      <x:c r="G26" s="55" t="n">
        <x:v>1719.2</x:v>
      </x:c>
      <x:c r="H26" s="55" t="n">
        <x:v>0</x:v>
      </x:c>
      <x:c r="I26" s="31" t="n">
        <x:v>0</x:v>
      </x:c>
      <x:c r="J26" s="55" t="n">
        <x:v>11.6</x:v>
      </x:c>
      <x:c r="K26" s="28" t="str">
        <x:v>N</x:v>
      </x:c>
      <x:c r="L26" s="28" t="n">
        <x:v>2</x:v>
      </x:c>
      <x:c r="M26" s="28" t="n">
        <x:v>0</x:v>
      </x:c>
      <x:c r="N26" s="28" t="n">
        <x:v>0</x:v>
      </x:c>
      <x:c r="O26" s="28" t="str">
        <x:v>computed_baseline</x:v>
      </x:c>
      <x:c r="P26" s="28" t="str">
        <x:v>public risk blocked; unknown proxy edges x1.15</x:v>
      </x:c>
      <x:c r="Q26" s="28" t="str">
        <x:v>13168924058</x:v>
      </x:c>
      <x:c r="R26" s="28" t="str">
        <x:v>3832541730</x:v>
      </x:c>
    </x:row>
    <x:row r="27" ht="22" customHeight="1">
      <x:c r="A27" s="28" t="str">
        <x:v>OD07</x:v>
      </x:c>
      <x:c r="B27" s="28" t="str">
        <x:v>C</x:v>
      </x:c>
      <x:c r="C27" s="28" t="str">
        <x:v>북부 서측 표본(CW04)</x:v>
      </x:c>
      <x:c r="D27" s="28" t="str">
        <x:v>공공데이터 위험 표본(CW33)</x:v>
      </x:c>
      <x:c r="E27" s="55" t="n">
        <x:v>1402</x:v>
      </x:c>
      <x:c r="F27" s="55" t="n">
        <x:v>1707.6</x:v>
      </x:c>
      <x:c r="G27" s="55" t="n">
        <x:v>1719.2</x:v>
      </x:c>
      <x:c r="H27" s="55" t="n">
        <x:v>0</x:v>
      </x:c>
      <x:c r="I27" s="31" t="n">
        <x:v>0</x:v>
      </x:c>
      <x:c r="J27" s="55" t="n">
        <x:v>11.6</x:v>
      </x:c>
      <x:c r="K27" s="28" t="str">
        <x:v>N</x:v>
      </x:c>
      <x:c r="L27" s="28" t="n">
        <x:v>2</x:v>
      </x:c>
      <x:c r="M27" s="28" t="n">
        <x:v>0</x:v>
      </x:c>
      <x:c r="N27" s="28" t="n">
        <x:v>0</x:v>
      </x:c>
      <x:c r="O27" s="28" t="str">
        <x:v>baseline_no_approved_ai_candidates</x:v>
      </x:c>
      <x:c r="P27" s="28" t="str">
        <x:v>same as B because no AI candidate has human approval</x:v>
      </x:c>
      <x:c r="Q27" s="28" t="str">
        <x:v>13168924058</x:v>
      </x:c>
      <x:c r="R27" s="28" t="str">
        <x:v>3832541730</x:v>
      </x:c>
    </x:row>
    <x:row r="28" ht="22" customHeight="1">
      <x:c r="A28" s="28" t="str">
        <x:v>OD08</x:v>
      </x:c>
      <x:c r="B28" s="28" t="str">
        <x:v>A</x:v>
      </x:c>
      <x:c r="C28" s="28" t="str">
        <x:v>북부 서측 표본(CW04)</x:v>
      </x:c>
      <x:c r="D28" s="28" t="str">
        <x:v>남부 서측 표본(CW32)</x:v>
      </x:c>
      <x:c r="E28" s="55" t="n">
        <x:v>1369.2</x:v>
      </x:c>
      <x:c r="F28" s="55" t="n">
        <x:v>1757.1</x:v>
      </x:c>
      <x:c r="G28" s="55" t="n">
        <x:v>1757.1</x:v>
      </x:c>
      <x:c r="H28" s="55" t="n">
        <x:v>0</x:v>
      </x:c>
      <x:c r="I28" s="31" t="n">
        <x:v>0</x:v>
      </x:c>
      <x:c r="J28" s="55" t="n">
        <x:v>0</x:v>
      </x:c>
      <x:c r="K28" s="28" t="str">
        <x:v>N</x:v>
      </x:c>
      <x:c r="L28" s="28" t="n">
        <x:v>2</x:v>
      </x:c>
      <x:c r="M28" s="28" t="n">
        <x:v>0</x:v>
      </x:c>
      <x:c r="N28" s="28" t="n">
        <x:v>0</x:v>
      </x:c>
      <x:c r="O28" s="28" t="str">
        <x:v>computed_baseline</x:v>
      </x:c>
      <x:c r="P28" s="28" t="str">
        <x:v>distance-only OSM centerline proxy</x:v>
      </x:c>
      <x:c r="Q28" s="28" t="str">
        <x:v>13168924058</x:v>
      </x:c>
      <x:c r="R28" s="28" t="str">
        <x:v>964926008</x:v>
      </x:c>
    </x:row>
    <x:row r="29" ht="22" customHeight="1">
      <x:c r="A29" s="28" t="str">
        <x:v>OD08</x:v>
      </x:c>
      <x:c r="B29" s="28" t="str">
        <x:v>B</x:v>
      </x:c>
      <x:c r="C29" s="28" t="str">
        <x:v>북부 서측 표본(CW04)</x:v>
      </x:c>
      <x:c r="D29" s="28" t="str">
        <x:v>남부 서측 표본(CW32)</x:v>
      </x:c>
      <x:c r="E29" s="55" t="n">
        <x:v>1369.2</x:v>
      </x:c>
      <x:c r="F29" s="55" t="n">
        <x:v>1757.1</x:v>
      </x:c>
      <x:c r="G29" s="55" t="n">
        <x:v>1768.7</x:v>
      </x:c>
      <x:c r="H29" s="55" t="n">
        <x:v>0</x:v>
      </x:c>
      <x:c r="I29" s="31" t="n">
        <x:v>0</x:v>
      </x:c>
      <x:c r="J29" s="55" t="n">
        <x:v>11.6</x:v>
      </x:c>
      <x:c r="K29" s="28" t="str">
        <x:v>N</x:v>
      </x:c>
      <x:c r="L29" s="28" t="n">
        <x:v>2</x:v>
      </x:c>
      <x:c r="M29" s="28" t="n">
        <x:v>0</x:v>
      </x:c>
      <x:c r="N29" s="28" t="n">
        <x:v>0</x:v>
      </x:c>
      <x:c r="O29" s="28" t="str">
        <x:v>computed_baseline</x:v>
      </x:c>
      <x:c r="P29" s="28" t="str">
        <x:v>public risk blocked; unknown proxy edges x1.15</x:v>
      </x:c>
      <x:c r="Q29" s="28" t="str">
        <x:v>13168924058</x:v>
      </x:c>
      <x:c r="R29" s="28" t="str">
        <x:v>964926008</x:v>
      </x:c>
    </x:row>
    <x:row r="30" ht="22" customHeight="1">
      <x:c r="A30" s="28" t="str">
        <x:v>OD08</x:v>
      </x:c>
      <x:c r="B30" s="28" t="str">
        <x:v>C</x:v>
      </x:c>
      <x:c r="C30" s="28" t="str">
        <x:v>북부 서측 표본(CW04)</x:v>
      </x:c>
      <x:c r="D30" s="28" t="str">
        <x:v>남부 서측 표본(CW32)</x:v>
      </x:c>
      <x:c r="E30" s="55" t="n">
        <x:v>1369.2</x:v>
      </x:c>
      <x:c r="F30" s="55" t="n">
        <x:v>1757.1</x:v>
      </x:c>
      <x:c r="G30" s="55" t="n">
        <x:v>1768.7</x:v>
      </x:c>
      <x:c r="H30" s="55" t="n">
        <x:v>0</x:v>
      </x:c>
      <x:c r="I30" s="31" t="n">
        <x:v>0</x:v>
      </x:c>
      <x:c r="J30" s="55" t="n">
        <x:v>11.6</x:v>
      </x:c>
      <x:c r="K30" s="28" t="str">
        <x:v>N</x:v>
      </x:c>
      <x:c r="L30" s="28" t="n">
        <x:v>2</x:v>
      </x:c>
      <x:c r="M30" s="28" t="n">
        <x:v>0</x:v>
      </x:c>
      <x:c r="N30" s="28" t="n">
        <x:v>0</x:v>
      </x:c>
      <x:c r="O30" s="28" t="str">
        <x:v>baseline_no_approved_ai_candidates</x:v>
      </x:c>
      <x:c r="P30" s="28" t="str">
        <x:v>same as B because no AI candidate has human approval</x:v>
      </x:c>
      <x:c r="Q30" s="28" t="str">
        <x:v>13168924058</x:v>
      </x:c>
      <x:c r="R30" s="28" t="str">
        <x:v>964926008</x:v>
      </x:c>
    </x:row>
    <x:row r="31" ht="22" customHeight="1">
      <x:c r="A31" s="28" t="str">
        <x:v>OD09</x:v>
      </x:c>
      <x:c r="B31" s="28" t="str">
        <x:v>A</x:v>
      </x:c>
      <x:c r="C31" s="28" t="str">
        <x:v>북부 서측 표본(CW04)</x:v>
      </x:c>
      <x:c r="D31" s="28" t="str">
        <x:v>중남부 동측 표본(CW28)</x:v>
      </x:c>
      <x:c r="E31" s="55" t="n">
        <x:v>1349.4</x:v>
      </x:c>
      <x:c r="F31" s="55" t="n">
        <x:v>1656.1</x:v>
      </x:c>
      <x:c r="G31" s="55" t="n">
        <x:v>1656.1</x:v>
      </x:c>
      <x:c r="H31" s="55" t="n">
        <x:v>0</x:v>
      </x:c>
      <x:c r="I31" s="31" t="n">
        <x:v>0</x:v>
      </x:c>
      <x:c r="J31" s="55" t="n">
        <x:v>0</x:v>
      </x:c>
      <x:c r="K31" s="28" t="str">
        <x:v>N</x:v>
      </x:c>
      <x:c r="L31" s="28" t="n">
        <x:v>2</x:v>
      </x:c>
      <x:c r="M31" s="28" t="n">
        <x:v>0</x:v>
      </x:c>
      <x:c r="N31" s="28" t="n">
        <x:v>0</x:v>
      </x:c>
      <x:c r="O31" s="28" t="str">
        <x:v>computed_baseline</x:v>
      </x:c>
      <x:c r="P31" s="28" t="str">
        <x:v>distance-only OSM centerline proxy</x:v>
      </x:c>
      <x:c r="Q31" s="28" t="str">
        <x:v>13168924058</x:v>
      </x:c>
      <x:c r="R31" s="28" t="str">
        <x:v>457321139</x:v>
      </x:c>
    </x:row>
    <x:row r="32" ht="22" customHeight="1">
      <x:c r="A32" s="28" t="str">
        <x:v>OD09</x:v>
      </x:c>
      <x:c r="B32" s="28" t="str">
        <x:v>B</x:v>
      </x:c>
      <x:c r="C32" s="28" t="str">
        <x:v>북부 서측 표본(CW04)</x:v>
      </x:c>
      <x:c r="D32" s="28" t="str">
        <x:v>중남부 동측 표본(CW28)</x:v>
      </x:c>
      <x:c r="E32" s="55" t="n">
        <x:v>1349.4</x:v>
      </x:c>
      <x:c r="F32" s="55" t="n">
        <x:v>1656.1</x:v>
      </x:c>
      <x:c r="G32" s="55" t="n">
        <x:v>1667.7</x:v>
      </x:c>
      <x:c r="H32" s="55" t="n">
        <x:v>0</x:v>
      </x:c>
      <x:c r="I32" s="31" t="n">
        <x:v>0</x:v>
      </x:c>
      <x:c r="J32" s="55" t="n">
        <x:v>11.6</x:v>
      </x:c>
      <x:c r="K32" s="28" t="str">
        <x:v>N</x:v>
      </x:c>
      <x:c r="L32" s="28" t="n">
        <x:v>2</x:v>
      </x:c>
      <x:c r="M32" s="28" t="n">
        <x:v>0</x:v>
      </x:c>
      <x:c r="N32" s="28" t="n">
        <x:v>0</x:v>
      </x:c>
      <x:c r="O32" s="28" t="str">
        <x:v>computed_baseline</x:v>
      </x:c>
      <x:c r="P32" s="28" t="str">
        <x:v>public risk blocked; unknown proxy edges x1.15</x:v>
      </x:c>
      <x:c r="Q32" s="28" t="str">
        <x:v>13168924058</x:v>
      </x:c>
      <x:c r="R32" s="28" t="str">
        <x:v>457321139</x:v>
      </x:c>
    </x:row>
    <x:row r="33" ht="22" customHeight="1">
      <x:c r="A33" s="28" t="str">
        <x:v>OD09</x:v>
      </x:c>
      <x:c r="B33" s="28" t="str">
        <x:v>C</x:v>
      </x:c>
      <x:c r="C33" s="28" t="str">
        <x:v>북부 서측 표본(CW04)</x:v>
      </x:c>
      <x:c r="D33" s="28" t="str">
        <x:v>중남부 동측 표본(CW28)</x:v>
      </x:c>
      <x:c r="E33" s="55" t="n">
        <x:v>1349.4</x:v>
      </x:c>
      <x:c r="F33" s="55" t="n">
        <x:v>1656.1</x:v>
      </x:c>
      <x:c r="G33" s="55" t="n">
        <x:v>1667.7</x:v>
      </x:c>
      <x:c r="H33" s="55" t="n">
        <x:v>0</x:v>
      </x:c>
      <x:c r="I33" s="31" t="n">
        <x:v>0</x:v>
      </x:c>
      <x:c r="J33" s="55" t="n">
        <x:v>11.6</x:v>
      </x:c>
      <x:c r="K33" s="28" t="str">
        <x:v>N</x:v>
      </x:c>
      <x:c r="L33" s="28" t="n">
        <x:v>2</x:v>
      </x:c>
      <x:c r="M33" s="28" t="n">
        <x:v>0</x:v>
      </x:c>
      <x:c r="N33" s="28" t="n">
        <x:v>0</x:v>
      </x:c>
      <x:c r="O33" s="28" t="str">
        <x:v>baseline_no_approved_ai_candidates</x:v>
      </x:c>
      <x:c r="P33" s="28" t="str">
        <x:v>same as B because no AI candidate has human approval</x:v>
      </x:c>
      <x:c r="Q33" s="28" t="str">
        <x:v>13168924058</x:v>
      </x:c>
      <x:c r="R33" s="28" t="str">
        <x:v>457321139</x:v>
      </x:c>
    </x:row>
    <x:row r="34" ht="22" customHeight="1">
      <x:c r="A34" s="28" t="str">
        <x:v>OD10</x:v>
      </x:c>
      <x:c r="B34" s="28" t="str">
        <x:v>A</x:v>
      </x:c>
      <x:c r="C34" s="28" t="str">
        <x:v>중북부 서측 표본(CW13)</x:v>
      </x:c>
      <x:c r="D34" s="28" t="str">
        <x:v>남부 동측 표본(CW35)</x:v>
      </x:c>
      <x:c r="E34" s="55" t="n">
        <x:v>1289.5</x:v>
      </x:c>
      <x:c r="F34" s="55" t="n">
        <x:v>1591.7</x:v>
      </x:c>
      <x:c r="G34" s="55" t="n">
        <x:v>1591.7</x:v>
      </x:c>
      <x:c r="H34" s="55" t="n">
        <x:v>0</x:v>
      </x:c>
      <x:c r="I34" s="31" t="n">
        <x:v>0</x:v>
      </x:c>
      <x:c r="J34" s="55" t="n">
        <x:v>0</x:v>
      </x:c>
      <x:c r="K34" s="28" t="str">
        <x:v>N</x:v>
      </x:c>
      <x:c r="L34" s="28" t="n">
        <x:v>1</x:v>
      </x:c>
      <x:c r="M34" s="28" t="n">
        <x:v>0</x:v>
      </x:c>
      <x:c r="N34" s="28" t="n">
        <x:v>0</x:v>
      </x:c>
      <x:c r="O34" s="28" t="str">
        <x:v>computed_baseline</x:v>
      </x:c>
      <x:c r="P34" s="28" t="str">
        <x:v>distance-only OSM centerline proxy</x:v>
      </x:c>
      <x:c r="Q34" s="28" t="str">
        <x:v>7895488095</x:v>
      </x:c>
      <x:c r="R34" s="28" t="str">
        <x:v>457321111</x:v>
      </x:c>
    </x:row>
    <x:row r="35" ht="22" customHeight="1">
      <x:c r="A35" s="28" t="str">
        <x:v>OD10</x:v>
      </x:c>
      <x:c r="B35" s="28" t="str">
        <x:v>B</x:v>
      </x:c>
      <x:c r="C35" s="28" t="str">
        <x:v>중북부 서측 표본(CW13)</x:v>
      </x:c>
      <x:c r="D35" s="28" t="str">
        <x:v>남부 동측 표본(CW35)</x:v>
      </x:c>
      <x:c r="E35" s="55" t="n">
        <x:v>1289.5</x:v>
      </x:c>
      <x:c r="F35" s="55" t="n">
        <x:v>1591.7</x:v>
      </x:c>
      <x:c r="G35" s="55" t="n">
        <x:v>1592.9</x:v>
      </x:c>
      <x:c r="H35" s="55" t="n">
        <x:v>0</x:v>
      </x:c>
      <x:c r="I35" s="31" t="n">
        <x:v>0</x:v>
      </x:c>
      <x:c r="J35" s="55" t="n">
        <x:v>1.1</x:v>
      </x:c>
      <x:c r="K35" s="28" t="str">
        <x:v>N</x:v>
      </x:c>
      <x:c r="L35" s="28" t="n">
        <x:v>1</x:v>
      </x:c>
      <x:c r="M35" s="28" t="n">
        <x:v>0</x:v>
      </x:c>
      <x:c r="N35" s="28" t="n">
        <x:v>0</x:v>
      </x:c>
      <x:c r="O35" s="28" t="str">
        <x:v>computed_baseline</x:v>
      </x:c>
      <x:c r="P35" s="28" t="str">
        <x:v>public risk blocked; unknown proxy edges x1.15</x:v>
      </x:c>
      <x:c r="Q35" s="28" t="str">
        <x:v>7895488095</x:v>
      </x:c>
      <x:c r="R35" s="28" t="str">
        <x:v>457321111</x:v>
      </x:c>
    </x:row>
    <x:row r="36" ht="22" customHeight="1">
      <x:c r="A36" s="28" t="str">
        <x:v>OD10</x:v>
      </x:c>
      <x:c r="B36" s="28" t="str">
        <x:v>C</x:v>
      </x:c>
      <x:c r="C36" s="28" t="str">
        <x:v>중북부 서측 표본(CW13)</x:v>
      </x:c>
      <x:c r="D36" s="28" t="str">
        <x:v>남부 동측 표본(CW35)</x:v>
      </x:c>
      <x:c r="E36" s="55" t="n">
        <x:v>1289.5</x:v>
      </x:c>
      <x:c r="F36" s="55" t="n">
        <x:v>1591.7</x:v>
      </x:c>
      <x:c r="G36" s="55" t="n">
        <x:v>1592.9</x:v>
      </x:c>
      <x:c r="H36" s="55" t="n">
        <x:v>0</x:v>
      </x:c>
      <x:c r="I36" s="31" t="n">
        <x:v>0</x:v>
      </x:c>
      <x:c r="J36" s="55" t="n">
        <x:v>1.1</x:v>
      </x:c>
      <x:c r="K36" s="28" t="str">
        <x:v>N</x:v>
      </x:c>
      <x:c r="L36" s="28" t="n">
        <x:v>1</x:v>
      </x:c>
      <x:c r="M36" s="28" t="n">
        <x:v>0</x:v>
      </x:c>
      <x:c r="N36" s="28" t="n">
        <x:v>0</x:v>
      </x:c>
      <x:c r="O36" s="28" t="str">
        <x:v>baseline_no_approved_ai_candidates</x:v>
      </x:c>
      <x:c r="P36" s="28" t="str">
        <x:v>same as B because no AI candidate has human approval</x:v>
      </x:c>
      <x:c r="Q36" s="28" t="str">
        <x:v>7895488095</x:v>
      </x:c>
      <x:c r="R36" s="28" t="str">
        <x:v>457321111</x:v>
      </x:c>
    </x:row>
  </x:sheetData>
  <x:conditionalFormatting sqref="B7:B36">
    <x:cfRule type="containsText" dxfId="19" priority="1" operator="containsText" text="B"/>
    <x:cfRule type="containsText" dxfId="20" priority="2" operator="containsText" text="C"/>
  </x:conditionalFormatting>
  <x:conditionalFormatting sqref="K7:K36">
    <x:cfRule type="containsText" dxfId="21" priority="3" operator="containsText" text="Y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85D00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8" hidden="0" customWidth="1"/>
    <x:col min="2" max="2" width="30" hidden="0" customWidth="1"/>
    <x:col min="3" max="3" width="30" hidden="0" customWidth="1"/>
    <x:col min="4" max="4" width="34" hidden="0" customWidth="1"/>
    <x:col min="5" max="5" width="32" hidden="0" customWidth="1"/>
    <x:col min="6" max="6" width="34" hidden="0" customWidth="1"/>
    <x:col min="7" max="7" width="60" hidden="0" customWidth="1"/>
    <x:col min="8" max="8" width="14" hidden="0" customWidth="1"/>
    <x:col min="9" max="9" width="14" hidden="0" customWidth="1"/>
    <x:col min="10" max="10" width="14" hidden="0" customWidth="1"/>
    <x:col min="11" max="11" width="15" hidden="0" customWidth="1"/>
    <x:col min="12" max="12" width="15" hidden="0" customWidth="1"/>
    <x:col min="13" max="13" width="15" hidden="0" customWidth="1"/>
    <x:col min="14" max="14" width="16" hidden="0" customWidth="1"/>
    <x:col min="15" max="15" width="50" hidden="0" customWidth="1"/>
  </x:cols>
  <x:sheetData>
    <x:row r="1">
      <x:c r="A1" s="39"/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</x:row>
    <x:row r="2" ht="22" customHeight="1">
      <x:c r="A2" s="1" t="str">
        <x:v>C* 미승인 AI 후보 민감도</x:v>
      </x:c>
    </x:row>
    <x:row r="3" ht="22" customHeight="1">
      <x:c r="A3" s="2" t="str">
        <x:v>block 후보 5개를 모두 사람 승인했다고 가정한 스트레스테스트 · 공식 C가 아니며 경로안내 사용 금지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>
      <x:c r="A5" s="56" t="str">
        <x:v>공식 C는 여전히 B와 동일합니다. C*는 후보가 결과에 미칠 수 있는 상한 민감도만 확인합니다: 9/10 경로 변경.</x:v>
      </x:c>
    </x:row>
    <x:row r="6" ht="30" customHeight="1">
      <x:c r="A6" s="12" t="str">
        <x:v>OD</x:v>
      </x:c>
      <x:c r="B6" s="34" t="str">
        <x:v>출발</x:v>
      </x:c>
      <x:c r="C6" s="34" t="str">
        <x:v>도착</x:v>
      </x:c>
      <x:c r="D6" s="34" t="str">
        <x:v>시나리오</x:v>
      </x:c>
      <x:c r="E6" s="34" t="str">
        <x:v>공식 상태</x:v>
      </x:c>
      <x:c r="F6" s="34" t="str">
        <x:v>차단 후보 표본</x:v>
      </x:c>
      <x:c r="G6" s="34" t="str">
        <x:v>차단 후보 대체엣지</x:v>
      </x:c>
      <x:c r="H6" s="34" t="str">
        <x:v>B 거리(m)</x:v>
      </x:c>
      <x:c r="I6" s="34" t="str">
        <x:v>C* 경로 존재</x:v>
      </x:c>
      <x:c r="J6" s="34" t="str">
        <x:v>C* 거리(m)</x:v>
      </x:c>
      <x:c r="K6" s="34" t="str">
        <x:v>B 대비 증분(m)</x:v>
      </x:c>
      <x:c r="L6" s="34" t="str">
        <x:v>B 대비 증분(%)</x:v>
      </x:c>
      <x:c r="M6" s="34" t="str">
        <x:v>B와 경로변경</x:v>
      </x:c>
      <x:c r="N6" s="34" t="str">
        <x:v>B가 사용한 후보엣지</x:v>
      </x:c>
      <x:c r="O6" s="13" t="str">
        <x:v>해석</x:v>
      </x:c>
    </x:row>
    <x:row r="7" ht="36" customHeight="1">
      <x:c r="A7" s="36" t="str">
        <x:v>OD01</x:v>
      </x:c>
      <x:c r="B7" s="36" t="str">
        <x:v>북부 서측 표본(CW04)</x:v>
      </x:c>
      <x:c r="C7" s="36" t="str">
        <x:v>중북부 동측 표본(CW20)</x:v>
      </x:c>
      <x:c r="D7" s="36" t="str">
        <x:v>C* 미승인 AI후보 5개 전부 승인 가정</x:v>
      </x:c>
      <x:c r="E7" s="36" t="str">
        <x:v>비공식 스트레스테스트; 실제 C 아님</x:v>
      </x:c>
      <x:c r="F7" s="36" t="str">
        <x:v>CW01;CW04;CW10;CW13;CW18</x:v>
      </x:c>
      <x:c r="G7" s="36" t="str">
        <x:v>W318729204_S2;W38609253_S0;W589960556_S5;W589960556_S7;W915477947_S2</x:v>
      </x:c>
      <x:c r="H7" s="57" t="n">
        <x:v>1115.8</x:v>
      </x:c>
      <x:c r="I7" s="57" t="str">
        <x:v>Y</x:v>
      </x:c>
      <x:c r="J7" s="57" t="n">
        <x:v>1266.4</x:v>
      </x:c>
      <x:c r="K7" s="57" t="n">
        <x:v>150.6</x:v>
      </x:c>
      <x:c r="L7" s="59" t="n">
        <x:v>13.49</x:v>
      </x:c>
      <x:c r="M7" s="36" t="str">
        <x:v>Y</x:v>
      </x:c>
      <x:c r="N7" s="36" t="n">
        <x:v>1</x:v>
      </x:c>
      <x:c r="O7" s="36" t="str">
        <x:v>사람 승인 전 의사결정용 민감도 분석이며 경로 안내에 사용 금지</x:v>
      </x:c>
    </x:row>
    <x:row r="8" ht="36" customHeight="1">
      <x:c r="A8" s="37" t="str">
        <x:v>OD02</x:v>
      </x:c>
      <x:c r="B8" s="37" t="str">
        <x:v>안양청년1번가</x:v>
      </x:c>
      <x:c r="C8" s="37" t="str">
        <x:v>중북부 동측 표본(CW20)</x:v>
      </x:c>
      <x:c r="D8" s="37" t="str">
        <x:v>C* 미승인 AI후보 5개 전부 승인 가정</x:v>
      </x:c>
      <x:c r="E8" s="37" t="str">
        <x:v>비공식 스트레스테스트; 실제 C 아님</x:v>
      </x:c>
      <x:c r="F8" s="37" t="str">
        <x:v>CW01;CW04;CW10;CW13;CW18</x:v>
      </x:c>
      <x:c r="G8" s="37" t="str">
        <x:v>W318729204_S2;W38609253_S0;W589960556_S5;W589960556_S7;W915477947_S2</x:v>
      </x:c>
      <x:c r="H8" s="58" t="n">
        <x:v>656.2</x:v>
      </x:c>
      <x:c r="I8" s="58" t="str">
        <x:v>Y</x:v>
      </x:c>
      <x:c r="J8" s="58" t="n">
        <x:v>656.2</x:v>
      </x:c>
      <x:c r="K8" s="58" t="n">
        <x:v>0</x:v>
      </x:c>
      <x:c r="L8" s="60" t="n">
        <x:v>0</x:v>
      </x:c>
      <x:c r="M8" s="37" t="str">
        <x:v>N</x:v>
      </x:c>
      <x:c r="N8" s="37" t="n">
        <x:v>0</x:v>
      </x:c>
      <x:c r="O8" s="37" t="str">
        <x:v>사람 승인 전 의사결정용 민감도 분석이며 경로 안내에 사용 금지</x:v>
      </x:c>
    </x:row>
    <x:row r="9" ht="36" customHeight="1">
      <x:c r="A9" s="37" t="str">
        <x:v>OD03</x:v>
      </x:c>
      <x:c r="B9" s="37" t="str">
        <x:v>중북부 서측 표본(CW13)</x:v>
      </x:c>
      <x:c r="C9" s="37" t="str">
        <x:v>중북부 동측 표본(CW20)</x:v>
      </x:c>
      <x:c r="D9" s="37" t="str">
        <x:v>C* 미승인 AI후보 5개 전부 승인 가정</x:v>
      </x:c>
      <x:c r="E9" s="37" t="str">
        <x:v>비공식 스트레스테스트; 실제 C 아님</x:v>
      </x:c>
      <x:c r="F9" s="37" t="str">
        <x:v>CW01;CW04;CW10;CW13;CW18</x:v>
      </x:c>
      <x:c r="G9" s="37" t="str">
        <x:v>W318729204_S2;W38609253_S0;W589960556_S5;W589960556_S7;W915477947_S2</x:v>
      </x:c>
      <x:c r="H9" s="58" t="n">
        <x:v>948.7</x:v>
      </x:c>
      <x:c r="I9" s="58" t="str">
        <x:v>Y</x:v>
      </x:c>
      <x:c r="J9" s="58" t="n">
        <x:v>1012.9</x:v>
      </x:c>
      <x:c r="K9" s="58" t="n">
        <x:v>64.2</x:v>
      </x:c>
      <x:c r="L9" s="60" t="n">
        <x:v>6.77</x:v>
      </x:c>
      <x:c r="M9" s="37" t="str">
        <x:v>Y</x:v>
      </x:c>
      <x:c r="N9" s="37" t="n">
        <x:v>1</x:v>
      </x:c>
      <x:c r="O9" s="37" t="str">
        <x:v>사람 승인 전 의사결정용 민감도 분석이며 경로 안내에 사용 금지</x:v>
      </x:c>
    </x:row>
    <x:row r="10" ht="36" customHeight="1">
      <x:c r="A10" s="37" t="str">
        <x:v>OD04</x:v>
      </x:c>
      <x:c r="B10" s="37" t="str">
        <x:v>북부 동측 표본(CW10)</x:v>
      </x:c>
      <x:c r="C10" s="37" t="str">
        <x:v>중북부 동측 표본(CW20)</x:v>
      </x:c>
      <x:c r="D10" s="37" t="str">
        <x:v>C* 미승인 AI후보 5개 전부 승인 가정</x:v>
      </x:c>
      <x:c r="E10" s="37" t="str">
        <x:v>비공식 스트레스테스트; 실제 C 아님</x:v>
      </x:c>
      <x:c r="F10" s="37" t="str">
        <x:v>CW01;CW04;CW10;CW13;CW18</x:v>
      </x:c>
      <x:c r="G10" s="37" t="str">
        <x:v>W318729204_S2;W38609253_S0;W589960556_S5;W589960556_S7;W915477947_S2</x:v>
      </x:c>
      <x:c r="H10" s="58" t="n">
        <x:v>1072.1</x:v>
      </x:c>
      <x:c r="I10" s="58" t="str">
        <x:v>Y</x:v>
      </x:c>
      <x:c r="J10" s="58" t="n">
        <x:v>1551.7</x:v>
      </x:c>
      <x:c r="K10" s="58" t="n">
        <x:v>479.6</x:v>
      </x:c>
      <x:c r="L10" s="60" t="n">
        <x:v>44.74</x:v>
      </x:c>
      <x:c r="M10" s="37" t="str">
        <x:v>Y</x:v>
      </x:c>
      <x:c r="N10" s="37" t="n">
        <x:v>1</x:v>
      </x:c>
      <x:c r="O10" s="37" t="str">
        <x:v>사람 승인 전 의사결정용 민감도 분석이며 경로 안내에 사용 금지</x:v>
      </x:c>
    </x:row>
    <x:row r="11" ht="36" customHeight="1">
      <x:c r="A11" s="37" t="str">
        <x:v>OD05</x:v>
      </x:c>
      <x:c r="B11" s="37" t="str">
        <x:v>안양역</x:v>
      </x:c>
      <x:c r="C11" s="37" t="str">
        <x:v>중북부 동측 표본(CW20)</x:v>
      </x:c>
      <x:c r="D11" s="37" t="str">
        <x:v>C* 미승인 AI후보 5개 전부 승인 가정</x:v>
      </x:c>
      <x:c r="E11" s="37" t="str">
        <x:v>비공식 스트레스테스트; 실제 C 아님</x:v>
      </x:c>
      <x:c r="F11" s="37" t="str">
        <x:v>CW01;CW04;CW10;CW13;CW18</x:v>
      </x:c>
      <x:c r="G11" s="37" t="str">
        <x:v>W318729204_S2;W38609253_S0;W589960556_S5;W589960556_S7;W915477947_S2</x:v>
      </x:c>
      <x:c r="H11" s="58" t="n">
        <x:v>1220.8</x:v>
      </x:c>
      <x:c r="I11" s="58" t="str">
        <x:v>Y</x:v>
      </x:c>
      <x:c r="J11" s="58" t="n">
        <x:v>1402.9</x:v>
      </x:c>
      <x:c r="K11" s="58" t="n">
        <x:v>182.1</x:v>
      </x:c>
      <x:c r="L11" s="60" t="n">
        <x:v>14.92</x:v>
      </x:c>
      <x:c r="M11" s="37" t="str">
        <x:v>Y</x:v>
      </x:c>
      <x:c r="N11" s="37" t="n">
        <x:v>1</x:v>
      </x:c>
      <x:c r="O11" s="37" t="str">
        <x:v>사람 승인 전 의사결정용 민감도 분석이며 경로 안내에 사용 금지</x:v>
      </x:c>
    </x:row>
    <x:row r="12" ht="36" customHeight="1">
      <x:c r="A12" s="37" t="str">
        <x:v>OD06</x:v>
      </x:c>
      <x:c r="B12" s="37" t="str">
        <x:v>북부 서측 표본(CW04)</x:v>
      </x:c>
      <x:c r="C12" s="37" t="str">
        <x:v>남부 동측 표본(CW35)</x:v>
      </x:c>
      <x:c r="D12" s="37" t="str">
        <x:v>C* 미승인 AI후보 5개 전부 승인 가정</x:v>
      </x:c>
      <x:c r="E12" s="37" t="str">
        <x:v>비공식 스트레스테스트; 실제 C 아님</x:v>
      </x:c>
      <x:c r="F12" s="37" t="str">
        <x:v>CW01;CW04;CW10;CW13;CW18</x:v>
      </x:c>
      <x:c r="G12" s="37" t="str">
        <x:v>W318729204_S2;W38609253_S0;W589960556_S5;W589960556_S7;W915477947_S2</x:v>
      </x:c>
      <x:c r="H12" s="58" t="n">
        <x:v>1754.3</x:v>
      </x:c>
      <x:c r="I12" s="58" t="str">
        <x:v>Y</x:v>
      </x:c>
      <x:c r="J12" s="58" t="n">
        <x:v>1911.6</x:v>
      </x:c>
      <x:c r="K12" s="58" t="n">
        <x:v>157.3</x:v>
      </x:c>
      <x:c r="L12" s="60" t="n">
        <x:v>8.96</x:v>
      </x:c>
      <x:c r="M12" s="37" t="str">
        <x:v>Y</x:v>
      </x:c>
      <x:c r="N12" s="37" t="n">
        <x:v>1</x:v>
      </x:c>
      <x:c r="O12" s="37" t="str">
        <x:v>사람 승인 전 의사결정용 민감도 분석이며 경로 안내에 사용 금지</x:v>
      </x:c>
    </x:row>
    <x:row r="13" ht="36" customHeight="1">
      <x:c r="A13" s="37" t="str">
        <x:v>OD07</x:v>
      </x:c>
      <x:c r="B13" s="37" t="str">
        <x:v>북부 서측 표본(CW04)</x:v>
      </x:c>
      <x:c r="C13" s="37" t="str">
        <x:v>공공데이터 위험 표본(CW33)</x:v>
      </x:c>
      <x:c r="D13" s="37" t="str">
        <x:v>C* 미승인 AI후보 5개 전부 승인 가정</x:v>
      </x:c>
      <x:c r="E13" s="37" t="str">
        <x:v>비공식 스트레스테스트; 실제 C 아님</x:v>
      </x:c>
      <x:c r="F13" s="37" t="str">
        <x:v>CW01;CW04;CW10;CW13;CW18</x:v>
      </x:c>
      <x:c r="G13" s="37" t="str">
        <x:v>W318729204_S2;W38609253_S0;W589960556_S5;W589960556_S7;W915477947_S2</x:v>
      </x:c>
      <x:c r="H13" s="58" t="n">
        <x:v>1707.6</x:v>
      </x:c>
      <x:c r="I13" s="58" t="str">
        <x:v>Y</x:v>
      </x:c>
      <x:c r="J13" s="58" t="n">
        <x:v>1864.9</x:v>
      </x:c>
      <x:c r="K13" s="58" t="n">
        <x:v>157.3</x:v>
      </x:c>
      <x:c r="L13" s="60" t="n">
        <x:v>9.21</x:v>
      </x:c>
      <x:c r="M13" s="37" t="str">
        <x:v>Y</x:v>
      </x:c>
      <x:c r="N13" s="37" t="n">
        <x:v>1</x:v>
      </x:c>
      <x:c r="O13" s="37" t="str">
        <x:v>사람 승인 전 의사결정용 민감도 분석이며 경로 안내에 사용 금지</x:v>
      </x:c>
    </x:row>
    <x:row r="14" ht="36" customHeight="1">
      <x:c r="A14" s="37" t="str">
        <x:v>OD08</x:v>
      </x:c>
      <x:c r="B14" s="37" t="str">
        <x:v>북부 서측 표본(CW04)</x:v>
      </x:c>
      <x:c r="C14" s="37" t="str">
        <x:v>남부 서측 표본(CW32)</x:v>
      </x:c>
      <x:c r="D14" s="37" t="str">
        <x:v>C* 미승인 AI후보 5개 전부 승인 가정</x:v>
      </x:c>
      <x:c r="E14" s="37" t="str">
        <x:v>비공식 스트레스테스트; 실제 C 아님</x:v>
      </x:c>
      <x:c r="F14" s="37" t="str">
        <x:v>CW01;CW04;CW10;CW13;CW18</x:v>
      </x:c>
      <x:c r="G14" s="37" t="str">
        <x:v>W318729204_S2;W38609253_S0;W589960556_S5;W589960556_S7;W915477947_S2</x:v>
      </x:c>
      <x:c r="H14" s="58" t="n">
        <x:v>1757.1</x:v>
      </x:c>
      <x:c r="I14" s="58" t="str">
        <x:v>Y</x:v>
      </x:c>
      <x:c r="J14" s="58" t="n">
        <x:v>1914.4</x:v>
      </x:c>
      <x:c r="K14" s="58" t="n">
        <x:v>157.3</x:v>
      </x:c>
      <x:c r="L14" s="60" t="n">
        <x:v>8.95</x:v>
      </x:c>
      <x:c r="M14" s="37" t="str">
        <x:v>Y</x:v>
      </x:c>
      <x:c r="N14" s="37" t="n">
        <x:v>1</x:v>
      </x:c>
      <x:c r="O14" s="37" t="str">
        <x:v>사람 승인 전 의사결정용 민감도 분석이며 경로 안내에 사용 금지</x:v>
      </x:c>
    </x:row>
    <x:row r="15" ht="36" customHeight="1">
      <x:c r="A15" s="37" t="str">
        <x:v>OD09</x:v>
      </x:c>
      <x:c r="B15" s="37" t="str">
        <x:v>북부 서측 표본(CW04)</x:v>
      </x:c>
      <x:c r="C15" s="37" t="str">
        <x:v>중남부 동측 표본(CW28)</x:v>
      </x:c>
      <x:c r="D15" s="37" t="str">
        <x:v>C* 미승인 AI후보 5개 전부 승인 가정</x:v>
      </x:c>
      <x:c r="E15" s="37" t="str">
        <x:v>비공식 스트레스테스트; 실제 C 아님</x:v>
      </x:c>
      <x:c r="F15" s="37" t="str">
        <x:v>CW01;CW04;CW10;CW13;CW18</x:v>
      </x:c>
      <x:c r="G15" s="37" t="str">
        <x:v>W318729204_S2;W38609253_S0;W589960556_S5;W589960556_S7;W915477947_S2</x:v>
      </x:c>
      <x:c r="H15" s="58" t="n">
        <x:v>1656.1</x:v>
      </x:c>
      <x:c r="I15" s="58" t="str">
        <x:v>Y</x:v>
      </x:c>
      <x:c r="J15" s="58" t="n">
        <x:v>1813.4</x:v>
      </x:c>
      <x:c r="K15" s="58" t="n">
        <x:v>157.3</x:v>
      </x:c>
      <x:c r="L15" s="60" t="n">
        <x:v>9.5</x:v>
      </x:c>
      <x:c r="M15" s="37" t="str">
        <x:v>Y</x:v>
      </x:c>
      <x:c r="N15" s="37" t="n">
        <x:v>1</x:v>
      </x:c>
      <x:c r="O15" s="37" t="str">
        <x:v>사람 승인 전 의사결정용 민감도 분석이며 경로 안내에 사용 금지</x:v>
      </x:c>
    </x:row>
    <x:row r="16" ht="36" customHeight="1">
      <x:c r="A16" s="37" t="str">
        <x:v>OD10</x:v>
      </x:c>
      <x:c r="B16" s="37" t="str">
        <x:v>중북부 서측 표본(CW13)</x:v>
      </x:c>
      <x:c r="C16" s="37" t="str">
        <x:v>남부 동측 표본(CW35)</x:v>
      </x:c>
      <x:c r="D16" s="37" t="str">
        <x:v>C* 미승인 AI후보 5개 전부 승인 가정</x:v>
      </x:c>
      <x:c r="E16" s="37" t="str">
        <x:v>비공식 스트레스테스트; 실제 C 아님</x:v>
      </x:c>
      <x:c r="F16" s="37" t="str">
        <x:v>CW01;CW04;CW10;CW13;CW18</x:v>
      </x:c>
      <x:c r="G16" s="37" t="str">
        <x:v>W318729204_S2;W38609253_S0;W589960556_S5;W589960556_S7;W915477947_S2</x:v>
      </x:c>
      <x:c r="H16" s="58" t="n">
        <x:v>1591.7</x:v>
      </x:c>
      <x:c r="I16" s="58" t="str">
        <x:v>Y</x:v>
      </x:c>
      <x:c r="J16" s="58" t="n">
        <x:v>1655.9</x:v>
      </x:c>
      <x:c r="K16" s="58" t="n">
        <x:v>64.2</x:v>
      </x:c>
      <x:c r="L16" s="60" t="n">
        <x:v>4.03</x:v>
      </x:c>
      <x:c r="M16" s="37" t="str">
        <x:v>Y</x:v>
      </x:c>
      <x:c r="N16" s="37" t="n">
        <x:v>1</x:v>
      </x:c>
      <x:c r="O16" s="37" t="str">
        <x:v>사람 승인 전 의사결정용 민감도 분석이며 경로 안내에 사용 금지</x:v>
      </x:c>
    </x:row>
  </x:sheetData>
  <x:conditionalFormatting sqref="M7:M16">
    <x:cfRule type="containsText" dxfId="22" priority="1" operator="containsText" text="Y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10" hidden="0" customWidth="1"/>
    <x:col min="4" max="4" width="13" hidden="0" customWidth="1"/>
    <x:col min="5" max="5" width="13" hidden="0" customWidth="1"/>
    <x:col min="6" max="6" width="10" hidden="0" customWidth="1"/>
    <x:col min="7" max="7" width="10" hidden="0" customWidth="1"/>
    <x:col min="8" max="8" width="12" hidden="0" customWidth="1"/>
    <x:col min="9" max="9" width="12" hidden="0" customWidth="1"/>
    <x:col min="10" max="10" width="24" hidden="0" customWidth="1"/>
    <x:col min="11" max="11" width="14" hidden="0" customWidth="1"/>
    <x:col min="12" max="12" width="14" hidden="0" customWidth="1"/>
    <x:col min="13" max="13" width="18" hidden="0" customWidth="1"/>
    <x:col min="14" max="14" width="14" hidden="0" customWidth="1"/>
    <x:col min="15" max="15" width="13" hidden="0" customWidth="1"/>
    <x:col min="16" max="16" width="18" hidden="0" customWidth="1"/>
    <x:col min="17" max="17" width="13" hidden="0" customWidth="1"/>
    <x:col min="18" max="18" width="20" hidden="0" customWidth="1"/>
    <x:col min="19" max="19" width="12" hidden="0" customWidth="1"/>
    <x:col min="20" max="20" width="48" hidden="0" customWidth="1"/>
  </x:cols>
  <x:sheetData>
    <x:row r="1">
      <x:c r="A1" s="39"/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</x:row>
    <x:row r="2" ht="22" customHeight="1">
      <x:c r="A2" s="1" t="str">
        <x:v>대표 회랑 횡단보도 40건</x:v>
      </x:c>
    </x:row>
    <x:row r="3" ht="22" customHeight="1">
      <x:c r="A3" s="2" t="str">
        <x:v>회랑 중심선 근접도 기준으로 접근성 명시 20건과 공란 20건을 선택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2" t="str">
        <x:v>원자료: https://www.data.go.kr/data/15042415/fileData.do</x:v>
      </x:c>
    </x:row>
    <x:row r="6" ht="30" customHeight="1">
      <x:c r="A6" s="12" t="str">
        <x:v>표본 ID</x:v>
      </x:c>
      <x:c r="B6" s="34" t="str">
        <x:v>관리번호</x:v>
      </x:c>
      <x:c r="C6" s="34" t="str">
        <x:v>관할지역</x:v>
      </x:c>
      <x:c r="D6" s="34" t="str">
        <x:v>위도</x:v>
      </x:c>
      <x:c r="E6" s="34" t="str">
        <x:v>경도</x:v>
      </x:c>
      <x:c r="F6" s="34" t="str">
        <x:v>길이(m)</x:v>
      </x:c>
      <x:c r="G6" s="34" t="str">
        <x:v>폭(m)</x:v>
      </x:c>
      <x:c r="H6" s="34" t="str">
        <x:v>보도턱</x:v>
      </x:c>
      <x:c r="I6" s="34" t="str">
        <x:v>점자블록</x:v>
      </x:c>
      <x:c r="J6" s="34" t="str">
        <x:v>공공 상태</x:v>
      </x:c>
      <x:c r="K6" s="34" t="str">
        <x:v>중심선 거리(m)</x:v>
      </x:c>
      <x:c r="L6" s="34" t="str">
        <x:v>체인리지(m)</x:v>
      </x:c>
      <x:c r="M6" s="34" t="str">
        <x:v>대체엣지 ID</x:v>
      </x:c>
      <x:c r="N6" s="34" t="str">
        <x:v>OSM way</x:v>
      </x:c>
      <x:c r="O6" s="34" t="str">
        <x:v>도로유형</x:v>
      </x:c>
      <x:c r="P6" s="34" t="str">
        <x:v>도로명</x:v>
      </x:c>
      <x:c r="Q6" s="34" t="str">
        <x:v>스냅거리(m)</x:v>
      </x:c>
      <x:c r="R6" s="34" t="str">
        <x:v>지오메트리 품질</x:v>
      </x:c>
      <x:c r="S6" s="34" t="str">
        <x:v>2인검수 표본</x:v>
      </x:c>
      <x:c r="T6" s="13" t="str">
        <x:v>로드뷰</x:v>
      </x:c>
    </x:row>
    <x:row r="7" ht="22" customHeight="1">
      <x:c r="A7" s="26" t="str">
        <x:v>CW01</x:v>
      </x:c>
      <x:c r="B7" s="26" t="str">
        <x:v>2024121199</x:v>
      </x:c>
      <x:c r="C7" s="26" t="str">
        <x:v>안양1동</x:v>
      </x:c>
      <x:c r="D7" s="47" t="n">
        <x:v>37.40242493</x:v>
      </x:c>
      <x:c r="E7" s="47" t="n">
        <x:v>126.9226883</x:v>
      </x:c>
      <x:c r="F7" s="49" t="n">
        <x:v>9.08</x:v>
      </x:c>
      <x:c r="G7" s="49" t="n">
        <x:v>4.98</x:v>
      </x:c>
      <x:c r="H7" s="26" t="str"/>
      <x:c r="I7" s="26" t="str"/>
      <x:c r="J7" s="26" t="str">
        <x:v>unknown</x:v>
      </x:c>
      <x:c r="K7" s="54" t="n">
        <x:v>28.12</x:v>
      </x:c>
      <x:c r="L7" s="54" t="n">
        <x:v>0</x:v>
      </x:c>
      <x:c r="M7" s="26" t="str">
        <x:v>W589960556_S7</x:v>
      </x:c>
      <x:c r="N7" s="26" t="str">
        <x:v>589960556</x:v>
      </x:c>
      <x:c r="O7" s="26" t="str">
        <x:v>residential</x:v>
      </x:c>
      <x:c r="P7" s="26" t="str">
        <x:v>태평로</x:v>
      </x:c>
      <x:c r="Q7" s="49" t="n">
        <x:v>5.35</x:v>
      </x:c>
      <x:c r="R7" s="26" t="str">
        <x:v>provisional_high</x:v>
      </x:c>
      <x:c r="S7" s="26" t="str">
        <x:v>Y</x:v>
      </x:c>
      <x:c r="T7" s="26" t="str">
        <x:v>https://map.kakao.com/link/roadview/37.4024249,126.9226883</x:v>
      </x:c>
    </x:row>
    <x:row r="8" ht="22" customHeight="1">
      <x:c r="A8" s="28" t="str">
        <x:v>CW02</x:v>
      </x:c>
      <x:c r="B8" s="28" t="str">
        <x:v>2024121207</x:v>
      </x:c>
      <x:c r="C8" s="28" t="str">
        <x:v>안양1동</x:v>
      </x:c>
      <x:c r="D8" s="48" t="n">
        <x:v>37.40225438</x:v>
      </x:c>
      <x:c r="E8" s="48" t="n">
        <x:v>126.9216164</x:v>
      </x:c>
      <x:c r="F8" s="30" t="n">
        <x:v>7.16</x:v>
      </x:c>
      <x:c r="G8" s="30" t="n">
        <x:v>4.12</x:v>
      </x:c>
      <x:c r="H8" s="28" t="str"/>
      <x:c r="I8" s="28" t="str"/>
      <x:c r="J8" s="28" t="str">
        <x:v>unknown</x:v>
      </x:c>
      <x:c r="K8" s="55" t="n">
        <x:v>78.24</x:v>
      </x:c>
      <x:c r="L8" s="55" t="n">
        <x:v>0</x:v>
      </x:c>
      <x:c r="M8" s="28" t="str">
        <x:v>W844180368_S0</x:v>
      </x:c>
      <x:c r="N8" s="28" t="str">
        <x:v>844180368</x:v>
      </x:c>
      <x:c r="O8" s="28" t="str">
        <x:v>service</x:v>
      </x:c>
      <x:c r="P8" s="28" t="str"/>
      <x:c r="Q8" s="30" t="n">
        <x:v>0.64</x:v>
      </x:c>
      <x:c r="R8" s="28" t="str">
        <x:v>provisional_high</x:v>
      </x:c>
      <x:c r="S8" s="28" t="str">
        <x:v>N</x:v>
      </x:c>
      <x:c r="T8" s="28" t="str">
        <x:v>https://map.kakao.com/link/roadview/37.4022544,126.9216164</x:v>
      </x:c>
    </x:row>
    <x:row r="9" ht="22" customHeight="1">
      <x:c r="A9" s="28" t="str">
        <x:v>CW03</x:v>
      </x:c>
      <x:c r="B9" s="28" t="str">
        <x:v>2024121198</x:v>
      </x:c>
      <x:c r="C9" s="28" t="str">
        <x:v>안양1동</x:v>
      </x:c>
      <x:c r="D9" s="48" t="n">
        <x:v>37.40302041</x:v>
      </x:c>
      <x:c r="E9" s="48" t="n">
        <x:v>126.9222916</x:v>
      </x:c>
      <x:c r="F9" s="30" t="n">
        <x:v>7.02</x:v>
      </x:c>
      <x:c r="G9" s="30" t="n">
        <x:v>6.48</x:v>
      </x:c>
      <x:c r="H9" s="28" t="str"/>
      <x:c r="I9" s="28" t="str"/>
      <x:c r="J9" s="28" t="str">
        <x:v>unknown</x:v>
      </x:c>
      <x:c r="K9" s="55" t="n">
        <x:v>90.38</x:v>
      </x:c>
      <x:c r="L9" s="55" t="n">
        <x:v>0</x:v>
      </x:c>
      <x:c r="M9" s="28" t="str">
        <x:v>W589960556_S7</x:v>
      </x:c>
      <x:c r="N9" s="28" t="str">
        <x:v>589960556</x:v>
      </x:c>
      <x:c r="O9" s="28" t="str">
        <x:v>residential</x:v>
      </x:c>
      <x:c r="P9" s="28" t="str">
        <x:v>태평로</x:v>
      </x:c>
      <x:c r="Q9" s="30" t="n">
        <x:v>3.4</x:v>
      </x:c>
      <x:c r="R9" s="28" t="str">
        <x:v>provisional_high</x:v>
      </x:c>
      <x:c r="S9" s="28" t="str">
        <x:v>Y</x:v>
      </x:c>
      <x:c r="T9" s="28" t="str">
        <x:v>https://map.kakao.com/link/roadview/37.4030204,126.9222916</x:v>
      </x:c>
    </x:row>
    <x:row r="10" ht="22" customHeight="1">
      <x:c r="A10" s="28" t="str">
        <x:v>CW04</x:v>
      </x:c>
      <x:c r="B10" s="28" t="str">
        <x:v>2024121191</x:v>
      </x:c>
      <x:c r="C10" s="28" t="str">
        <x:v>안양1동</x:v>
      </x:c>
      <x:c r="D10" s="48" t="n">
        <x:v>37.40225822</x:v>
      </x:c>
      <x:c r="E10" s="48" t="n">
        <x:v>126.9214135</x:v>
      </x:c>
      <x:c r="F10" s="30" t="n">
        <x:v>14.92</x:v>
      </x:c>
      <x:c r="G10" s="30" t="n">
        <x:v>14.37</x:v>
      </x:c>
      <x:c r="H10" s="28" t="str"/>
      <x:c r="I10" s="28" t="str"/>
      <x:c r="J10" s="28" t="str">
        <x:v>unknown</x:v>
      </x:c>
      <x:c r="K10" s="55" t="n">
        <x:v>96.18</x:v>
      </x:c>
      <x:c r="L10" s="55" t="n">
        <x:v>0</x:v>
      </x:c>
      <x:c r="M10" s="28" t="str">
        <x:v>W915477947_S2</x:v>
      </x:c>
      <x:c r="N10" s="28" t="str">
        <x:v>915477947</x:v>
      </x:c>
      <x:c r="O10" s="28" t="str">
        <x:v>tertiary</x:v>
      </x:c>
      <x:c r="P10" s="28" t="str">
        <x:v>만안로</x:v>
      </x:c>
      <x:c r="Q10" s="30" t="n">
        <x:v>4.72</x:v>
      </x:c>
      <x:c r="R10" s="28" t="str">
        <x:v>provisional_high</x:v>
      </x:c>
      <x:c r="S10" s="28" t="str">
        <x:v>N</x:v>
      </x:c>
      <x:c r="T10" s="28" t="str">
        <x:v>https://map.kakao.com/link/roadview/37.4022582,126.9214135</x:v>
      </x:c>
    </x:row>
    <x:row r="11" ht="22" customHeight="1">
      <x:c r="A11" s="28" t="str">
        <x:v>CW05</x:v>
      </x:c>
      <x:c r="B11" s="28" t="str">
        <x:v>2024121201</x:v>
      </x:c>
      <x:c r="C11" s="28" t="str">
        <x:v>안양1동</x:v>
      </x:c>
      <x:c r="D11" s="48" t="n">
        <x:v>37.40217779</x:v>
      </x:c>
      <x:c r="E11" s="48" t="n">
        <x:v>126.9229561</x:v>
      </x:c>
      <x:c r="F11" s="30" t="n">
        <x:v>8.25</x:v>
      </x:c>
      <x:c r="G11" s="30" t="n">
        <x:v>7.71</x:v>
      </x:c>
      <x:c r="H11" s="28" t="str"/>
      <x:c r="I11" s="28" t="str"/>
      <x:c r="J11" s="28" t="str">
        <x:v>unknown</x:v>
      </x:c>
      <x:c r="K11" s="55" t="n">
        <x:v>39.13</x:v>
      </x:c>
      <x:c r="L11" s="55" t="n">
        <x:v>10.83</x:v>
      </x:c>
      <x:c r="M11" s="28" t="str">
        <x:v>W589960556_S6</x:v>
      </x:c>
      <x:c r="N11" s="28" t="str">
        <x:v>589960556</x:v>
      </x:c>
      <x:c r="O11" s="28" t="str">
        <x:v>residential</x:v>
      </x:c>
      <x:c r="P11" s="28" t="str">
        <x:v>태평로</x:v>
      </x:c>
      <x:c r="Q11" s="30" t="n">
        <x:v>0.47</x:v>
      </x:c>
      <x:c r="R11" s="28" t="str">
        <x:v>provisional_high</x:v>
      </x:c>
      <x:c r="S11" s="28" t="str">
        <x:v>Y</x:v>
      </x:c>
      <x:c r="T11" s="28" t="str">
        <x:v>https://map.kakao.com/link/roadview/37.4021778,126.9229561</x:v>
      </x:c>
    </x:row>
    <x:row r="12" ht="22" customHeight="1">
      <x:c r="A12" s="28" t="str">
        <x:v>CW06</x:v>
      </x:c>
      <x:c r="B12" s="28" t="str">
        <x:v>2024121072</x:v>
      </x:c>
      <x:c r="C12" s="28" t="str">
        <x:v>안양1동</x:v>
      </x:c>
      <x:c r="D12" s="48" t="n">
        <x:v>37.40180602</x:v>
      </x:c>
      <x:c r="E12" s="48" t="n">
        <x:v>126.921626</x:v>
      </x:c>
      <x:c r="F12" s="30" t="n">
        <x:v>11.1</x:v>
      </x:c>
      <x:c r="G12" s="30" t="n">
        <x:v>7.96</x:v>
      </x:c>
      <x:c r="H12" s="28" t="str"/>
      <x:c r="I12" s="28" t="str"/>
      <x:c r="J12" s="28" t="str">
        <x:v>unknown</x:v>
      </x:c>
      <x:c r="K12" s="55" t="n">
        <x:v>83.43</x:v>
      </x:c>
      <x:c r="L12" s="55" t="n">
        <x:v>33.29</x:v>
      </x:c>
      <x:c r="M12" s="28" t="str">
        <x:v>W837321098_S0</x:v>
      </x:c>
      <x:c r="N12" s="28" t="str">
        <x:v>837321098</x:v>
      </x:c>
      <x:c r="O12" s="28" t="str">
        <x:v>residential</x:v>
      </x:c>
      <x:c r="P12" s="28" t="str">
        <x:v>만안로</x:v>
      </x:c>
      <x:c r="Q12" s="30" t="n">
        <x:v>1.4</x:v>
      </x:c>
      <x:c r="R12" s="28" t="str">
        <x:v>provisional_high</x:v>
      </x:c>
      <x:c r="S12" s="28" t="str">
        <x:v>N</x:v>
      </x:c>
      <x:c r="T12" s="28" t="str">
        <x:v>https://map.kakao.com/link/roadview/37.4018060,126.9216260</x:v>
      </x:c>
    </x:row>
    <x:row r="13" ht="22" customHeight="1">
      <x:c r="A13" s="28" t="str">
        <x:v>CW07</x:v>
      </x:c>
      <x:c r="B13" s="28" t="str">
        <x:v>2024121209</x:v>
      </x:c>
      <x:c r="C13" s="28" t="str">
        <x:v>안양1동</x:v>
      </x:c>
      <x:c r="D13" s="48" t="n">
        <x:v>37.40173706</x:v>
      </x:c>
      <x:c r="E13" s="48" t="n">
        <x:v>126.9217644</x:v>
      </x:c>
      <x:c r="F13" s="30" t="n">
        <x:v>6.76</x:v>
      </x:c>
      <x:c r="G13" s="30" t="n">
        <x:v>6.05</x:v>
      </x:c>
      <x:c r="H13" s="28" t="str"/>
      <x:c r="I13" s="28" t="str"/>
      <x:c r="J13" s="28" t="str">
        <x:v>unknown</x:v>
      </x:c>
      <x:c r="K13" s="55" t="n">
        <x:v>72.51</x:v>
      </x:c>
      <x:c r="L13" s="55" t="n">
        <x:v>42.71</x:v>
      </x:c>
      <x:c r="M13" s="28" t="str">
        <x:v>W318729249_S0</x:v>
      </x:c>
      <x:c r="N13" s="28" t="str">
        <x:v>318729249</x:v>
      </x:c>
      <x:c r="O13" s="28" t="str">
        <x:v>tertiary</x:v>
      </x:c>
      <x:c r="P13" s="28" t="str">
        <x:v>만안로223번길</x:v>
      </x:c>
      <x:c r="Q13" s="30" t="n">
        <x:v>3.53</x:v>
      </x:c>
      <x:c r="R13" s="28" t="str">
        <x:v>provisional_high</x:v>
      </x:c>
      <x:c r="S13" s="28" t="str">
        <x:v>Y</x:v>
      </x:c>
      <x:c r="T13" s="28" t="str">
        <x:v>https://map.kakao.com/link/roadview/37.4017371,126.9217644</x:v>
      </x:c>
    </x:row>
    <x:row r="14" ht="22" customHeight="1">
      <x:c r="A14" s="28" t="str">
        <x:v>CW08</x:v>
      </x:c>
      <x:c r="B14" s="28" t="str">
        <x:v>2024121206</x:v>
      </x:c>
      <x:c r="C14" s="28" t="str">
        <x:v>안양1동</x:v>
      </x:c>
      <x:c r="D14" s="48" t="n">
        <x:v>37.40153402</x:v>
      </x:c>
      <x:c r="E14" s="48" t="n">
        <x:v>126.9234847</x:v>
      </x:c>
      <x:c r="F14" s="30" t="n">
        <x:v>7.25</x:v>
      </x:c>
      <x:c r="G14" s="30" t="n">
        <x:v>6.72</x:v>
      </x:c>
      <x:c r="H14" s="28" t="str"/>
      <x:c r="I14" s="28" t="str"/>
      <x:c r="J14" s="28" t="str">
        <x:v>unknown</x:v>
      </x:c>
      <x:c r="K14" s="55" t="n">
        <x:v>74.34</x:v>
      </x:c>
      <x:c r="L14" s="55" t="n">
        <x:v>88.36</x:v>
      </x:c>
      <x:c r="M14" s="28" t="str">
        <x:v>W589960556_S6</x:v>
      </x:c>
      <x:c r="N14" s="28" t="str">
        <x:v>589960556</x:v>
      </x:c>
      <x:c r="O14" s="28" t="str">
        <x:v>residential</x:v>
      </x:c>
      <x:c r="P14" s="28" t="str">
        <x:v>태평로</x:v>
      </x:c>
      <x:c r="Q14" s="30" t="n">
        <x:v>0.44</x:v>
      </x:c>
      <x:c r="R14" s="28" t="str">
        <x:v>provisional_high</x:v>
      </x:c>
      <x:c r="S14" s="28" t="str">
        <x:v>N</x:v>
      </x:c>
      <x:c r="T14" s="28" t="str">
        <x:v>https://map.kakao.com/link/roadview/37.4015340,126.9234847</x:v>
      </x:c>
    </x:row>
    <x:row r="15" ht="22" customHeight="1">
      <x:c r="A15" s="28" t="str">
        <x:v>CW09</x:v>
      </x:c>
      <x:c r="B15" s="28" t="str">
        <x:v>2024121203</x:v>
      </x:c>
      <x:c r="C15" s="28" t="str">
        <x:v>안양1동</x:v>
      </x:c>
      <x:c r="D15" s="48" t="n">
        <x:v>37.40126888</x:v>
      </x:c>
      <x:c r="E15" s="48" t="n">
        <x:v>126.9222862</x:v>
      </x:c>
      <x:c r="F15" s="30" t="n">
        <x:v>8.59</x:v>
      </x:c>
      <x:c r="G15" s="30" t="n">
        <x:v>7.16</x:v>
      </x:c>
      <x:c r="H15" s="28" t="str"/>
      <x:c r="I15" s="28" t="str"/>
      <x:c r="J15" s="28" t="str">
        <x:v>unknown</x:v>
      </x:c>
      <x:c r="K15" s="55" t="n">
        <x:v>34.9</x:v>
      </x:c>
      <x:c r="L15" s="55" t="n">
        <x:v>100.96</x:v>
      </x:c>
      <x:c r="M15" s="28" t="str">
        <x:v>W554922640_S1</x:v>
      </x:c>
      <x:c r="N15" s="28" t="str">
        <x:v>554922640</x:v>
      </x:c>
      <x:c r="O15" s="28" t="str">
        <x:v>tertiary</x:v>
      </x:c>
      <x:c r="P15" s="28" t="str">
        <x:v>만안로</x:v>
      </x:c>
      <x:c r="Q15" s="30" t="n">
        <x:v>0.58</x:v>
      </x:c>
      <x:c r="R15" s="28" t="str">
        <x:v>provisional_high</x:v>
      </x:c>
      <x:c r="S15" s="28" t="str">
        <x:v>Y</x:v>
      </x:c>
      <x:c r="T15" s="28" t="str">
        <x:v>https://map.kakao.com/link/roadview/37.4012689,126.9222862</x:v>
      </x:c>
    </x:row>
    <x:row r="16" ht="22" customHeight="1">
      <x:c r="A16" s="28" t="str">
        <x:v>CW10</x:v>
      </x:c>
      <x:c r="B16" s="28" t="str">
        <x:v>2024121208</x:v>
      </x:c>
      <x:c r="C16" s="28" t="str">
        <x:v>안양1동</x:v>
      </x:c>
      <x:c r="D16" s="48" t="n">
        <x:v>37.40125246</x:v>
      </x:c>
      <x:c r="E16" s="48" t="n">
        <x:v>126.9237238</x:v>
      </x:c>
      <x:c r="F16" s="30" t="n">
        <x:v>9.43</x:v>
      </x:c>
      <x:c r="G16" s="30" t="n">
        <x:v>8.03</x:v>
      </x:c>
      <x:c r="H16" s="28" t="str"/>
      <x:c r="I16" s="28" t="str"/>
      <x:c r="J16" s="28" t="str">
        <x:v>unknown</x:v>
      </x:c>
      <x:c r="K16" s="55" t="n">
        <x:v>90.43</x:v>
      </x:c>
      <x:c r="L16" s="55" t="n">
        <x:v>122.37</x:v>
      </x:c>
      <x:c r="M16" s="28" t="str">
        <x:v>W589960556_S5</x:v>
      </x:c>
      <x:c r="N16" s="28" t="str">
        <x:v>589960556</x:v>
      </x:c>
      <x:c r="O16" s="28" t="str">
        <x:v>residential</x:v>
      </x:c>
      <x:c r="P16" s="28" t="str">
        <x:v>태평로</x:v>
      </x:c>
      <x:c r="Q16" s="30" t="n">
        <x:v>1.35</x:v>
      </x:c>
      <x:c r="R16" s="28" t="str">
        <x:v>provisional_high</x:v>
      </x:c>
      <x:c r="S16" s="28" t="str">
        <x:v>N</x:v>
      </x:c>
      <x:c r="T16" s="28" t="str">
        <x:v>https://map.kakao.com/link/roadview/37.4012525,126.9237238</x:v>
      </x:c>
    </x:row>
    <x:row r="17" ht="22" customHeight="1">
      <x:c r="A17" s="28" t="str">
        <x:v>CW11</x:v>
      </x:c>
      <x:c r="B17" s="28" t="str">
        <x:v>2024121196</x:v>
      </x:c>
      <x:c r="C17" s="28" t="str">
        <x:v>안양1동</x:v>
      </x:c>
      <x:c r="D17" s="48" t="n">
        <x:v>37.40103172</x:v>
      </x:c>
      <x:c r="E17" s="48" t="n">
        <x:v>126.9227142</x:v>
      </x:c>
      <x:c r="F17" s="30" t="n">
        <x:v>4.57</x:v>
      </x:c>
      <x:c r="G17" s="30" t="n">
        <x:v>4.56</x:v>
      </x:c>
      <x:c r="H17" s="28" t="str"/>
      <x:c r="I17" s="28" t="str"/>
      <x:c r="J17" s="28" t="str">
        <x:v>unknown</x:v>
      </x:c>
      <x:c r="K17" s="55" t="n">
        <x:v>1.55</x:v>
      </x:c>
      <x:c r="L17" s="55" t="n">
        <x:v>132.7</x:v>
      </x:c>
      <x:c r="M17" s="28" t="str">
        <x:v>W837321092_S6</x:v>
      </x:c>
      <x:c r="N17" s="28" t="str">
        <x:v>837321092</x:v>
      </x:c>
      <x:c r="O17" s="28" t="str">
        <x:v>service</x:v>
      </x:c>
      <x:c r="P17" s="28" t="str"/>
      <x:c r="Q17" s="30" t="n">
        <x:v>4.77</x:v>
      </x:c>
      <x:c r="R17" s="28" t="str">
        <x:v>provisional_high</x:v>
      </x:c>
      <x:c r="S17" s="28" t="str">
        <x:v>N</x:v>
      </x:c>
      <x:c r="T17" s="28" t="str">
        <x:v>https://map.kakao.com/link/roadview/37.4010317,126.9227142</x:v>
      </x:c>
    </x:row>
    <x:row r="18" ht="22" customHeight="1">
      <x:c r="A18" s="28" t="str">
        <x:v>CW12</x:v>
      </x:c>
      <x:c r="B18" s="28" t="str">
        <x:v>2024121197</x:v>
      </x:c>
      <x:c r="C18" s="28" t="str">
        <x:v>안양1동</x:v>
      </x:c>
      <x:c r="D18" s="48" t="n">
        <x:v>37.40100243</x:v>
      </x:c>
      <x:c r="E18" s="48" t="n">
        <x:v>126.9226606</x:v>
      </x:c>
      <x:c r="F18" s="30" t="n">
        <x:v>3.39</x:v>
      </x:c>
      <x:c r="G18" s="30" t="n">
        <x:v>2.87</x:v>
      </x:c>
      <x:c r="H18" s="28" t="str"/>
      <x:c r="I18" s="28" t="str"/>
      <x:c r="J18" s="28" t="str">
        <x:v>unknown</x:v>
      </x:c>
      <x:c r="K18" s="55" t="n">
        <x:v>6.73</x:v>
      </x:c>
      <x:c r="L18" s="55" t="n">
        <x:v>135.17</x:v>
      </x:c>
      <x:c r="M18" s="28" t="str">
        <x:v>W837321092_S6</x:v>
      </x:c>
      <x:c r="N18" s="28" t="str">
        <x:v>837321092</x:v>
      </x:c>
      <x:c r="O18" s="28" t="str">
        <x:v>service</x:v>
      </x:c>
      <x:c r="P18" s="28" t="str"/>
      <x:c r="Q18" s="30" t="n">
        <x:v>0.96</x:v>
      </x:c>
      <x:c r="R18" s="28" t="str">
        <x:v>provisional_high</x:v>
      </x:c>
      <x:c r="S18" s="28" t="str">
        <x:v>Y</x:v>
      </x:c>
      <x:c r="T18" s="28" t="str">
        <x:v>https://map.kakao.com/link/roadview/37.4010024,126.9226606</x:v>
      </x:c>
    </x:row>
    <x:row r="19" ht="22" customHeight="1">
      <x:c r="A19" s="28" t="str">
        <x:v>CW13</x:v>
      </x:c>
      <x:c r="B19" s="28" t="str">
        <x:v>2024121190</x:v>
      </x:c>
      <x:c r="C19" s="28" t="str">
        <x:v>안양1동</x:v>
      </x:c>
      <x:c r="D19" s="48" t="n">
        <x:v>37.400866</x:v>
      </x:c>
      <x:c r="E19" s="48" t="n">
        <x:v>126.9218769</x:v>
      </x:c>
      <x:c r="F19" s="30" t="n">
        <x:v>12.89</x:v>
      </x:c>
      <x:c r="G19" s="30" t="n">
        <x:v>11.18</x:v>
      </x:c>
      <x:c r="H19" s="28" t="str"/>
      <x:c r="I19" s="28" t="str"/>
      <x:c r="J19" s="28" t="str">
        <x:v>unknown</x:v>
      </x:c>
      <x:c r="K19" s="55" t="n">
        <x:v>77.54</x:v>
      </x:c>
      <x:c r="L19" s="55" t="n">
        <x:v>139.38</x:v>
      </x:c>
      <x:c r="M19" s="28" t="str">
        <x:v>W318729204_S2</x:v>
      </x:c>
      <x:c r="N19" s="28" t="str">
        <x:v>318729204</x:v>
      </x:c>
      <x:c r="O19" s="28" t="str">
        <x:v>tertiary</x:v>
      </x:c>
      <x:c r="P19" s="28" t="str"/>
      <x:c r="Q19" s="30" t="n">
        <x:v>1.68</x:v>
      </x:c>
      <x:c r="R19" s="28" t="str">
        <x:v>provisional_high</x:v>
      </x:c>
      <x:c r="S19" s="28" t="str">
        <x:v>N</x:v>
      </x:c>
      <x:c r="T19" s="28" t="str">
        <x:v>https://map.kakao.com/link/roadview/37.4008660,126.9218769</x:v>
      </x:c>
    </x:row>
    <x:row r="20" ht="22" customHeight="1">
      <x:c r="A20" s="28" t="str">
        <x:v>CW14</x:v>
      </x:c>
      <x:c r="B20" s="28" t="str">
        <x:v>2024120086</x:v>
      </x:c>
      <x:c r="C20" s="28" t="str">
        <x:v>안양1동</x:v>
      </x:c>
      <x:c r="D20" s="48" t="n">
        <x:v>37.39955921</x:v>
      </x:c>
      <x:c r="E20" s="48" t="n">
        <x:v>126.9238808</x:v>
      </x:c>
      <x:c r="F20" s="30" t="n">
        <x:v>16.2</x:v>
      </x:c>
      <x:c r="G20" s="30" t="n">
        <x:v>15.79</x:v>
      </x:c>
      <x:c r="H20" s="28" t="str"/>
      <x:c r="I20" s="28" t="str"/>
      <x:c r="J20" s="28" t="str">
        <x:v>unknown</x:v>
      </x:c>
      <x:c r="K20" s="55" t="n">
        <x:v>75.28</x:v>
      </x:c>
      <x:c r="L20" s="55" t="n">
        <x:v>309.44</x:v>
      </x:c>
      <x:c r="M20" s="28" t="str">
        <x:v>W318729248_S38</x:v>
      </x:c>
      <x:c r="N20" s="28" t="str">
        <x:v>318729248</x:v>
      </x:c>
      <x:c r="O20" s="28" t="str">
        <x:v>tertiary</x:v>
      </x:c>
      <x:c r="P20" s="28" t="str">
        <x:v>만안로</x:v>
      </x:c>
      <x:c r="Q20" s="30" t="n">
        <x:v>0.47</x:v>
      </x:c>
      <x:c r="R20" s="28" t="str">
        <x:v>provisional_high</x:v>
      </x:c>
      <x:c r="S20" s="28" t="str">
        <x:v>Y</x:v>
      </x:c>
      <x:c r="T20" s="28" t="str">
        <x:v>https://map.kakao.com/link/roadview/37.3995592,126.9238808</x:v>
      </x:c>
    </x:row>
    <x:row r="21" ht="22" customHeight="1">
      <x:c r="A21" s="28" t="str">
        <x:v>CW15</x:v>
      </x:c>
      <x:c r="B21" s="28" t="str">
        <x:v>2024122521</x:v>
      </x:c>
      <x:c r="C21" s="28" t="str">
        <x:v>안양1동</x:v>
      </x:c>
      <x:c r="D21" s="48" t="n">
        <x:v>37.39838246</x:v>
      </x:c>
      <x:c r="E21" s="48" t="n">
        <x:v>126.9242529</x:v>
      </x:c>
      <x:c r="F21" s="30" t="n">
        <x:v>14.47</x:v>
      </x:c>
      <x:c r="G21" s="30" t="n">
        <x:v>12.5</x:v>
      </x:c>
      <x:c r="H21" s="28" t="str"/>
      <x:c r="I21" s="28" t="str"/>
      <x:c r="J21" s="28" t="str">
        <x:v>unknown</x:v>
      </x:c>
      <x:c r="K21" s="55" t="n">
        <x:v>86.86</x:v>
      </x:c>
      <x:c r="L21" s="55" t="n">
        <x:v>444.55</x:v>
      </x:c>
      <x:c r="M21" s="28" t="str">
        <x:v>W380073444_S0</x:v>
      </x:c>
      <x:c r="N21" s="28" t="str">
        <x:v>380073444</x:v>
      </x:c>
      <x:c r="O21" s="28" t="str">
        <x:v>tertiary</x:v>
      </x:c>
      <x:c r="P21" s="28" t="str">
        <x:v>일번가지하차도</x:v>
      </x:c>
      <x:c r="Q21" s="30" t="n">
        <x:v>0.73</x:v>
      </x:c>
      <x:c r="R21" s="28" t="str">
        <x:v>provisional_high</x:v>
      </x:c>
      <x:c r="S21" s="28" t="str">
        <x:v>N</x:v>
      </x:c>
      <x:c r="T21" s="28" t="str">
        <x:v>https://map.kakao.com/link/roadview/37.3983825,126.9242529</x:v>
      </x:c>
    </x:row>
    <x:row r="22" ht="22" customHeight="1">
      <x:c r="A22" s="28" t="str">
        <x:v>CW16</x:v>
      </x:c>
      <x:c r="B22" s="28" t="str">
        <x:v>2024122517</x:v>
      </x:c>
      <x:c r="C22" s="28" t="str">
        <x:v>안양1동</x:v>
      </x:c>
      <x:c r="D22" s="48" t="n">
        <x:v>37.39758646</x:v>
      </x:c>
      <x:c r="E22" s="48" t="n">
        <x:v>126.9227402</x:v>
      </x:c>
      <x:c r="F22" s="30" t="n">
        <x:v>18.19</x:v>
      </x:c>
      <x:c r="G22" s="30" t="n">
        <x:v>12.5</x:v>
      </x:c>
      <x:c r="H22" s="28" t="str"/>
      <x:c r="I22" s="28" t="str"/>
      <x:c r="J22" s="28" t="str">
        <x:v>unknown</x:v>
      </x:c>
      <x:c r="K22" s="55" t="n">
        <x:v>60.02</x:v>
      </x:c>
      <x:c r="L22" s="55" t="n">
        <x:v>508.32</x:v>
      </x:c>
      <x:c r="M22" s="28" t="str">
        <x:v>W863717799_S8</x:v>
      </x:c>
      <x:c r="N22" s="28" t="str">
        <x:v>863717799</x:v>
      </x:c>
      <x:c r="O22" s="28" t="str">
        <x:v>tertiary</x:v>
      </x:c>
      <x:c r="P22" s="28" t="str">
        <x:v>장내로</x:v>
      </x:c>
      <x:c r="Q22" s="30" t="n">
        <x:v>1.36</x:v>
      </x:c>
      <x:c r="R22" s="28" t="str">
        <x:v>provisional_high</x:v>
      </x:c>
      <x:c r="S22" s="28" t="str">
        <x:v>Y</x:v>
      </x:c>
      <x:c r="T22" s="28" t="str">
        <x:v>https://map.kakao.com/link/roadview/37.3975865,126.9227402</x:v>
      </x:c>
    </x:row>
    <x:row r="23" ht="22" customHeight="1">
      <x:c r="A23" s="28" t="str">
        <x:v>CW17</x:v>
      </x:c>
      <x:c r="B23" s="28" t="str">
        <x:v>2024122512</x:v>
      </x:c>
      <x:c r="C23" s="28" t="str">
        <x:v>안양1동</x:v>
      </x:c>
      <x:c r="D23" s="48" t="n">
        <x:v>37.39670022</x:v>
      </x:c>
      <x:c r="E23" s="48" t="n">
        <x:v>126.9233629</x:v>
      </x:c>
      <x:c r="F23" s="30" t="n">
        <x:v>7.37</x:v>
      </x:c>
      <x:c r="G23" s="30" t="n">
        <x:v>6.22</x:v>
      </x:c>
      <x:c r="H23" s="28" t="str"/>
      <x:c r="I23" s="28" t="str"/>
      <x:c r="J23" s="28" t="str">
        <x:v>unknown</x:v>
      </x:c>
      <x:c r="K23" s="55" t="n">
        <x:v>22.55</x:v>
      </x:c>
      <x:c r="L23" s="55" t="n">
        <x:v>614.27</x:v>
      </x:c>
      <x:c r="M23" s="28" t="str">
        <x:v>W380063841_S0</x:v>
      </x:c>
      <x:c r="N23" s="28" t="str">
        <x:v>380063841</x:v>
      </x:c>
      <x:c r="O23" s="28" t="str">
        <x:v>residential</x:v>
      </x:c>
      <x:c r="P23" s="28" t="str">
        <x:v>안양로268번길</x:v>
      </x:c>
      <x:c r="Q23" s="30" t="n">
        <x:v>0.19</x:v>
      </x:c>
      <x:c r="R23" s="28" t="str">
        <x:v>provisional_high</x:v>
      </x:c>
      <x:c r="S23" s="28" t="str">
        <x:v>N</x:v>
      </x:c>
      <x:c r="T23" s="28" t="str">
        <x:v>https://map.kakao.com/link/roadview/37.3967002,126.9233629</x:v>
      </x:c>
    </x:row>
    <x:row r="24" ht="22" customHeight="1">
      <x:c r="A24" s="28" t="str">
        <x:v>CW18</x:v>
      </x:c>
      <x:c r="B24" s="28" t="str">
        <x:v>2024122514</x:v>
      </x:c>
      <x:c r="C24" s="28" t="str">
        <x:v>안양1동</x:v>
      </x:c>
      <x:c r="D24" s="48" t="n">
        <x:v>37.39585333</x:v>
      </x:c>
      <x:c r="E24" s="48" t="n">
        <x:v>126.9240758</x:v>
      </x:c>
      <x:c r="F24" s="30" t="n">
        <x:v>9.32</x:v>
      </x:c>
      <x:c r="G24" s="30" t="n">
        <x:v>8.15</x:v>
      </x:c>
      <x:c r="H24" s="28" t="str"/>
      <x:c r="I24" s="28" t="str"/>
      <x:c r="J24" s="28" t="str">
        <x:v>unknown</x:v>
      </x:c>
      <x:c r="K24" s="55" t="n">
        <x:v>23.52</x:v>
      </x:c>
      <x:c r="L24" s="55" t="n">
        <x:v>717.3</x:v>
      </x:c>
      <x:c r="M24" s="28" t="str">
        <x:v>W38609253_S0</x:v>
      </x:c>
      <x:c r="N24" s="28" t="str">
        <x:v>38609253</x:v>
      </x:c>
      <x:c r="O24" s="28" t="str">
        <x:v>residential</x:v>
      </x:c>
      <x:c r="P24" s="28" t="str">
        <x:v>안양로258번길</x:v>
      </x:c>
      <x:c r="Q24" s="30" t="n">
        <x:v>0.86</x:v>
      </x:c>
      <x:c r="R24" s="28" t="str">
        <x:v>provisional_high</x:v>
      </x:c>
      <x:c r="S24" s="28" t="str">
        <x:v>Y</x:v>
      </x:c>
      <x:c r="T24" s="28" t="str">
        <x:v>https://map.kakao.com/link/roadview/37.3958533,126.9240758</x:v>
      </x:c>
    </x:row>
    <x:row r="25" ht="22" customHeight="1">
      <x:c r="A25" s="28" t="str">
        <x:v>CW19</x:v>
      </x:c>
      <x:c r="B25" s="28" t="str">
        <x:v>2024120083</x:v>
      </x:c>
      <x:c r="C25" s="28" t="str">
        <x:v>안양1동</x:v>
      </x:c>
      <x:c r="D25" s="48" t="n">
        <x:v>37.39567724</x:v>
      </x:c>
      <x:c r="E25" s="48" t="n">
        <x:v>126.9240285</x:v>
      </x:c>
      <x:c r="F25" s="30" t="n">
        <x:v>23.32</x:v>
      </x:c>
      <x:c r="G25" s="30" t="n">
        <x:v>19.29</x:v>
      </x:c>
      <x:c r="H25" s="28" t="str"/>
      <x:c r="I25" s="28" t="str"/>
      <x:c r="J25" s="28" t="str">
        <x:v>unknown</x:v>
      </x:c>
      <x:c r="K25" s="55" t="n">
        <x:v>16.07</x:v>
      </x:c>
      <x:c r="L25" s="55" t="n">
        <x:v>735.76</x:v>
      </x:c>
      <x:c r="M25" s="28" t="str">
        <x:v>W38609408_S8</x:v>
      </x:c>
      <x:c r="N25" s="28" t="str">
        <x:v>38609408</x:v>
      </x:c>
      <x:c r="O25" s="28" t="str">
        <x:v>tertiary</x:v>
      </x:c>
      <x:c r="P25" s="28" t="str">
        <x:v>안양로</x:v>
      </x:c>
      <x:c r="Q25" s="30" t="n">
        <x:v>0.55</x:v>
      </x:c>
      <x:c r="R25" s="28" t="str">
        <x:v>provisional_high</x:v>
      </x:c>
      <x:c r="S25" s="28" t="str">
        <x:v>N</x:v>
      </x:c>
      <x:c r="T25" s="28" t="str">
        <x:v>https://map.kakao.com/link/roadview/37.3956772,126.9240285</x:v>
      </x:c>
    </x:row>
    <x:row r="26" ht="22" customHeight="1">
      <x:c r="A26" s="28" t="str">
        <x:v>CW20</x:v>
      </x:c>
      <x:c r="B26" s="28" t="str">
        <x:v>2024120362</x:v>
      </x:c>
      <x:c r="C26" s="28" t="str">
        <x:v>안양1동</x:v>
      </x:c>
      <x:c r="D26" s="48" t="n">
        <x:v>37.39440509</x:v>
      </x:c>
      <x:c r="E26" s="48" t="n">
        <x:v>126.9251215</x:v>
      </x:c>
      <x:c r="F26" s="30" t="n">
        <x:v>22.73</x:v>
      </x:c>
      <x:c r="G26" s="30" t="n">
        <x:v>18.36</x:v>
      </x:c>
      <x:c r="H26" s="28" t="str"/>
      <x:c r="I26" s="28" t="str"/>
      <x:c r="J26" s="28" t="str">
        <x:v>unknown</x:v>
      </x:c>
      <x:c r="K26" s="55" t="n">
        <x:v>85.24</x:v>
      </x:c>
      <x:c r="L26" s="55" t="n">
        <x:v>896.76</x:v>
      </x:c>
      <x:c r="M26" s="28" t="str">
        <x:v>W38609408_S9</x:v>
      </x:c>
      <x:c r="N26" s="28" t="str">
        <x:v>38609408</x:v>
      </x:c>
      <x:c r="O26" s="28" t="str">
        <x:v>tertiary</x:v>
      </x:c>
      <x:c r="P26" s="28" t="str">
        <x:v>안양로</x:v>
      </x:c>
      <x:c r="Q26" s="30" t="n">
        <x:v>2.18</x:v>
      </x:c>
      <x:c r="R26" s="28" t="str">
        <x:v>provisional_high</x:v>
      </x:c>
      <x:c r="S26" s="28" t="str">
        <x:v>Y</x:v>
      </x:c>
      <x:c r="T26" s="28" t="str">
        <x:v>https://map.kakao.com/link/roadview/37.3944051,126.9251215</x:v>
      </x:c>
    </x:row>
    <x:row r="27" ht="22" customHeight="1">
      <x:c r="A27" s="28" t="str">
        <x:v>CW21</x:v>
      </x:c>
      <x:c r="B27" s="28" t="str">
        <x:v>2025085034</x:v>
      </x:c>
      <x:c r="C27" s="28" t="str">
        <x:v>안양1동</x:v>
      </x:c>
      <x:c r="D27" s="48" t="n">
        <x:v>37.39307064</x:v>
      </x:c>
      <x:c r="E27" s="48" t="n">
        <x:v>126.923197</x:v>
      </x:c>
      <x:c r="F27" s="30" t="n">
        <x:v>8.71</x:v>
      </x:c>
      <x:c r="G27" s="30" t="n">
        <x:v>6</x:v>
      </x:c>
      <x:c r="H27" s="28" t="str">
        <x:v>있음</x:v>
      </x:c>
      <x:c r="I27" s="28" t="str">
        <x:v>있음</x:v>
      </x:c>
      <x:c r="J27" s="28" t="str">
        <x:v>public_explicit_present</x:v>
      </x:c>
      <x:c r="K27" s="55" t="n">
        <x:v>115.2</x:v>
      </x:c>
      <x:c r="L27" s="55" t="n">
        <x:v>999.48</x:v>
      </x:c>
      <x:c r="M27" s="28" t="str">
        <x:v>W38609292_S2</x:v>
      </x:c>
      <x:c r="N27" s="28" t="str">
        <x:v>38609292</x:v>
      </x:c>
      <x:c r="O27" s="28" t="str">
        <x:v>tertiary</x:v>
      </x:c>
      <x:c r="P27" s="28" t="str">
        <x:v>삼덕로</x:v>
      </x:c>
      <x:c r="Q27" s="30" t="n">
        <x:v>0.34</x:v>
      </x:c>
      <x:c r="R27" s="28" t="str">
        <x:v>provisional_high</x:v>
      </x:c>
      <x:c r="S27" s="28" t="str">
        <x:v>Y</x:v>
      </x:c>
      <x:c r="T27" s="28" t="str">
        <x:v>https://map.kakao.com/link/roadview/37.3930706,126.9231970</x:v>
      </x:c>
    </x:row>
    <x:row r="28" ht="22" customHeight="1">
      <x:c r="A28" s="28" t="str">
        <x:v>CW22</x:v>
      </x:c>
      <x:c r="B28" s="28" t="str">
        <x:v>2025085029</x:v>
      </x:c>
      <x:c r="C28" s="28" t="str">
        <x:v>안양1동</x:v>
      </x:c>
      <x:c r="D28" s="48" t="n">
        <x:v>37.39217999</x:v>
      </x:c>
      <x:c r="E28" s="48" t="n">
        <x:v>126.9236939</x:v>
      </x:c>
      <x:c r="F28" s="30" t="n">
        <x:v>15.9</x:v>
      </x:c>
      <x:c r="G28" s="30" t="n">
        <x:v>5.96</x:v>
      </x:c>
      <x:c r="H28" s="28" t="str">
        <x:v>있음</x:v>
      </x:c>
      <x:c r="I28" s="28" t="str">
        <x:v>있음</x:v>
      </x:c>
      <x:c r="J28" s="28" t="str">
        <x:v>public_explicit_present</x:v>
      </x:c>
      <x:c r="K28" s="55" t="n">
        <x:v>95.98</x:v>
      </x:c>
      <x:c r="L28" s="55" t="n">
        <x:v>1105.57</x:v>
      </x:c>
      <x:c r="M28" s="28" t="str">
        <x:v>W38609097_S14</x:v>
      </x:c>
      <x:c r="N28" s="28" t="str">
        <x:v>38609097</x:v>
      </x:c>
      <x:c r="O28" s="28" t="str">
        <x:v>tertiary</x:v>
      </x:c>
      <x:c r="P28" s="28" t="str">
        <x:v>냉천로</x:v>
      </x:c>
      <x:c r="Q28" s="30" t="n">
        <x:v>4.12</x:v>
      </x:c>
      <x:c r="R28" s="28" t="str">
        <x:v>provisional_high</x:v>
      </x:c>
      <x:c r="S28" s="28" t="str">
        <x:v>N</x:v>
      </x:c>
      <x:c r="T28" s="28" t="str">
        <x:v>https://map.kakao.com/link/roadview/37.3921800,126.9236939</x:v>
      </x:c>
    </x:row>
    <x:row r="29" ht="22" customHeight="1">
      <x:c r="A29" s="28" t="str">
        <x:v>CW23</x:v>
      </x:c>
      <x:c r="B29" s="28" t="str">
        <x:v>2025085023</x:v>
      </x:c>
      <x:c r="C29" s="28" t="str">
        <x:v>안양1동</x:v>
      </x:c>
      <x:c r="D29" s="48" t="n">
        <x:v>37.39213835</x:v>
      </x:c>
      <x:c r="E29" s="48" t="n">
        <x:v>126.9238653</x:v>
      </x:c>
      <x:c r="F29" s="30" t="n">
        <x:v>5.82</x:v>
      </x:c>
      <x:c r="G29" s="30" t="n">
        <x:v>2.96</x:v>
      </x:c>
      <x:c r="H29" s="28" t="str">
        <x:v>있음</x:v>
      </x:c>
      <x:c r="I29" s="28" t="str">
        <x:v>있음</x:v>
      </x:c>
      <x:c r="J29" s="28" t="str">
        <x:v>public_explicit_present</x:v>
      </x:c>
      <x:c r="K29" s="55" t="n">
        <x:v>82.35</x:v>
      </x:c>
      <x:c r="L29" s="55" t="n">
        <x:v>1113.65</x:v>
      </x:c>
      <x:c r="M29" s="28" t="str">
        <x:v>W379904072_S3</x:v>
      </x:c>
      <x:c r="N29" s="28" t="str">
        <x:v>379904072</x:v>
      </x:c>
      <x:c r="O29" s="28" t="str">
        <x:v>residential</x:v>
      </x:c>
      <x:c r="P29" s="28" t="str">
        <x:v>안양로223번길</x:v>
      </x:c>
      <x:c r="Q29" s="30" t="n">
        <x:v>0.55</x:v>
      </x:c>
      <x:c r="R29" s="28" t="str">
        <x:v>provisional_high</x:v>
      </x:c>
      <x:c r="S29" s="28" t="str">
        <x:v>Y</x:v>
      </x:c>
      <x:c r="T29" s="28" t="str">
        <x:v>https://map.kakao.com/link/roadview/37.3921384,126.9238653</x:v>
      </x:c>
    </x:row>
    <x:row r="30" ht="22" customHeight="1">
      <x:c r="A30" s="28" t="str">
        <x:v>CW24</x:v>
      </x:c>
      <x:c r="B30" s="28" t="str">
        <x:v>2025085028</x:v>
      </x:c>
      <x:c r="C30" s="28" t="str">
        <x:v>안양1동</x:v>
      </x:c>
      <x:c r="D30" s="48" t="n">
        <x:v>37.39205273</x:v>
      </x:c>
      <x:c r="E30" s="48" t="n">
        <x:v>126.9236588</x:v>
      </x:c>
      <x:c r="F30" s="30" t="n">
        <x:v>13.95</x:v>
      </x:c>
      <x:c r="G30" s="30" t="n">
        <x:v>2.97</x:v>
      </x:c>
      <x:c r="H30" s="28" t="str">
        <x:v>있음</x:v>
      </x:c>
      <x:c r="I30" s="28" t="str">
        <x:v>있음</x:v>
      </x:c>
      <x:c r="J30" s="28" t="str">
        <x:v>public_explicit_present</x:v>
      </x:c>
      <x:c r="K30" s="55" t="n">
        <x:v>102.34</x:v>
      </x:c>
      <x:c r="L30" s="55" t="n">
        <x:v>1118.49</x:v>
      </x:c>
      <x:c r="M30" s="28" t="str">
        <x:v>W38609097_S14</x:v>
      </x:c>
      <x:c r="N30" s="28" t="str">
        <x:v>38609097</x:v>
      </x:c>
      <x:c r="O30" s="28" t="str">
        <x:v>tertiary</x:v>
      </x:c>
      <x:c r="P30" s="28" t="str">
        <x:v>냉천로</x:v>
      </x:c>
      <x:c r="Q30" s="30" t="n">
        <x:v>14.39</x:v>
      </x:c>
      <x:c r="R30" s="28" t="str">
        <x:v>provisional_high</x:v>
      </x:c>
      <x:c r="S30" s="28" t="str">
        <x:v>N</x:v>
      </x:c>
      <x:c r="T30" s="28" t="str">
        <x:v>https://map.kakao.com/link/roadview/37.3920527,126.9236588</x:v>
      </x:c>
    </x:row>
    <x:row r="31" ht="22" customHeight="1">
      <x:c r="A31" s="28" t="str">
        <x:v>CW25</x:v>
      </x:c>
      <x:c r="B31" s="28" t="str">
        <x:v>2025085030</x:v>
      </x:c>
      <x:c r="C31" s="28" t="str">
        <x:v>안양1동</x:v>
      </x:c>
      <x:c r="D31" s="48" t="n">
        <x:v>37.39202055</x:v>
      </x:c>
      <x:c r="E31" s="48" t="n">
        <x:v>126.9238204</x:v>
      </x:c>
      <x:c r="F31" s="30" t="n">
        <x:v>16.26</x:v>
      </x:c>
      <x:c r="G31" s="30" t="n">
        <x:v>5.99</x:v>
      </x:c>
      <x:c r="H31" s="28" t="str">
        <x:v>있음</x:v>
      </x:c>
      <x:c r="I31" s="28" t="str">
        <x:v>있음</x:v>
      </x:c>
      <x:c r="J31" s="28" t="str">
        <x:v>public_explicit_present</x:v>
      </x:c>
      <x:c r="K31" s="55" t="n">
        <x:v>89.31</x:v>
      </x:c>
      <x:c r="L31" s="55" t="n">
        <x:v>1125.35</x:v>
      </x:c>
      <x:c r="M31" s="28" t="str">
        <x:v>W38609097_S13</x:v>
      </x:c>
      <x:c r="N31" s="28" t="str">
        <x:v>38609097</x:v>
      </x:c>
      <x:c r="O31" s="28" t="str">
        <x:v>tertiary</x:v>
      </x:c>
      <x:c r="P31" s="28" t="str">
        <x:v>냉천로</x:v>
      </x:c>
      <x:c r="Q31" s="30" t="n">
        <x:v>4.39</x:v>
      </x:c>
      <x:c r="R31" s="28" t="str">
        <x:v>provisional_high</x:v>
      </x:c>
      <x:c r="S31" s="28" t="str">
        <x:v>Y</x:v>
      </x:c>
      <x:c r="T31" s="28" t="str">
        <x:v>https://map.kakao.com/link/roadview/37.3920205,126.9238204</x:v>
      </x:c>
    </x:row>
    <x:row r="32" ht="22" customHeight="1">
      <x:c r="A32" s="28" t="str">
        <x:v>CW26</x:v>
      </x:c>
      <x:c r="B32" s="28" t="str">
        <x:v>2025085031</x:v>
      </x:c>
      <x:c r="C32" s="28" t="str">
        <x:v>안양1동</x:v>
      </x:c>
      <x:c r="D32" s="48" t="n">
        <x:v>37.39133025</x:v>
      </x:c>
      <x:c r="E32" s="48" t="n">
        <x:v>126.9244155</x:v>
      </x:c>
      <x:c r="F32" s="30" t="n">
        <x:v>11.05</x:v>
      </x:c>
      <x:c r="G32" s="30" t="n">
        <x:v>5.99</x:v>
      </x:c>
      <x:c r="H32" s="28" t="str">
        <x:v>있음</x:v>
      </x:c>
      <x:c r="I32" s="28" t="str">
        <x:v>있음</x:v>
      </x:c>
      <x:c r="J32" s="28" t="str">
        <x:v>public_explicit_present</x:v>
      </x:c>
      <x:c r="K32" s="55" t="n">
        <x:v>56.37</x:v>
      </x:c>
      <x:c r="L32" s="55" t="n">
        <x:v>1212</x:v>
      </x:c>
      <x:c r="M32" s="28" t="str">
        <x:v>W38609097_S10</x:v>
      </x:c>
      <x:c r="N32" s="28" t="str">
        <x:v>38609097</x:v>
      </x:c>
      <x:c r="O32" s="28" t="str">
        <x:v>tertiary</x:v>
      </x:c>
      <x:c r="P32" s="28" t="str">
        <x:v>냉천로</x:v>
      </x:c>
      <x:c r="Q32" s="30" t="n">
        <x:v>3.09</x:v>
      </x:c>
      <x:c r="R32" s="28" t="str">
        <x:v>provisional_high</x:v>
      </x:c>
      <x:c r="S32" s="28" t="str">
        <x:v>N</x:v>
      </x:c>
      <x:c r="T32" s="28" t="str">
        <x:v>https://map.kakao.com/link/roadview/37.3913303,126.9244155</x:v>
      </x:c>
    </x:row>
    <x:row r="33" ht="22" customHeight="1">
      <x:c r="A33" s="28" t="str">
        <x:v>CW27</x:v>
      </x:c>
      <x:c r="B33" s="28" t="str">
        <x:v>2025085009</x:v>
      </x:c>
      <x:c r="C33" s="28" t="str">
        <x:v>안양1동</x:v>
      </x:c>
      <x:c r="D33" s="48" t="n">
        <x:v>37.39049146</x:v>
      </x:c>
      <x:c r="E33" s="48" t="n">
        <x:v>126.9251204</x:v>
      </x:c>
      <x:c r="F33" s="30" t="n">
        <x:v>13.75</x:v>
      </x:c>
      <x:c r="G33" s="30" t="n">
        <x:v>5.96</x:v>
      </x:c>
      <x:c r="H33" s="28" t="str">
        <x:v>있음</x:v>
      </x:c>
      <x:c r="I33" s="28" t="str">
        <x:v>있음</x:v>
      </x:c>
      <x:c r="J33" s="28" t="str">
        <x:v>public_explicit_present</x:v>
      </x:c>
      <x:c r="K33" s="55" t="n">
        <x:v>17.92</x:v>
      </x:c>
      <x:c r="L33" s="55" t="n">
        <x:v>1316.9</x:v>
      </x:c>
      <x:c r="M33" s="28" t="str">
        <x:v>W38609097_S7</x:v>
      </x:c>
      <x:c r="N33" s="28" t="str">
        <x:v>38609097</x:v>
      </x:c>
      <x:c r="O33" s="28" t="str">
        <x:v>tertiary</x:v>
      </x:c>
      <x:c r="P33" s="28" t="str">
        <x:v>냉천로</x:v>
      </x:c>
      <x:c r="Q33" s="30" t="n">
        <x:v>2.77</x:v>
      </x:c>
      <x:c r="R33" s="28" t="str">
        <x:v>provisional_high</x:v>
      </x:c>
      <x:c r="S33" s="28" t="str">
        <x:v>Y</x:v>
      </x:c>
      <x:c r="T33" s="28" t="str">
        <x:v>https://map.kakao.com/link/roadview/37.3904915,126.9251204</x:v>
      </x:c>
    </x:row>
    <x:row r="34" ht="22" customHeight="1">
      <x:c r="A34" s="28" t="str">
        <x:v>CW28</x:v>
      </x:c>
      <x:c r="B34" s="28" t="str">
        <x:v>2025085010</x:v>
      </x:c>
      <x:c r="C34" s="28" t="str">
        <x:v>안양1동</x:v>
      </x:c>
      <x:c r="D34" s="48" t="n">
        <x:v>37.3904547</x:v>
      </x:c>
      <x:c r="E34" s="48" t="n">
        <x:v>126.9253042</x:v>
      </x:c>
      <x:c r="F34" s="30" t="n">
        <x:v>13.63</x:v>
      </x:c>
      <x:c r="G34" s="30" t="n">
        <x:v>6</x:v>
      </x:c>
      <x:c r="H34" s="28" t="str">
        <x:v>있음</x:v>
      </x:c>
      <x:c r="I34" s="28" t="str">
        <x:v>있음</x:v>
      </x:c>
      <x:c r="J34" s="28" t="str">
        <x:v>public_explicit_present</x:v>
      </x:c>
      <x:c r="K34" s="55" t="n">
        <x:v>3.1</x:v>
      </x:c>
      <x:c r="L34" s="55" t="n">
        <x:v>1324.72</x:v>
      </x:c>
      <x:c r="M34" s="28" t="str">
        <x:v>W38609193_S10</x:v>
      </x:c>
      <x:c r="N34" s="28" t="str">
        <x:v>38609193</x:v>
      </x:c>
      <x:c r="O34" s="28" t="str">
        <x:v>tertiary</x:v>
      </x:c>
      <x:c r="P34" s="28" t="str">
        <x:v>현충로</x:v>
      </x:c>
      <x:c r="Q34" s="30" t="n">
        <x:v>1.26</x:v>
      </x:c>
      <x:c r="R34" s="28" t="str">
        <x:v>provisional_high</x:v>
      </x:c>
      <x:c r="S34" s="28" t="str">
        <x:v>N</x:v>
      </x:c>
      <x:c r="T34" s="28" t="str">
        <x:v>https://map.kakao.com/link/roadview/37.3904547,126.9253042</x:v>
      </x:c>
    </x:row>
    <x:row r="35" ht="22" customHeight="1">
      <x:c r="A35" s="28" t="str">
        <x:v>CW29</x:v>
      </x:c>
      <x:c r="B35" s="28" t="str">
        <x:v>2025085011</x:v>
      </x:c>
      <x:c r="C35" s="28" t="str">
        <x:v>안양1동</x:v>
      </x:c>
      <x:c r="D35" s="48" t="n">
        <x:v>37.39035668</x:v>
      </x:c>
      <x:c r="E35" s="48" t="n">
        <x:v>126.9250655</x:v>
      </x:c>
      <x:c r="F35" s="30" t="n">
        <x:v>11.08</x:v>
      </x:c>
      <x:c r="G35" s="30" t="n">
        <x:v>5.93</x:v>
      </x:c>
      <x:c r="H35" s="28" t="str">
        <x:v>있음</x:v>
      </x:c>
      <x:c r="I35" s="28" t="str">
        <x:v>있음</x:v>
      </x:c>
      <x:c r="J35" s="28" t="str">
        <x:v>public_explicit_present</x:v>
      </x:c>
      <x:c r="K35" s="55" t="n">
        <x:v>26.18</x:v>
      </x:c>
      <x:c r="L35" s="55" t="n">
        <x:v>1330.21</x:v>
      </x:c>
      <x:c r="M35" s="28" t="str">
        <x:v>W82908648_S0</x:v>
      </x:c>
      <x:c r="N35" s="28" t="str">
        <x:v>82908648</x:v>
      </x:c>
      <x:c r="O35" s="28" t="str">
        <x:v>service</x:v>
      </x:c>
      <x:c r="P35" s="28" t="str">
        <x:v>현충로</x:v>
      </x:c>
      <x:c r="Q35" s="30" t="n">
        <x:v>0.67</x:v>
      </x:c>
      <x:c r="R35" s="28" t="str">
        <x:v>provisional_high</x:v>
      </x:c>
      <x:c r="S35" s="28" t="str">
        <x:v>Y</x:v>
      </x:c>
      <x:c r="T35" s="28" t="str">
        <x:v>https://map.kakao.com/link/roadview/37.3903567,126.9250655</x:v>
      </x:c>
    </x:row>
    <x:row r="36" ht="22" customHeight="1">
      <x:c r="A36" s="28" t="str">
        <x:v>CW30</x:v>
      </x:c>
      <x:c r="B36" s="28" t="str">
        <x:v>2025085027</x:v>
      </x:c>
      <x:c r="C36" s="28" t="str">
        <x:v>안양1동</x:v>
      </x:c>
      <x:c r="D36" s="48" t="n">
        <x:v>37.39016544</x:v>
      </x:c>
      <x:c r="E36" s="48" t="n">
        <x:v>126.9241116</x:v>
      </x:c>
      <x:c r="F36" s="30" t="n">
        <x:v>9.19</x:v>
      </x:c>
      <x:c r="G36" s="30" t="n">
        <x:v>4.09</x:v>
      </x:c>
      <x:c r="H36" s="28" t="str">
        <x:v>있음</x:v>
      </x:c>
      <x:c r="I36" s="28" t="str">
        <x:v>있음</x:v>
      </x:c>
      <x:c r="J36" s="28" t="str">
        <x:v>public_explicit_present</x:v>
      </x:c>
      <x:c r="K36" s="55" t="n">
        <x:v>113.15</x:v>
      </x:c>
      <x:c r="L36" s="55" t="n">
        <x:v>1330.64</x:v>
      </x:c>
      <x:c r="M36" s="28" t="str">
        <x:v>W82908648_S1</x:v>
      </x:c>
      <x:c r="N36" s="28" t="str">
        <x:v>82908648</x:v>
      </x:c>
      <x:c r="O36" s="28" t="str">
        <x:v>service</x:v>
      </x:c>
      <x:c r="P36" s="28" t="str">
        <x:v>현충로</x:v>
      </x:c>
      <x:c r="Q36" s="30" t="n">
        <x:v>8.75</x:v>
      </x:c>
      <x:c r="R36" s="28" t="str">
        <x:v>provisional_high</x:v>
      </x:c>
      <x:c r="S36" s="28" t="str">
        <x:v>N</x:v>
      </x:c>
      <x:c r="T36" s="28" t="str">
        <x:v>https://map.kakao.com/link/roadview/37.3901654,126.9241116</x:v>
      </x:c>
    </x:row>
    <x:row r="37" ht="22" customHeight="1">
      <x:c r="A37" s="28" t="str">
        <x:v>CW31</x:v>
      </x:c>
      <x:c r="B37" s="28" t="str">
        <x:v>2025085012</x:v>
      </x:c>
      <x:c r="C37" s="28" t="str">
        <x:v>안양1동</x:v>
      </x:c>
      <x:c r="D37" s="48" t="n">
        <x:v>37.39034431</x:v>
      </x:c>
      <x:c r="E37" s="48" t="n">
        <x:v>126.9252755</x:v>
      </x:c>
      <x:c r="F37" s="30" t="n">
        <x:v>13.11</x:v>
      </x:c>
      <x:c r="G37" s="30" t="n">
        <x:v>5.94</x:v>
      </x:c>
      <x:c r="H37" s="28" t="str">
        <x:v>있음</x:v>
      </x:c>
      <x:c r="I37" s="28" t="str">
        <x:v>있음</x:v>
      </x:c>
      <x:c r="J37" s="28" t="str">
        <x:v>public_explicit_present</x:v>
      </x:c>
      <x:c r="K37" s="55" t="n">
        <x:v>8.47</x:v>
      </x:c>
      <x:c r="L37" s="55" t="n">
        <x:v>1335.96</x:v>
      </x:c>
      <x:c r="M37" s="28" t="str">
        <x:v>W38609097_S6</x:v>
      </x:c>
      <x:c r="N37" s="28" t="str">
        <x:v>38609097</x:v>
      </x:c>
      <x:c r="O37" s="28" t="str">
        <x:v>tertiary</x:v>
      </x:c>
      <x:c r="P37" s="28" t="str">
        <x:v>냉천로</x:v>
      </x:c>
      <x:c r="Q37" s="30" t="n">
        <x:v>1.34</x:v>
      </x:c>
      <x:c r="R37" s="28" t="str">
        <x:v>provisional_high</x:v>
      </x:c>
      <x:c r="S37" s="28" t="str">
        <x:v>N</x:v>
      </x:c>
      <x:c r="T37" s="28" t="str">
        <x:v>https://map.kakao.com/link/roadview/37.3903443,126.9252755</x:v>
      </x:c>
    </x:row>
    <x:row r="38" ht="22" customHeight="1">
      <x:c r="A38" s="28" t="str">
        <x:v>CW32</x:v>
      </x:c>
      <x:c r="B38" s="28" t="str">
        <x:v>2025085025</x:v>
      </x:c>
      <x:c r="C38" s="28" t="str">
        <x:v>안양1동</x:v>
      </x:c>
      <x:c r="D38" s="48" t="n">
        <x:v>37.39008527</x:v>
      </x:c>
      <x:c r="E38" s="48" t="n">
        <x:v>126.9242767</x:v>
      </x:c>
      <x:c r="F38" s="30" t="n">
        <x:v>8.68</x:v>
      </x:c>
      <x:c r="G38" s="30" t="n">
        <x:v>5.87</x:v>
      </x:c>
      <x:c r="H38" s="28" t="str">
        <x:v>있음</x:v>
      </x:c>
      <x:c r="I38" s="28" t="str">
        <x:v>있음</x:v>
      </x:c>
      <x:c r="J38" s="28" t="str">
        <x:v>public_explicit_present</x:v>
      </x:c>
      <x:c r="K38" s="55" t="n">
        <x:v>101.08</x:v>
      </x:c>
      <x:c r="L38" s="55" t="n">
        <x:v>1342.73</x:v>
      </x:c>
      <x:c r="M38" s="28" t="str">
        <x:v>W82908648_S0</x:v>
      </x:c>
      <x:c r="N38" s="28" t="str">
        <x:v>82908648</x:v>
      </x:c>
      <x:c r="O38" s="28" t="str">
        <x:v>service</x:v>
      </x:c>
      <x:c r="P38" s="28" t="str">
        <x:v>현충로</x:v>
      </x:c>
      <x:c r="Q38" s="30" t="n">
        <x:v>1.42</x:v>
      </x:c>
      <x:c r="R38" s="28" t="str">
        <x:v>provisional_high</x:v>
      </x:c>
      <x:c r="S38" s="28" t="str">
        <x:v>Y</x:v>
      </x:c>
      <x:c r="T38" s="28" t="str">
        <x:v>https://map.kakao.com/link/roadview/37.3900853,126.9242767</x:v>
      </x:c>
    </x:row>
    <x:row r="39" ht="22" customHeight="1">
      <x:c r="A39" s="28" t="str">
        <x:v>CW33</x:v>
      </x:c>
      <x:c r="B39" s="28" t="str">
        <x:v>2025085001</x:v>
      </x:c>
      <x:c r="C39" s="28" t="str">
        <x:v>안양1동</x:v>
      </x:c>
      <x:c r="D39" s="48" t="n">
        <x:v>37.389999</x:v>
      </x:c>
      <x:c r="E39" s="48" t="n">
        <x:v>126.9254801</x:v>
      </x:c>
      <x:c r="F39" s="30" t="n">
        <x:v>4.45</x:v>
      </x:c>
      <x:c r="G39" s="30" t="n">
        <x:v>1.97</x:v>
      </x:c>
      <x:c r="H39" s="28" t="str">
        <x:v>있음</x:v>
      </x:c>
      <x:c r="I39" s="28" t="str">
        <x:v>없음</x:v>
      </x:c>
      <x:c r="J39" s="28" t="str">
        <x:v>public_explicit_risk</x:v>
      </x:c>
      <x:c r="K39" s="55" t="n">
        <x:v>0.01</x:v>
      </x:c>
      <x:c r="L39" s="55" t="n">
        <x:v>1377.34</x:v>
      </x:c>
      <x:c r="M39" s="28" t="str">
        <x:v>W379904040_S0</x:v>
      </x:c>
      <x:c r="N39" s="28" t="str">
        <x:v>379904040</x:v>
      </x:c>
      <x:c r="O39" s="28" t="str">
        <x:v>residential</x:v>
      </x:c>
      <x:c r="P39" s="28" t="str">
        <x:v>냉천로98번길</x:v>
      </x:c>
      <x:c r="Q39" s="30" t="n">
        <x:v>0.67</x:v>
      </x:c>
      <x:c r="R39" s="28" t="str">
        <x:v>provisional_high</x:v>
      </x:c>
      <x:c r="S39" s="28" t="str">
        <x:v>Y</x:v>
      </x:c>
      <x:c r="T39" s="28" t="str">
        <x:v>https://map.kakao.com/link/roadview/37.3899990,126.9254801</x:v>
      </x:c>
    </x:row>
    <x:row r="40" ht="22" customHeight="1">
      <x:c r="A40" s="28" t="str">
        <x:v>CW34</x:v>
      </x:c>
      <x:c r="B40" s="28" t="str">
        <x:v>2025085002</x:v>
      </x:c>
      <x:c r="C40" s="28" t="str">
        <x:v>안양1동</x:v>
      </x:c>
      <x:c r="D40" s="48" t="n">
        <x:v>37.38963959</x:v>
      </x:c>
      <x:c r="E40" s="48" t="n">
        <x:v>126.92555</x:v>
      </x:c>
      <x:c r="F40" s="30" t="n">
        <x:v>12.02</x:v>
      </x:c>
      <x:c r="G40" s="30" t="n">
        <x:v>6.05</x:v>
      </x:c>
      <x:c r="H40" s="28" t="str">
        <x:v>있음</x:v>
      </x:c>
      <x:c r="I40" s="28" t="str">
        <x:v>있음</x:v>
      </x:c>
      <x:c r="J40" s="28" t="str">
        <x:v>public_explicit_present</x:v>
      </x:c>
      <x:c r="K40" s="55" t="n">
        <x:v>40.21</x:v>
      </x:c>
      <x:c r="L40" s="55" t="n">
        <x:v>1377.34</x:v>
      </x:c>
      <x:c r="M40" s="28" t="str">
        <x:v>W38609097_S2</x:v>
      </x:c>
      <x:c r="N40" s="28" t="str">
        <x:v>38609097</x:v>
      </x:c>
      <x:c r="O40" s="28" t="str">
        <x:v>tertiary</x:v>
      </x:c>
      <x:c r="P40" s="28" t="str">
        <x:v>냉천로</x:v>
      </x:c>
      <x:c r="Q40" s="30" t="n">
        <x:v>1.29</x:v>
      </x:c>
      <x:c r="R40" s="28" t="str">
        <x:v>provisional_high</x:v>
      </x:c>
      <x:c r="S40" s="28" t="str">
        <x:v>Y</x:v>
      </x:c>
      <x:c r="T40" s="28" t="str">
        <x:v>https://map.kakao.com/link/roadview/37.3896396,126.9255500</x:v>
      </x:c>
    </x:row>
    <x:row r="41" ht="22" customHeight="1">
      <x:c r="A41" s="28" t="str">
        <x:v>CW35</x:v>
      </x:c>
      <x:c r="B41" s="28" t="str">
        <x:v>2025085003</x:v>
      </x:c>
      <x:c r="C41" s="28" t="str">
        <x:v>안양1동</x:v>
      </x:c>
      <x:c r="D41" s="48" t="n">
        <x:v>37.38960031</x:v>
      </x:c>
      <x:c r="E41" s="48" t="n">
        <x:v>126.9256616</x:v>
      </x:c>
      <x:c r="F41" s="30" t="n">
        <x:v>8.55</x:v>
      </x:c>
      <x:c r="G41" s="30" t="n">
        <x:v>2</x:v>
      </x:c>
      <x:c r="H41" s="28" t="str">
        <x:v>있음</x:v>
      </x:c>
      <x:c r="I41" s="28" t="str">
        <x:v>있음</x:v>
      </x:c>
      <x:c r="J41" s="28" t="str">
        <x:v>public_explicit_present</x:v>
      </x:c>
      <x:c r="K41" s="55" t="n">
        <x:v>46.91</x:v>
      </x:c>
      <x:c r="L41" s="55" t="n">
        <x:v>1377.34</x:v>
      </x:c>
      <x:c r="M41" s="28" t="str">
        <x:v>W38609212_S6</x:v>
      </x:c>
      <x:c r="N41" s="28" t="str">
        <x:v>38609212</x:v>
      </x:c>
      <x:c r="O41" s="28" t="str">
        <x:v>tertiary</x:v>
      </x:c>
      <x:c r="P41" s="28" t="str">
        <x:v>소곡로</x:v>
      </x:c>
      <x:c r="Q41" s="30" t="n">
        <x:v>1.14</x:v>
      </x:c>
      <x:c r="R41" s="28" t="str">
        <x:v>provisional_high</x:v>
      </x:c>
      <x:c r="S41" s="28" t="str">
        <x:v>N</x:v>
      </x:c>
      <x:c r="T41" s="28" t="str">
        <x:v>https://map.kakao.com/link/roadview/37.3896003,126.9256616</x:v>
      </x:c>
    </x:row>
    <x:row r="42" ht="22" customHeight="1">
      <x:c r="A42" s="28" t="str">
        <x:v>CW36</x:v>
      </x:c>
      <x:c r="B42" s="28" t="str">
        <x:v>2025085005</x:v>
      </x:c>
      <x:c r="C42" s="28" t="str">
        <x:v>안양1동</x:v>
      </x:c>
      <x:c r="D42" s="48" t="n">
        <x:v>37.38949465</x:v>
      </x:c>
      <x:c r="E42" s="48" t="n">
        <x:v>126.9254971</x:v>
      </x:c>
      <x:c r="F42" s="30" t="n">
        <x:v>10.35</x:v>
      </x:c>
      <x:c r="G42" s="30" t="n">
        <x:v>5.99</x:v>
      </x:c>
      <x:c r="H42" s="28" t="str">
        <x:v>있음</x:v>
      </x:c>
      <x:c r="I42" s="28" t="str">
        <x:v>있음</x:v>
      </x:c>
      <x:c r="J42" s="28" t="str">
        <x:v>public_explicit_present</x:v>
      </x:c>
      <x:c r="K42" s="55" t="n">
        <x:v>55.77</x:v>
      </x:c>
      <x:c r="L42" s="55" t="n">
        <x:v>1377.34</x:v>
      </x:c>
      <x:c r="M42" s="28" t="str">
        <x:v>W814055256_S6</x:v>
      </x:c>
      <x:c r="N42" s="28" t="str">
        <x:v>814055256</x:v>
      </x:c>
      <x:c r="O42" s="28" t="str">
        <x:v>residential</x:v>
      </x:c>
      <x:c r="P42" s="28" t="str">
        <x:v>소곡로</x:v>
      </x:c>
      <x:c r="Q42" s="30" t="n">
        <x:v>0.6</x:v>
      </x:c>
      <x:c r="R42" s="28" t="str">
        <x:v>provisional_high</x:v>
      </x:c>
      <x:c r="S42" s="28" t="str">
        <x:v>Y</x:v>
      </x:c>
      <x:c r="T42" s="28" t="str">
        <x:v>https://map.kakao.com/link/roadview/37.3894947,126.9254971</x:v>
      </x:c>
    </x:row>
    <x:row r="43" ht="22" customHeight="1">
      <x:c r="A43" s="28" t="str">
        <x:v>CW37</x:v>
      </x:c>
      <x:c r="B43" s="28" t="str">
        <x:v>2025085004</x:v>
      </x:c>
      <x:c r="C43" s="28" t="str">
        <x:v>안양1동</x:v>
      </x:c>
      <x:c r="D43" s="48" t="n">
        <x:v>37.38944098</x:v>
      </x:c>
      <x:c r="E43" s="48" t="n">
        <x:v>126.925658</x:v>
      </x:c>
      <x:c r="F43" s="30" t="n">
        <x:v>8.69</x:v>
      </x:c>
      <x:c r="G43" s="30" t="n">
        <x:v>4.98</x:v>
      </x:c>
      <x:c r="H43" s="28" t="str">
        <x:v>있음</x:v>
      </x:c>
      <x:c r="I43" s="28" t="str">
        <x:v>있음</x:v>
      </x:c>
      <x:c r="J43" s="28" t="str">
        <x:v>public_explicit_present</x:v>
      </x:c>
      <x:c r="K43" s="55" t="n">
        <x:v>63.66</x:v>
      </x:c>
      <x:c r="L43" s="55" t="n">
        <x:v>1377.34</x:v>
      </x:c>
      <x:c r="M43" s="28" t="str">
        <x:v>W38609097_S1</x:v>
      </x:c>
      <x:c r="N43" s="28" t="str">
        <x:v>38609097</x:v>
      </x:c>
      <x:c r="O43" s="28" t="str">
        <x:v>tertiary</x:v>
      </x:c>
      <x:c r="P43" s="28" t="str">
        <x:v>냉천로</x:v>
      </x:c>
      <x:c r="Q43" s="30" t="n">
        <x:v>0.45</x:v>
      </x:c>
      <x:c r="R43" s="28" t="str">
        <x:v>provisional_high</x:v>
      </x:c>
      <x:c r="S43" s="28" t="str">
        <x:v>N</x:v>
      </x:c>
      <x:c r="T43" s="28" t="str">
        <x:v>https://map.kakao.com/link/roadview/37.3894410,126.9256580</x:v>
      </x:c>
    </x:row>
    <x:row r="44" ht="22" customHeight="1">
      <x:c r="A44" s="28" t="str">
        <x:v>CW38</x:v>
      </x:c>
      <x:c r="B44" s="28" t="str">
        <x:v>2025085007</x:v>
      </x:c>
      <x:c r="C44" s="28" t="str">
        <x:v>안양1동</x:v>
      </x:c>
      <x:c r="D44" s="48" t="n">
        <x:v>37.38927498</x:v>
      </x:c>
      <x:c r="E44" s="48" t="n">
        <x:v>126.9251698</x:v>
      </x:c>
      <x:c r="F44" s="30" t="n">
        <x:v>8.17</x:v>
      </x:c>
      <x:c r="G44" s="30" t="n">
        <x:v>4.01</x:v>
      </x:c>
      <x:c r="H44" s="28" t="str">
        <x:v>있음</x:v>
      </x:c>
      <x:c r="I44" s="28" t="str">
        <x:v>있음</x:v>
      </x:c>
      <x:c r="J44" s="28" t="str">
        <x:v>public_explicit_present</x:v>
      </x:c>
      <x:c r="K44" s="55" t="n">
        <x:v>84.6</x:v>
      </x:c>
      <x:c r="L44" s="55" t="n">
        <x:v>1377.34</x:v>
      </x:c>
      <x:c r="M44" s="28" t="str">
        <x:v>W814055256_S6</x:v>
      </x:c>
      <x:c r="N44" s="28" t="str">
        <x:v>814055256</x:v>
      </x:c>
      <x:c r="O44" s="28" t="str">
        <x:v>residential</x:v>
      </x:c>
      <x:c r="P44" s="28" t="str">
        <x:v>소곡로</x:v>
      </x:c>
      <x:c r="Q44" s="30" t="n">
        <x:v>3.15</x:v>
      </x:c>
      <x:c r="R44" s="28" t="str">
        <x:v>provisional_high</x:v>
      </x:c>
      <x:c r="S44" s="28" t="str">
        <x:v>Y</x:v>
      </x:c>
      <x:c r="T44" s="28" t="str">
        <x:v>https://map.kakao.com/link/roadview/37.3892750,126.9251698</x:v>
      </x:c>
    </x:row>
    <x:row r="45" ht="22" customHeight="1">
      <x:c r="A45" s="28" t="str">
        <x:v>CW39</x:v>
      </x:c>
      <x:c r="B45" s="28" t="str">
        <x:v>2025085006</x:v>
      </x:c>
      <x:c r="C45" s="28" t="str">
        <x:v>안양1동</x:v>
      </x:c>
      <x:c r="D45" s="48" t="n">
        <x:v>37.38927212</x:v>
      </x:c>
      <x:c r="E45" s="48" t="n">
        <x:v>126.925062</x:v>
      </x:c>
      <x:c r="F45" s="30" t="n">
        <x:v>8.45</x:v>
      </x:c>
      <x:c r="G45" s="30" t="n">
        <x:v>2.98</x:v>
      </x:c>
      <x:c r="H45" s="28" t="str">
        <x:v>있음</x:v>
      </x:c>
      <x:c r="I45" s="28" t="str">
        <x:v>있음</x:v>
      </x:c>
      <x:c r="J45" s="28" t="str">
        <x:v>public_explicit_present</x:v>
      </x:c>
      <x:c r="K45" s="55" t="n">
        <x:v>88.45</x:v>
      </x:c>
      <x:c r="L45" s="55" t="n">
        <x:v>1377.34</x:v>
      </x:c>
      <x:c r="M45" s="28" t="str">
        <x:v>W814055256_S6</x:v>
      </x:c>
      <x:c r="N45" s="28" t="str">
        <x:v>814055256</x:v>
      </x:c>
      <x:c r="O45" s="28" t="str">
        <x:v>residential</x:v>
      </x:c>
      <x:c r="P45" s="28" t="str">
        <x:v>소곡로</x:v>
      </x:c>
      <x:c r="Q45" s="30" t="n">
        <x:v>9.52</x:v>
      </x:c>
      <x:c r="R45" s="28" t="str">
        <x:v>provisional_high</x:v>
      </x:c>
      <x:c r="S45" s="28" t="str">
        <x:v>N</x:v>
      </x:c>
      <x:c r="T45" s="28" t="str">
        <x:v>https://map.kakao.com/link/roadview/37.3892721,126.9250620</x:v>
      </x:c>
    </x:row>
    <x:row r="46" ht="22" customHeight="1">
      <x:c r="A46" s="28" t="str">
        <x:v>CW40</x:v>
      </x:c>
      <x:c r="B46" s="28" t="str">
        <x:v>2025085008</x:v>
      </x:c>
      <x:c r="C46" s="28" t="str">
        <x:v>안양1동</x:v>
      </x:c>
      <x:c r="D46" s="48" t="n">
        <x:v>37.38917431</x:v>
      </x:c>
      <x:c r="E46" s="48" t="n">
        <x:v>126.925032</x:v>
      </x:c>
      <x:c r="F46" s="30" t="n">
        <x:v>8.15</x:v>
      </x:c>
      <x:c r="G46" s="30" t="n">
        <x:v>4</x:v>
      </x:c>
      <x:c r="H46" s="28" t="str">
        <x:v>있음</x:v>
      </x:c>
      <x:c r="I46" s="28" t="str">
        <x:v>있음</x:v>
      </x:c>
      <x:c r="J46" s="28" t="str">
        <x:v>public_explicit_present</x:v>
      </x:c>
      <x:c r="K46" s="55" t="n">
        <x:v>99.4</x:v>
      </x:c>
      <x:c r="L46" s="55" t="n">
        <x:v>1377.34</x:v>
      </x:c>
      <x:c r="M46" s="28" t="str">
        <x:v>W814055256_S6</x:v>
      </x:c>
      <x:c r="N46" s="28" t="str">
        <x:v>814055256</x:v>
      </x:c>
      <x:c r="O46" s="28" t="str">
        <x:v>residential</x:v>
      </x:c>
      <x:c r="P46" s="28" t="str">
        <x:v>소곡로</x:v>
      </x:c>
      <x:c r="Q46" s="30" t="n">
        <x:v>3.56</x:v>
      </x:c>
      <x:c r="R46" s="28" t="str">
        <x:v>provisional_high</x:v>
      </x:c>
      <x:c r="S46" s="28" t="str">
        <x:v>N</x:v>
      </x:c>
      <x:c r="T46" s="28" t="str">
        <x:v>https://map.kakao.com/link/roadview/37.3891743,126.9250320</x:v>
      </x:c>
    </x:row>
  </x:sheetData>
  <x:conditionalFormatting sqref="J7:J46">
    <x:cfRule type="containsText" dxfId="23" priority="1" operator="containsText" text="risk"/>
    <x:cfRule type="containsText" dxfId="24" priority="2" operator="containsText" text="unknown"/>
    <x:cfRule type="containsText" dxfId="25" priority="3" operator="containsText" text="present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15" hidden="0" customWidth="1"/>
    <x:col min="3" max="3" width="18" hidden="0" customWidth="1"/>
    <x:col min="4" max="4" width="14" hidden="0" customWidth="1"/>
    <x:col min="5" max="5" width="13" hidden="0" customWidth="1"/>
    <x:col min="6" max="6" width="20" hidden="0" customWidth="1"/>
    <x:col min="7" max="7" width="13" hidden="0" customWidth="1"/>
    <x:col min="8" max="8" width="24" hidden="0" customWidth="1"/>
    <x:col min="9" max="9" width="18" hidden="0" customWidth="1"/>
    <x:col min="10" max="10" width="18" hidden="0" customWidth="1"/>
    <x:col min="11" max="11" width="38" hidden="0" customWidth="1"/>
    <x:col min="12" max="12" width="44" hidden="0" customWidth="1"/>
  </x:cols>
  <x:sheetData>
    <x:row r="1">
      <x:c r="A1" s="39"/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</x:row>
    <x:row r="2" ht="22" customHeight="1">
      <x:c r="A2" s="1" t="str">
        <x:v>횡단보도–OSM 대체엣지 매핑</x:v>
      </x:c>
    </x:row>
    <x:row r="3" ht="22" customHeight="1">
      <x:c r="A3" s="2" t="str">
        <x:v>경로 비교용 기술 대체값이며 실제 보도·횡단경로 조사 결과가 아님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6" ht="30" customHeight="1">
      <x:c r="A6" s="12" t="str">
        <x:v>표본 ID</x:v>
      </x:c>
      <x:c r="B6" s="34" t="str">
        <x:v>관리번호</x:v>
      </x:c>
      <x:c r="C6" s="34" t="str">
        <x:v>대체엣지 ID</x:v>
      </x:c>
      <x:c r="D6" s="34" t="str">
        <x:v>OSM way</x:v>
      </x:c>
      <x:c r="E6" s="34" t="str">
        <x:v>도로유형</x:v>
      </x:c>
      <x:c r="F6" s="34" t="str">
        <x:v>도로명</x:v>
      </x:c>
      <x:c r="G6" s="34" t="str">
        <x:v>스냅거리(m)</x:v>
      </x:c>
      <x:c r="H6" s="34" t="str">
        <x:v>공공 상태</x:v>
      </x:c>
      <x:c r="I6" s="34" t="str">
        <x:v>A 정책</x:v>
      </x:c>
      <x:c r="J6" s="34" t="str">
        <x:v>B 정책</x:v>
      </x:c>
      <x:c r="K6" s="34" t="str">
        <x:v>C 정책</x:v>
      </x:c>
      <x:c r="L6" s="13" t="str">
        <x:v>매핑 범위</x:v>
      </x:c>
    </x:row>
    <x:row r="7" ht="30" customHeight="1">
      <x:c r="A7" s="36" t="str">
        <x:v>CW01</x:v>
      </x:c>
      <x:c r="B7" s="36" t="str">
        <x:v>2024121199</x:v>
      </x:c>
      <x:c r="C7" s="36" t="str">
        <x:v>W589960556_S7</x:v>
      </x:c>
      <x:c r="D7" s="36" t="str">
        <x:v>589960556</x:v>
      </x:c>
      <x:c r="E7" s="36" t="str">
        <x:v>residential</x:v>
      </x:c>
      <x:c r="F7" s="36" t="str">
        <x:v>태평로</x:v>
      </x:c>
      <x:c r="G7" s="41" t="n">
        <x:v>5.35</x:v>
      </x:c>
      <x:c r="H7" s="36" t="str">
        <x:v>unknown</x:v>
      </x:c>
      <x:c r="I7" s="36" t="str">
        <x:v>base distance</x:v>
      </x:c>
      <x:c r="J7" s="36" t="str">
        <x:v>x1.15</x:v>
      </x:c>
      <x:c r="K7" s="36" t="str">
        <x:v>same as B until an AI candidate is human-approved</x:v>
      </x:c>
      <x:c r="L7" s="36" t="str">
        <x:v>OSM centerline proxy; not a surveyed crossing edge</x:v>
      </x:c>
    </x:row>
    <x:row r="8" ht="30" customHeight="1">
      <x:c r="A8" s="37" t="str">
        <x:v>CW02</x:v>
      </x:c>
      <x:c r="B8" s="37" t="str">
        <x:v>2024121207</x:v>
      </x:c>
      <x:c r="C8" s="37" t="str">
        <x:v>W844180368_S0</x:v>
      </x:c>
      <x:c r="D8" s="37" t="str">
        <x:v>844180368</x:v>
      </x:c>
      <x:c r="E8" s="37" t="str">
        <x:v>service</x:v>
      </x:c>
      <x:c r="F8" s="37" t="str"/>
      <x:c r="G8" s="42" t="n">
        <x:v>0.64</x:v>
      </x:c>
      <x:c r="H8" s="37" t="str">
        <x:v>unknown</x:v>
      </x:c>
      <x:c r="I8" s="37" t="str">
        <x:v>base distance</x:v>
      </x:c>
      <x:c r="J8" s="37" t="str">
        <x:v>x1.15</x:v>
      </x:c>
      <x:c r="K8" s="37" t="str">
        <x:v>same as B until an AI candidate is human-approved</x:v>
      </x:c>
      <x:c r="L8" s="37" t="str">
        <x:v>OSM centerline proxy; not a surveyed crossing edge</x:v>
      </x:c>
    </x:row>
    <x:row r="9" ht="30" customHeight="1">
      <x:c r="A9" s="37" t="str">
        <x:v>CW03</x:v>
      </x:c>
      <x:c r="B9" s="37" t="str">
        <x:v>2024121198</x:v>
      </x:c>
      <x:c r="C9" s="37" t="str">
        <x:v>W589960556_S7</x:v>
      </x:c>
      <x:c r="D9" s="37" t="str">
        <x:v>589960556</x:v>
      </x:c>
      <x:c r="E9" s="37" t="str">
        <x:v>residential</x:v>
      </x:c>
      <x:c r="F9" s="37" t="str">
        <x:v>태평로</x:v>
      </x:c>
      <x:c r="G9" s="42" t="n">
        <x:v>3.4</x:v>
      </x:c>
      <x:c r="H9" s="37" t="str">
        <x:v>unknown</x:v>
      </x:c>
      <x:c r="I9" s="37" t="str">
        <x:v>base distance</x:v>
      </x:c>
      <x:c r="J9" s="37" t="str">
        <x:v>x1.15</x:v>
      </x:c>
      <x:c r="K9" s="37" t="str">
        <x:v>same as B until an AI candidate is human-approved</x:v>
      </x:c>
      <x:c r="L9" s="37" t="str">
        <x:v>OSM centerline proxy; not a surveyed crossing edge</x:v>
      </x:c>
    </x:row>
    <x:row r="10" ht="30" customHeight="1">
      <x:c r="A10" s="37" t="str">
        <x:v>CW04</x:v>
      </x:c>
      <x:c r="B10" s="37" t="str">
        <x:v>2024121191</x:v>
      </x:c>
      <x:c r="C10" s="37" t="str">
        <x:v>W915477947_S2</x:v>
      </x:c>
      <x:c r="D10" s="37" t="str">
        <x:v>915477947</x:v>
      </x:c>
      <x:c r="E10" s="37" t="str">
        <x:v>tertiary</x:v>
      </x:c>
      <x:c r="F10" s="37" t="str">
        <x:v>만안로</x:v>
      </x:c>
      <x:c r="G10" s="42" t="n">
        <x:v>4.72</x:v>
      </x:c>
      <x:c r="H10" s="37" t="str">
        <x:v>unknown</x:v>
      </x:c>
      <x:c r="I10" s="37" t="str">
        <x:v>base distance</x:v>
      </x:c>
      <x:c r="J10" s="37" t="str">
        <x:v>x1.15</x:v>
      </x:c>
      <x:c r="K10" s="37" t="str">
        <x:v>same as B until an AI candidate is human-approved</x:v>
      </x:c>
      <x:c r="L10" s="37" t="str">
        <x:v>OSM centerline proxy; not a surveyed crossing edge</x:v>
      </x:c>
    </x:row>
    <x:row r="11" ht="30" customHeight="1">
      <x:c r="A11" s="37" t="str">
        <x:v>CW05</x:v>
      </x:c>
      <x:c r="B11" s="37" t="str">
        <x:v>2024121201</x:v>
      </x:c>
      <x:c r="C11" s="37" t="str">
        <x:v>W589960556_S6</x:v>
      </x:c>
      <x:c r="D11" s="37" t="str">
        <x:v>589960556</x:v>
      </x:c>
      <x:c r="E11" s="37" t="str">
        <x:v>residential</x:v>
      </x:c>
      <x:c r="F11" s="37" t="str">
        <x:v>태평로</x:v>
      </x:c>
      <x:c r="G11" s="42" t="n">
        <x:v>0.47</x:v>
      </x:c>
      <x:c r="H11" s="37" t="str">
        <x:v>unknown</x:v>
      </x:c>
      <x:c r="I11" s="37" t="str">
        <x:v>base distance</x:v>
      </x:c>
      <x:c r="J11" s="37" t="str">
        <x:v>x1.15</x:v>
      </x:c>
      <x:c r="K11" s="37" t="str">
        <x:v>same as B until an AI candidate is human-approved</x:v>
      </x:c>
      <x:c r="L11" s="37" t="str">
        <x:v>OSM centerline proxy; not a surveyed crossing edge</x:v>
      </x:c>
    </x:row>
    <x:row r="12" ht="30" customHeight="1">
      <x:c r="A12" s="37" t="str">
        <x:v>CW06</x:v>
      </x:c>
      <x:c r="B12" s="37" t="str">
        <x:v>2024121072</x:v>
      </x:c>
      <x:c r="C12" s="37" t="str">
        <x:v>W837321098_S0</x:v>
      </x:c>
      <x:c r="D12" s="37" t="str">
        <x:v>837321098</x:v>
      </x:c>
      <x:c r="E12" s="37" t="str">
        <x:v>residential</x:v>
      </x:c>
      <x:c r="F12" s="37" t="str">
        <x:v>만안로</x:v>
      </x:c>
      <x:c r="G12" s="42" t="n">
        <x:v>1.4</x:v>
      </x:c>
      <x:c r="H12" s="37" t="str">
        <x:v>unknown</x:v>
      </x:c>
      <x:c r="I12" s="37" t="str">
        <x:v>base distance</x:v>
      </x:c>
      <x:c r="J12" s="37" t="str">
        <x:v>x1.15</x:v>
      </x:c>
      <x:c r="K12" s="37" t="str">
        <x:v>same as B until an AI candidate is human-approved</x:v>
      </x:c>
      <x:c r="L12" s="37" t="str">
        <x:v>OSM centerline proxy; not a surveyed crossing edge</x:v>
      </x:c>
    </x:row>
    <x:row r="13" ht="30" customHeight="1">
      <x:c r="A13" s="37" t="str">
        <x:v>CW07</x:v>
      </x:c>
      <x:c r="B13" s="37" t="str">
        <x:v>2024121209</x:v>
      </x:c>
      <x:c r="C13" s="37" t="str">
        <x:v>W318729249_S0</x:v>
      </x:c>
      <x:c r="D13" s="37" t="str">
        <x:v>318729249</x:v>
      </x:c>
      <x:c r="E13" s="37" t="str">
        <x:v>tertiary</x:v>
      </x:c>
      <x:c r="F13" s="37" t="str">
        <x:v>만안로223번길</x:v>
      </x:c>
      <x:c r="G13" s="42" t="n">
        <x:v>3.53</x:v>
      </x:c>
      <x:c r="H13" s="37" t="str">
        <x:v>unknown</x:v>
      </x:c>
      <x:c r="I13" s="37" t="str">
        <x:v>base distance</x:v>
      </x:c>
      <x:c r="J13" s="37" t="str">
        <x:v>x1.15</x:v>
      </x:c>
      <x:c r="K13" s="37" t="str">
        <x:v>same as B until an AI candidate is human-approved</x:v>
      </x:c>
      <x:c r="L13" s="37" t="str">
        <x:v>OSM centerline proxy; not a surveyed crossing edge</x:v>
      </x:c>
    </x:row>
    <x:row r="14" ht="30" customHeight="1">
      <x:c r="A14" s="37" t="str">
        <x:v>CW08</x:v>
      </x:c>
      <x:c r="B14" s="37" t="str">
        <x:v>2024121206</x:v>
      </x:c>
      <x:c r="C14" s="37" t="str">
        <x:v>W589960556_S6</x:v>
      </x:c>
      <x:c r="D14" s="37" t="str">
        <x:v>589960556</x:v>
      </x:c>
      <x:c r="E14" s="37" t="str">
        <x:v>residential</x:v>
      </x:c>
      <x:c r="F14" s="37" t="str">
        <x:v>태평로</x:v>
      </x:c>
      <x:c r="G14" s="42" t="n">
        <x:v>0.44</x:v>
      </x:c>
      <x:c r="H14" s="37" t="str">
        <x:v>unknown</x:v>
      </x:c>
      <x:c r="I14" s="37" t="str">
        <x:v>base distance</x:v>
      </x:c>
      <x:c r="J14" s="37" t="str">
        <x:v>x1.15</x:v>
      </x:c>
      <x:c r="K14" s="37" t="str">
        <x:v>same as B until an AI candidate is human-approved</x:v>
      </x:c>
      <x:c r="L14" s="37" t="str">
        <x:v>OSM centerline proxy; not a surveyed crossing edge</x:v>
      </x:c>
    </x:row>
    <x:row r="15" ht="30" customHeight="1">
      <x:c r="A15" s="37" t="str">
        <x:v>CW09</x:v>
      </x:c>
      <x:c r="B15" s="37" t="str">
        <x:v>2024121203</x:v>
      </x:c>
      <x:c r="C15" s="37" t="str">
        <x:v>W554922640_S1</x:v>
      </x:c>
      <x:c r="D15" s="37" t="str">
        <x:v>554922640</x:v>
      </x:c>
      <x:c r="E15" s="37" t="str">
        <x:v>tertiary</x:v>
      </x:c>
      <x:c r="F15" s="37" t="str">
        <x:v>만안로</x:v>
      </x:c>
      <x:c r="G15" s="42" t="n">
        <x:v>0.58</x:v>
      </x:c>
      <x:c r="H15" s="37" t="str">
        <x:v>unknown</x:v>
      </x:c>
      <x:c r="I15" s="37" t="str">
        <x:v>base distance</x:v>
      </x:c>
      <x:c r="J15" s="37" t="str">
        <x:v>x1.15</x:v>
      </x:c>
      <x:c r="K15" s="37" t="str">
        <x:v>same as B until an AI candidate is human-approved</x:v>
      </x:c>
      <x:c r="L15" s="37" t="str">
        <x:v>OSM centerline proxy; not a surveyed crossing edge</x:v>
      </x:c>
    </x:row>
    <x:row r="16" ht="30" customHeight="1">
      <x:c r="A16" s="37" t="str">
        <x:v>CW10</x:v>
      </x:c>
      <x:c r="B16" s="37" t="str">
        <x:v>2024121208</x:v>
      </x:c>
      <x:c r="C16" s="37" t="str">
        <x:v>W589960556_S5</x:v>
      </x:c>
      <x:c r="D16" s="37" t="str">
        <x:v>589960556</x:v>
      </x:c>
      <x:c r="E16" s="37" t="str">
        <x:v>residential</x:v>
      </x:c>
      <x:c r="F16" s="37" t="str">
        <x:v>태평로</x:v>
      </x:c>
      <x:c r="G16" s="42" t="n">
        <x:v>1.35</x:v>
      </x:c>
      <x:c r="H16" s="37" t="str">
        <x:v>unknown</x:v>
      </x:c>
      <x:c r="I16" s="37" t="str">
        <x:v>base distance</x:v>
      </x:c>
      <x:c r="J16" s="37" t="str">
        <x:v>x1.15</x:v>
      </x:c>
      <x:c r="K16" s="37" t="str">
        <x:v>same as B until an AI candidate is human-approved</x:v>
      </x:c>
      <x:c r="L16" s="37" t="str">
        <x:v>OSM centerline proxy; not a surveyed crossing edge</x:v>
      </x:c>
    </x:row>
    <x:row r="17" ht="30" customHeight="1">
      <x:c r="A17" s="37" t="str">
        <x:v>CW11</x:v>
      </x:c>
      <x:c r="B17" s="37" t="str">
        <x:v>2024121196</x:v>
      </x:c>
      <x:c r="C17" s="37" t="str">
        <x:v>W837321092_S6</x:v>
      </x:c>
      <x:c r="D17" s="37" t="str">
        <x:v>837321092</x:v>
      </x:c>
      <x:c r="E17" s="37" t="str">
        <x:v>service</x:v>
      </x:c>
      <x:c r="F17" s="37" t="str"/>
      <x:c r="G17" s="42" t="n">
        <x:v>4.77</x:v>
      </x:c>
      <x:c r="H17" s="37" t="str">
        <x:v>unknown</x:v>
      </x:c>
      <x:c r="I17" s="37" t="str">
        <x:v>base distance</x:v>
      </x:c>
      <x:c r="J17" s="37" t="str">
        <x:v>x1.15</x:v>
      </x:c>
      <x:c r="K17" s="37" t="str">
        <x:v>same as B until an AI candidate is human-approved</x:v>
      </x:c>
      <x:c r="L17" s="37" t="str">
        <x:v>OSM centerline proxy; not a surveyed crossing edge</x:v>
      </x:c>
    </x:row>
    <x:row r="18" ht="30" customHeight="1">
      <x:c r="A18" s="37" t="str">
        <x:v>CW12</x:v>
      </x:c>
      <x:c r="B18" s="37" t="str">
        <x:v>2024121197</x:v>
      </x:c>
      <x:c r="C18" s="37" t="str">
        <x:v>W837321092_S6</x:v>
      </x:c>
      <x:c r="D18" s="37" t="str">
        <x:v>837321092</x:v>
      </x:c>
      <x:c r="E18" s="37" t="str">
        <x:v>service</x:v>
      </x:c>
      <x:c r="F18" s="37" t="str"/>
      <x:c r="G18" s="42" t="n">
        <x:v>0.96</x:v>
      </x:c>
      <x:c r="H18" s="37" t="str">
        <x:v>unknown</x:v>
      </x:c>
      <x:c r="I18" s="37" t="str">
        <x:v>base distance</x:v>
      </x:c>
      <x:c r="J18" s="37" t="str">
        <x:v>x1.15</x:v>
      </x:c>
      <x:c r="K18" s="37" t="str">
        <x:v>same as B until an AI candidate is human-approved</x:v>
      </x:c>
      <x:c r="L18" s="37" t="str">
        <x:v>OSM centerline proxy; not a surveyed crossing edge</x:v>
      </x:c>
    </x:row>
    <x:row r="19" ht="30" customHeight="1">
      <x:c r="A19" s="37" t="str">
        <x:v>CW13</x:v>
      </x:c>
      <x:c r="B19" s="37" t="str">
        <x:v>2024121190</x:v>
      </x:c>
      <x:c r="C19" s="37" t="str">
        <x:v>W318729204_S2</x:v>
      </x:c>
      <x:c r="D19" s="37" t="str">
        <x:v>318729204</x:v>
      </x:c>
      <x:c r="E19" s="37" t="str">
        <x:v>tertiary</x:v>
      </x:c>
      <x:c r="F19" s="37" t="str"/>
      <x:c r="G19" s="42" t="n">
        <x:v>1.68</x:v>
      </x:c>
      <x:c r="H19" s="37" t="str">
        <x:v>unknown</x:v>
      </x:c>
      <x:c r="I19" s="37" t="str">
        <x:v>base distance</x:v>
      </x:c>
      <x:c r="J19" s="37" t="str">
        <x:v>x1.15</x:v>
      </x:c>
      <x:c r="K19" s="37" t="str">
        <x:v>same as B until an AI candidate is human-approved</x:v>
      </x:c>
      <x:c r="L19" s="37" t="str">
        <x:v>OSM centerline proxy; not a surveyed crossing edge</x:v>
      </x:c>
    </x:row>
    <x:row r="20" ht="30" customHeight="1">
      <x:c r="A20" s="37" t="str">
        <x:v>CW14</x:v>
      </x:c>
      <x:c r="B20" s="37" t="str">
        <x:v>2024120086</x:v>
      </x:c>
      <x:c r="C20" s="37" t="str">
        <x:v>W318729248_S38</x:v>
      </x:c>
      <x:c r="D20" s="37" t="str">
        <x:v>318729248</x:v>
      </x:c>
      <x:c r="E20" s="37" t="str">
        <x:v>tertiary</x:v>
      </x:c>
      <x:c r="F20" s="37" t="str">
        <x:v>만안로</x:v>
      </x:c>
      <x:c r="G20" s="42" t="n">
        <x:v>0.47</x:v>
      </x:c>
      <x:c r="H20" s="37" t="str">
        <x:v>unknown</x:v>
      </x:c>
      <x:c r="I20" s="37" t="str">
        <x:v>base distance</x:v>
      </x:c>
      <x:c r="J20" s="37" t="str">
        <x:v>x1.15</x:v>
      </x:c>
      <x:c r="K20" s="37" t="str">
        <x:v>same as B until an AI candidate is human-approved</x:v>
      </x:c>
      <x:c r="L20" s="37" t="str">
        <x:v>OSM centerline proxy; not a surveyed crossing edge</x:v>
      </x:c>
    </x:row>
    <x:row r="21" ht="30" customHeight="1">
      <x:c r="A21" s="37" t="str">
        <x:v>CW15</x:v>
      </x:c>
      <x:c r="B21" s="37" t="str">
        <x:v>2024122521</x:v>
      </x:c>
      <x:c r="C21" s="37" t="str">
        <x:v>W380073444_S0</x:v>
      </x:c>
      <x:c r="D21" s="37" t="str">
        <x:v>380073444</x:v>
      </x:c>
      <x:c r="E21" s="37" t="str">
        <x:v>tertiary</x:v>
      </x:c>
      <x:c r="F21" s="37" t="str">
        <x:v>일번가지하차도</x:v>
      </x:c>
      <x:c r="G21" s="42" t="n">
        <x:v>0.73</x:v>
      </x:c>
      <x:c r="H21" s="37" t="str">
        <x:v>unknown</x:v>
      </x:c>
      <x:c r="I21" s="37" t="str">
        <x:v>base distance</x:v>
      </x:c>
      <x:c r="J21" s="37" t="str">
        <x:v>x1.15</x:v>
      </x:c>
      <x:c r="K21" s="37" t="str">
        <x:v>same as B until an AI candidate is human-approved</x:v>
      </x:c>
      <x:c r="L21" s="37" t="str">
        <x:v>OSM centerline proxy; not a surveyed crossing edge</x:v>
      </x:c>
    </x:row>
    <x:row r="22" ht="30" customHeight="1">
      <x:c r="A22" s="37" t="str">
        <x:v>CW16</x:v>
      </x:c>
      <x:c r="B22" s="37" t="str">
        <x:v>2024122517</x:v>
      </x:c>
      <x:c r="C22" s="37" t="str">
        <x:v>W863717799_S8</x:v>
      </x:c>
      <x:c r="D22" s="37" t="str">
        <x:v>863717799</x:v>
      </x:c>
      <x:c r="E22" s="37" t="str">
        <x:v>tertiary</x:v>
      </x:c>
      <x:c r="F22" s="37" t="str">
        <x:v>장내로</x:v>
      </x:c>
      <x:c r="G22" s="42" t="n">
        <x:v>1.36</x:v>
      </x:c>
      <x:c r="H22" s="37" t="str">
        <x:v>unknown</x:v>
      </x:c>
      <x:c r="I22" s="37" t="str">
        <x:v>base distance</x:v>
      </x:c>
      <x:c r="J22" s="37" t="str">
        <x:v>x1.15</x:v>
      </x:c>
      <x:c r="K22" s="37" t="str">
        <x:v>same as B until an AI candidate is human-approved</x:v>
      </x:c>
      <x:c r="L22" s="37" t="str">
        <x:v>OSM centerline proxy; not a surveyed crossing edge</x:v>
      </x:c>
    </x:row>
    <x:row r="23" ht="30" customHeight="1">
      <x:c r="A23" s="37" t="str">
        <x:v>CW17</x:v>
      </x:c>
      <x:c r="B23" s="37" t="str">
        <x:v>2024122512</x:v>
      </x:c>
      <x:c r="C23" s="37" t="str">
        <x:v>W380063841_S0</x:v>
      </x:c>
      <x:c r="D23" s="37" t="str">
        <x:v>380063841</x:v>
      </x:c>
      <x:c r="E23" s="37" t="str">
        <x:v>residential</x:v>
      </x:c>
      <x:c r="F23" s="37" t="str">
        <x:v>안양로268번길</x:v>
      </x:c>
      <x:c r="G23" s="42" t="n">
        <x:v>0.19</x:v>
      </x:c>
      <x:c r="H23" s="37" t="str">
        <x:v>unknown</x:v>
      </x:c>
      <x:c r="I23" s="37" t="str">
        <x:v>base distance</x:v>
      </x:c>
      <x:c r="J23" s="37" t="str">
        <x:v>x1.15</x:v>
      </x:c>
      <x:c r="K23" s="37" t="str">
        <x:v>same as B until an AI candidate is human-approved</x:v>
      </x:c>
      <x:c r="L23" s="37" t="str">
        <x:v>OSM centerline proxy; not a surveyed crossing edge</x:v>
      </x:c>
    </x:row>
    <x:row r="24" ht="30" customHeight="1">
      <x:c r="A24" s="37" t="str">
        <x:v>CW18</x:v>
      </x:c>
      <x:c r="B24" s="37" t="str">
        <x:v>2024122514</x:v>
      </x:c>
      <x:c r="C24" s="37" t="str">
        <x:v>W38609253_S0</x:v>
      </x:c>
      <x:c r="D24" s="37" t="str">
        <x:v>38609253</x:v>
      </x:c>
      <x:c r="E24" s="37" t="str">
        <x:v>residential</x:v>
      </x:c>
      <x:c r="F24" s="37" t="str">
        <x:v>안양로258번길</x:v>
      </x:c>
      <x:c r="G24" s="42" t="n">
        <x:v>0.86</x:v>
      </x:c>
      <x:c r="H24" s="37" t="str">
        <x:v>unknown</x:v>
      </x:c>
      <x:c r="I24" s="37" t="str">
        <x:v>base distance</x:v>
      </x:c>
      <x:c r="J24" s="37" t="str">
        <x:v>x1.15</x:v>
      </x:c>
      <x:c r="K24" s="37" t="str">
        <x:v>same as B until an AI candidate is human-approved</x:v>
      </x:c>
      <x:c r="L24" s="37" t="str">
        <x:v>OSM centerline proxy; not a surveyed crossing edge</x:v>
      </x:c>
    </x:row>
    <x:row r="25" ht="30" customHeight="1">
      <x:c r="A25" s="37" t="str">
        <x:v>CW19</x:v>
      </x:c>
      <x:c r="B25" s="37" t="str">
        <x:v>2024120083</x:v>
      </x:c>
      <x:c r="C25" s="37" t="str">
        <x:v>W38609408_S8</x:v>
      </x:c>
      <x:c r="D25" s="37" t="str">
        <x:v>38609408</x:v>
      </x:c>
      <x:c r="E25" s="37" t="str">
        <x:v>tertiary</x:v>
      </x:c>
      <x:c r="F25" s="37" t="str">
        <x:v>안양로</x:v>
      </x:c>
      <x:c r="G25" s="42" t="n">
        <x:v>0.55</x:v>
      </x:c>
      <x:c r="H25" s="37" t="str">
        <x:v>unknown</x:v>
      </x:c>
      <x:c r="I25" s="37" t="str">
        <x:v>base distance</x:v>
      </x:c>
      <x:c r="J25" s="37" t="str">
        <x:v>x1.15</x:v>
      </x:c>
      <x:c r="K25" s="37" t="str">
        <x:v>same as B until an AI candidate is human-approved</x:v>
      </x:c>
      <x:c r="L25" s="37" t="str">
        <x:v>OSM centerline proxy; not a surveyed crossing edge</x:v>
      </x:c>
    </x:row>
    <x:row r="26" ht="30" customHeight="1">
      <x:c r="A26" s="37" t="str">
        <x:v>CW20</x:v>
      </x:c>
      <x:c r="B26" s="37" t="str">
        <x:v>2024120362</x:v>
      </x:c>
      <x:c r="C26" s="37" t="str">
        <x:v>W38609408_S9</x:v>
      </x:c>
      <x:c r="D26" s="37" t="str">
        <x:v>38609408</x:v>
      </x:c>
      <x:c r="E26" s="37" t="str">
        <x:v>tertiary</x:v>
      </x:c>
      <x:c r="F26" s="37" t="str">
        <x:v>안양로</x:v>
      </x:c>
      <x:c r="G26" s="42" t="n">
        <x:v>2.18</x:v>
      </x:c>
      <x:c r="H26" s="37" t="str">
        <x:v>unknown</x:v>
      </x:c>
      <x:c r="I26" s="37" t="str">
        <x:v>base distance</x:v>
      </x:c>
      <x:c r="J26" s="37" t="str">
        <x:v>x1.15</x:v>
      </x:c>
      <x:c r="K26" s="37" t="str">
        <x:v>same as B until an AI candidate is human-approved</x:v>
      </x:c>
      <x:c r="L26" s="37" t="str">
        <x:v>OSM centerline proxy; not a surveyed crossing edge</x:v>
      </x:c>
    </x:row>
    <x:row r="27" ht="30" customHeight="1">
      <x:c r="A27" s="37" t="str">
        <x:v>CW21</x:v>
      </x:c>
      <x:c r="B27" s="37" t="str">
        <x:v>2025085034</x:v>
      </x:c>
      <x:c r="C27" s="37" t="str">
        <x:v>W38609292_S2</x:v>
      </x:c>
      <x:c r="D27" s="37" t="str">
        <x:v>38609292</x:v>
      </x:c>
      <x:c r="E27" s="37" t="str">
        <x:v>tertiary</x:v>
      </x:c>
      <x:c r="F27" s="37" t="str">
        <x:v>삼덕로</x:v>
      </x:c>
      <x:c r="G27" s="42" t="n">
        <x:v>0.34</x:v>
      </x:c>
      <x:c r="H27" s="37" t="str">
        <x:v>public_explicit_present</x:v>
      </x:c>
      <x:c r="I27" s="37" t="str">
        <x:v>base distance</x:v>
      </x:c>
      <x:c r="J27" s="37" t="str">
        <x:v>x1.00</x:v>
      </x:c>
      <x:c r="K27" s="37" t="str">
        <x:v>same as B until an AI candidate is human-approved</x:v>
      </x:c>
      <x:c r="L27" s="37" t="str">
        <x:v>OSM centerline proxy; not a surveyed crossing edge</x:v>
      </x:c>
    </x:row>
    <x:row r="28" ht="30" customHeight="1">
      <x:c r="A28" s="37" t="str">
        <x:v>CW22</x:v>
      </x:c>
      <x:c r="B28" s="37" t="str">
        <x:v>2025085029</x:v>
      </x:c>
      <x:c r="C28" s="37" t="str">
        <x:v>W38609097_S14</x:v>
      </x:c>
      <x:c r="D28" s="37" t="str">
        <x:v>38609097</x:v>
      </x:c>
      <x:c r="E28" s="37" t="str">
        <x:v>tertiary</x:v>
      </x:c>
      <x:c r="F28" s="37" t="str">
        <x:v>냉천로</x:v>
      </x:c>
      <x:c r="G28" s="42" t="n">
        <x:v>4.12</x:v>
      </x:c>
      <x:c r="H28" s="37" t="str">
        <x:v>public_explicit_present</x:v>
      </x:c>
      <x:c r="I28" s="37" t="str">
        <x:v>base distance</x:v>
      </x:c>
      <x:c r="J28" s="37" t="str">
        <x:v>x1.00</x:v>
      </x:c>
      <x:c r="K28" s="37" t="str">
        <x:v>same as B until an AI candidate is human-approved</x:v>
      </x:c>
      <x:c r="L28" s="37" t="str">
        <x:v>OSM centerline proxy; not a surveyed crossing edge</x:v>
      </x:c>
    </x:row>
    <x:row r="29" ht="30" customHeight="1">
      <x:c r="A29" s="37" t="str">
        <x:v>CW23</x:v>
      </x:c>
      <x:c r="B29" s="37" t="str">
        <x:v>2025085023</x:v>
      </x:c>
      <x:c r="C29" s="37" t="str">
        <x:v>W379904072_S3</x:v>
      </x:c>
      <x:c r="D29" s="37" t="str">
        <x:v>379904072</x:v>
      </x:c>
      <x:c r="E29" s="37" t="str">
        <x:v>residential</x:v>
      </x:c>
      <x:c r="F29" s="37" t="str">
        <x:v>안양로223번길</x:v>
      </x:c>
      <x:c r="G29" s="42" t="n">
        <x:v>0.55</x:v>
      </x:c>
      <x:c r="H29" s="37" t="str">
        <x:v>public_explicit_present</x:v>
      </x:c>
      <x:c r="I29" s="37" t="str">
        <x:v>base distance</x:v>
      </x:c>
      <x:c r="J29" s="37" t="str">
        <x:v>x1.00</x:v>
      </x:c>
      <x:c r="K29" s="37" t="str">
        <x:v>same as B until an AI candidate is human-approved</x:v>
      </x:c>
      <x:c r="L29" s="37" t="str">
        <x:v>OSM centerline proxy; not a surveyed crossing edge</x:v>
      </x:c>
    </x:row>
    <x:row r="30" ht="30" customHeight="1">
      <x:c r="A30" s="37" t="str">
        <x:v>CW24</x:v>
      </x:c>
      <x:c r="B30" s="37" t="str">
        <x:v>2025085028</x:v>
      </x:c>
      <x:c r="C30" s="37" t="str">
        <x:v>W38609097_S14</x:v>
      </x:c>
      <x:c r="D30" s="37" t="str">
        <x:v>38609097</x:v>
      </x:c>
      <x:c r="E30" s="37" t="str">
        <x:v>tertiary</x:v>
      </x:c>
      <x:c r="F30" s="37" t="str">
        <x:v>냉천로</x:v>
      </x:c>
      <x:c r="G30" s="42" t="n">
        <x:v>14.39</x:v>
      </x:c>
      <x:c r="H30" s="37" t="str">
        <x:v>public_explicit_present</x:v>
      </x:c>
      <x:c r="I30" s="37" t="str">
        <x:v>base distance</x:v>
      </x:c>
      <x:c r="J30" s="37" t="str">
        <x:v>x1.00</x:v>
      </x:c>
      <x:c r="K30" s="37" t="str">
        <x:v>same as B until an AI candidate is human-approved</x:v>
      </x:c>
      <x:c r="L30" s="37" t="str">
        <x:v>OSM centerline proxy; not a surveyed crossing edge</x:v>
      </x:c>
    </x:row>
    <x:row r="31" ht="30" customHeight="1">
      <x:c r="A31" s="37" t="str">
        <x:v>CW25</x:v>
      </x:c>
      <x:c r="B31" s="37" t="str">
        <x:v>2025085030</x:v>
      </x:c>
      <x:c r="C31" s="37" t="str">
        <x:v>W38609097_S13</x:v>
      </x:c>
      <x:c r="D31" s="37" t="str">
        <x:v>38609097</x:v>
      </x:c>
      <x:c r="E31" s="37" t="str">
        <x:v>tertiary</x:v>
      </x:c>
      <x:c r="F31" s="37" t="str">
        <x:v>냉천로</x:v>
      </x:c>
      <x:c r="G31" s="42" t="n">
        <x:v>4.39</x:v>
      </x:c>
      <x:c r="H31" s="37" t="str">
        <x:v>public_explicit_present</x:v>
      </x:c>
      <x:c r="I31" s="37" t="str">
        <x:v>base distance</x:v>
      </x:c>
      <x:c r="J31" s="37" t="str">
        <x:v>x1.00</x:v>
      </x:c>
      <x:c r="K31" s="37" t="str">
        <x:v>same as B until an AI candidate is human-approved</x:v>
      </x:c>
      <x:c r="L31" s="37" t="str">
        <x:v>OSM centerline proxy; not a surveyed crossing edge</x:v>
      </x:c>
    </x:row>
    <x:row r="32" ht="30" customHeight="1">
      <x:c r="A32" s="37" t="str">
        <x:v>CW26</x:v>
      </x:c>
      <x:c r="B32" s="37" t="str">
        <x:v>2025085031</x:v>
      </x:c>
      <x:c r="C32" s="37" t="str">
        <x:v>W38609097_S10</x:v>
      </x:c>
      <x:c r="D32" s="37" t="str">
        <x:v>38609097</x:v>
      </x:c>
      <x:c r="E32" s="37" t="str">
        <x:v>tertiary</x:v>
      </x:c>
      <x:c r="F32" s="37" t="str">
        <x:v>냉천로</x:v>
      </x:c>
      <x:c r="G32" s="42" t="n">
        <x:v>3.09</x:v>
      </x:c>
      <x:c r="H32" s="37" t="str">
        <x:v>public_explicit_present</x:v>
      </x:c>
      <x:c r="I32" s="37" t="str">
        <x:v>base distance</x:v>
      </x:c>
      <x:c r="J32" s="37" t="str">
        <x:v>x1.00</x:v>
      </x:c>
      <x:c r="K32" s="37" t="str">
        <x:v>same as B until an AI candidate is human-approved</x:v>
      </x:c>
      <x:c r="L32" s="37" t="str">
        <x:v>OSM centerline proxy; not a surveyed crossing edge</x:v>
      </x:c>
    </x:row>
    <x:row r="33" ht="30" customHeight="1">
      <x:c r="A33" s="37" t="str">
        <x:v>CW27</x:v>
      </x:c>
      <x:c r="B33" s="37" t="str">
        <x:v>2025085009</x:v>
      </x:c>
      <x:c r="C33" s="37" t="str">
        <x:v>W38609097_S7</x:v>
      </x:c>
      <x:c r="D33" s="37" t="str">
        <x:v>38609097</x:v>
      </x:c>
      <x:c r="E33" s="37" t="str">
        <x:v>tertiary</x:v>
      </x:c>
      <x:c r="F33" s="37" t="str">
        <x:v>냉천로</x:v>
      </x:c>
      <x:c r="G33" s="42" t="n">
        <x:v>2.77</x:v>
      </x:c>
      <x:c r="H33" s="37" t="str">
        <x:v>public_explicit_present</x:v>
      </x:c>
      <x:c r="I33" s="37" t="str">
        <x:v>base distance</x:v>
      </x:c>
      <x:c r="J33" s="37" t="str">
        <x:v>x1.00</x:v>
      </x:c>
      <x:c r="K33" s="37" t="str">
        <x:v>same as B until an AI candidate is human-approved</x:v>
      </x:c>
      <x:c r="L33" s="37" t="str">
        <x:v>OSM centerline proxy; not a surveyed crossing edge</x:v>
      </x:c>
    </x:row>
    <x:row r="34" ht="30" customHeight="1">
      <x:c r="A34" s="37" t="str">
        <x:v>CW28</x:v>
      </x:c>
      <x:c r="B34" s="37" t="str">
        <x:v>2025085010</x:v>
      </x:c>
      <x:c r="C34" s="37" t="str">
        <x:v>W38609193_S10</x:v>
      </x:c>
      <x:c r="D34" s="37" t="str">
        <x:v>38609193</x:v>
      </x:c>
      <x:c r="E34" s="37" t="str">
        <x:v>tertiary</x:v>
      </x:c>
      <x:c r="F34" s="37" t="str">
        <x:v>현충로</x:v>
      </x:c>
      <x:c r="G34" s="42" t="n">
        <x:v>1.26</x:v>
      </x:c>
      <x:c r="H34" s="37" t="str">
        <x:v>public_explicit_present</x:v>
      </x:c>
      <x:c r="I34" s="37" t="str">
        <x:v>base distance</x:v>
      </x:c>
      <x:c r="J34" s="37" t="str">
        <x:v>x1.00</x:v>
      </x:c>
      <x:c r="K34" s="37" t="str">
        <x:v>same as B until an AI candidate is human-approved</x:v>
      </x:c>
      <x:c r="L34" s="37" t="str">
        <x:v>OSM centerline proxy; not a surveyed crossing edge</x:v>
      </x:c>
    </x:row>
    <x:row r="35" ht="30" customHeight="1">
      <x:c r="A35" s="37" t="str">
        <x:v>CW29</x:v>
      </x:c>
      <x:c r="B35" s="37" t="str">
        <x:v>2025085011</x:v>
      </x:c>
      <x:c r="C35" s="37" t="str">
        <x:v>W82908648_S0</x:v>
      </x:c>
      <x:c r="D35" s="37" t="str">
        <x:v>82908648</x:v>
      </x:c>
      <x:c r="E35" s="37" t="str">
        <x:v>service</x:v>
      </x:c>
      <x:c r="F35" s="37" t="str">
        <x:v>현충로</x:v>
      </x:c>
      <x:c r="G35" s="42" t="n">
        <x:v>0.67</x:v>
      </x:c>
      <x:c r="H35" s="37" t="str">
        <x:v>public_explicit_present</x:v>
      </x:c>
      <x:c r="I35" s="37" t="str">
        <x:v>base distance</x:v>
      </x:c>
      <x:c r="J35" s="37" t="str">
        <x:v>x1.00</x:v>
      </x:c>
      <x:c r="K35" s="37" t="str">
        <x:v>same as B until an AI candidate is human-approved</x:v>
      </x:c>
      <x:c r="L35" s="37" t="str">
        <x:v>OSM centerline proxy; not a surveyed crossing edge</x:v>
      </x:c>
    </x:row>
    <x:row r="36" ht="30" customHeight="1">
      <x:c r="A36" s="37" t="str">
        <x:v>CW30</x:v>
      </x:c>
      <x:c r="B36" s="37" t="str">
        <x:v>2025085027</x:v>
      </x:c>
      <x:c r="C36" s="37" t="str">
        <x:v>W82908648_S1</x:v>
      </x:c>
      <x:c r="D36" s="37" t="str">
        <x:v>82908648</x:v>
      </x:c>
      <x:c r="E36" s="37" t="str">
        <x:v>service</x:v>
      </x:c>
      <x:c r="F36" s="37" t="str">
        <x:v>현충로</x:v>
      </x:c>
      <x:c r="G36" s="42" t="n">
        <x:v>8.75</x:v>
      </x:c>
      <x:c r="H36" s="37" t="str">
        <x:v>public_explicit_present</x:v>
      </x:c>
      <x:c r="I36" s="37" t="str">
        <x:v>base distance</x:v>
      </x:c>
      <x:c r="J36" s="37" t="str">
        <x:v>x1.00</x:v>
      </x:c>
      <x:c r="K36" s="37" t="str">
        <x:v>same as B until an AI candidate is human-approved</x:v>
      </x:c>
      <x:c r="L36" s="37" t="str">
        <x:v>OSM centerline proxy; not a surveyed crossing edge</x:v>
      </x:c>
    </x:row>
    <x:row r="37" ht="30" customHeight="1">
      <x:c r="A37" s="37" t="str">
        <x:v>CW31</x:v>
      </x:c>
      <x:c r="B37" s="37" t="str">
        <x:v>2025085012</x:v>
      </x:c>
      <x:c r="C37" s="37" t="str">
        <x:v>W38609097_S6</x:v>
      </x:c>
      <x:c r="D37" s="37" t="str">
        <x:v>38609097</x:v>
      </x:c>
      <x:c r="E37" s="37" t="str">
        <x:v>tertiary</x:v>
      </x:c>
      <x:c r="F37" s="37" t="str">
        <x:v>냉천로</x:v>
      </x:c>
      <x:c r="G37" s="42" t="n">
        <x:v>1.34</x:v>
      </x:c>
      <x:c r="H37" s="37" t="str">
        <x:v>public_explicit_present</x:v>
      </x:c>
      <x:c r="I37" s="37" t="str">
        <x:v>base distance</x:v>
      </x:c>
      <x:c r="J37" s="37" t="str">
        <x:v>x1.00</x:v>
      </x:c>
      <x:c r="K37" s="37" t="str">
        <x:v>same as B until an AI candidate is human-approved</x:v>
      </x:c>
      <x:c r="L37" s="37" t="str">
        <x:v>OSM centerline proxy; not a surveyed crossing edge</x:v>
      </x:c>
    </x:row>
    <x:row r="38" ht="30" customHeight="1">
      <x:c r="A38" s="37" t="str">
        <x:v>CW32</x:v>
      </x:c>
      <x:c r="B38" s="37" t="str">
        <x:v>2025085025</x:v>
      </x:c>
      <x:c r="C38" s="37" t="str">
        <x:v>W82908648_S0</x:v>
      </x:c>
      <x:c r="D38" s="37" t="str">
        <x:v>82908648</x:v>
      </x:c>
      <x:c r="E38" s="37" t="str">
        <x:v>service</x:v>
      </x:c>
      <x:c r="F38" s="37" t="str">
        <x:v>현충로</x:v>
      </x:c>
      <x:c r="G38" s="42" t="n">
        <x:v>1.42</x:v>
      </x:c>
      <x:c r="H38" s="37" t="str">
        <x:v>public_explicit_present</x:v>
      </x:c>
      <x:c r="I38" s="37" t="str">
        <x:v>base distance</x:v>
      </x:c>
      <x:c r="J38" s="37" t="str">
        <x:v>x1.00</x:v>
      </x:c>
      <x:c r="K38" s="37" t="str">
        <x:v>same as B until an AI candidate is human-approved</x:v>
      </x:c>
      <x:c r="L38" s="37" t="str">
        <x:v>OSM centerline proxy; not a surveyed crossing edge</x:v>
      </x:c>
    </x:row>
    <x:row r="39" ht="30" customHeight="1">
      <x:c r="A39" s="37" t="str">
        <x:v>CW33</x:v>
      </x:c>
      <x:c r="B39" s="37" t="str">
        <x:v>2025085001</x:v>
      </x:c>
      <x:c r="C39" s="37" t="str">
        <x:v>W379904040_S0</x:v>
      </x:c>
      <x:c r="D39" s="37" t="str">
        <x:v>379904040</x:v>
      </x:c>
      <x:c r="E39" s="37" t="str">
        <x:v>residential</x:v>
      </x:c>
      <x:c r="F39" s="37" t="str">
        <x:v>냉천로98번길</x:v>
      </x:c>
      <x:c r="G39" s="42" t="n">
        <x:v>0.67</x:v>
      </x:c>
      <x:c r="H39" s="37" t="str">
        <x:v>public_explicit_risk</x:v>
      </x:c>
      <x:c r="I39" s="37" t="str">
        <x:v>base distance</x:v>
      </x:c>
      <x:c r="J39" s="37" t="str">
        <x:v>block</x:v>
      </x:c>
      <x:c r="K39" s="37" t="str">
        <x:v>same as B until an AI candidate is human-approved</x:v>
      </x:c>
      <x:c r="L39" s="37" t="str">
        <x:v>OSM centerline proxy; not a surveyed crossing edge</x:v>
      </x:c>
    </x:row>
    <x:row r="40" ht="30" customHeight="1">
      <x:c r="A40" s="37" t="str">
        <x:v>CW34</x:v>
      </x:c>
      <x:c r="B40" s="37" t="str">
        <x:v>2025085002</x:v>
      </x:c>
      <x:c r="C40" s="37" t="str">
        <x:v>W38609097_S2</x:v>
      </x:c>
      <x:c r="D40" s="37" t="str">
        <x:v>38609097</x:v>
      </x:c>
      <x:c r="E40" s="37" t="str">
        <x:v>tertiary</x:v>
      </x:c>
      <x:c r="F40" s="37" t="str">
        <x:v>냉천로</x:v>
      </x:c>
      <x:c r="G40" s="42" t="n">
        <x:v>1.29</x:v>
      </x:c>
      <x:c r="H40" s="37" t="str">
        <x:v>public_explicit_present</x:v>
      </x:c>
      <x:c r="I40" s="37" t="str">
        <x:v>base distance</x:v>
      </x:c>
      <x:c r="J40" s="37" t="str">
        <x:v>x1.00</x:v>
      </x:c>
      <x:c r="K40" s="37" t="str">
        <x:v>same as B until an AI candidate is human-approved</x:v>
      </x:c>
      <x:c r="L40" s="37" t="str">
        <x:v>OSM centerline proxy; not a surveyed crossing edge</x:v>
      </x:c>
    </x:row>
    <x:row r="41" ht="30" customHeight="1">
      <x:c r="A41" s="37" t="str">
        <x:v>CW35</x:v>
      </x:c>
      <x:c r="B41" s="37" t="str">
        <x:v>2025085003</x:v>
      </x:c>
      <x:c r="C41" s="37" t="str">
        <x:v>W38609212_S6</x:v>
      </x:c>
      <x:c r="D41" s="37" t="str">
        <x:v>38609212</x:v>
      </x:c>
      <x:c r="E41" s="37" t="str">
        <x:v>tertiary</x:v>
      </x:c>
      <x:c r="F41" s="37" t="str">
        <x:v>소곡로</x:v>
      </x:c>
      <x:c r="G41" s="42" t="n">
        <x:v>1.14</x:v>
      </x:c>
      <x:c r="H41" s="37" t="str">
        <x:v>public_explicit_present</x:v>
      </x:c>
      <x:c r="I41" s="37" t="str">
        <x:v>base distance</x:v>
      </x:c>
      <x:c r="J41" s="37" t="str">
        <x:v>x1.00</x:v>
      </x:c>
      <x:c r="K41" s="37" t="str">
        <x:v>same as B until an AI candidate is human-approved</x:v>
      </x:c>
      <x:c r="L41" s="37" t="str">
        <x:v>OSM centerline proxy; not a surveyed crossing edge</x:v>
      </x:c>
    </x:row>
    <x:row r="42" ht="30" customHeight="1">
      <x:c r="A42" s="37" t="str">
        <x:v>CW36</x:v>
      </x:c>
      <x:c r="B42" s="37" t="str">
        <x:v>2025085005</x:v>
      </x:c>
      <x:c r="C42" s="37" t="str">
        <x:v>W814055256_S6</x:v>
      </x:c>
      <x:c r="D42" s="37" t="str">
        <x:v>814055256</x:v>
      </x:c>
      <x:c r="E42" s="37" t="str">
        <x:v>residential</x:v>
      </x:c>
      <x:c r="F42" s="37" t="str">
        <x:v>소곡로</x:v>
      </x:c>
      <x:c r="G42" s="42" t="n">
        <x:v>0.6</x:v>
      </x:c>
      <x:c r="H42" s="37" t="str">
        <x:v>public_explicit_present</x:v>
      </x:c>
      <x:c r="I42" s="37" t="str">
        <x:v>base distance</x:v>
      </x:c>
      <x:c r="J42" s="37" t="str">
        <x:v>x1.00</x:v>
      </x:c>
      <x:c r="K42" s="37" t="str">
        <x:v>same as B until an AI candidate is human-approved</x:v>
      </x:c>
      <x:c r="L42" s="37" t="str">
        <x:v>OSM centerline proxy; not a surveyed crossing edge</x:v>
      </x:c>
    </x:row>
    <x:row r="43" ht="30" customHeight="1">
      <x:c r="A43" s="37" t="str">
        <x:v>CW37</x:v>
      </x:c>
      <x:c r="B43" s="37" t="str">
        <x:v>2025085004</x:v>
      </x:c>
      <x:c r="C43" s="37" t="str">
        <x:v>W38609097_S1</x:v>
      </x:c>
      <x:c r="D43" s="37" t="str">
        <x:v>38609097</x:v>
      </x:c>
      <x:c r="E43" s="37" t="str">
        <x:v>tertiary</x:v>
      </x:c>
      <x:c r="F43" s="37" t="str">
        <x:v>냉천로</x:v>
      </x:c>
      <x:c r="G43" s="42" t="n">
        <x:v>0.45</x:v>
      </x:c>
      <x:c r="H43" s="37" t="str">
        <x:v>public_explicit_present</x:v>
      </x:c>
      <x:c r="I43" s="37" t="str">
        <x:v>base distance</x:v>
      </x:c>
      <x:c r="J43" s="37" t="str">
        <x:v>x1.00</x:v>
      </x:c>
      <x:c r="K43" s="37" t="str">
        <x:v>same as B until an AI candidate is human-approved</x:v>
      </x:c>
      <x:c r="L43" s="37" t="str">
        <x:v>OSM centerline proxy; not a surveyed crossing edge</x:v>
      </x:c>
    </x:row>
    <x:row r="44" ht="30" customHeight="1">
      <x:c r="A44" s="37" t="str">
        <x:v>CW38</x:v>
      </x:c>
      <x:c r="B44" s="37" t="str">
        <x:v>2025085007</x:v>
      </x:c>
      <x:c r="C44" s="37" t="str">
        <x:v>W814055256_S6</x:v>
      </x:c>
      <x:c r="D44" s="37" t="str">
        <x:v>814055256</x:v>
      </x:c>
      <x:c r="E44" s="37" t="str">
        <x:v>residential</x:v>
      </x:c>
      <x:c r="F44" s="37" t="str">
        <x:v>소곡로</x:v>
      </x:c>
      <x:c r="G44" s="42" t="n">
        <x:v>3.15</x:v>
      </x:c>
      <x:c r="H44" s="37" t="str">
        <x:v>public_explicit_present</x:v>
      </x:c>
      <x:c r="I44" s="37" t="str">
        <x:v>base distance</x:v>
      </x:c>
      <x:c r="J44" s="37" t="str">
        <x:v>x1.00</x:v>
      </x:c>
      <x:c r="K44" s="37" t="str">
        <x:v>same as B until an AI candidate is human-approved</x:v>
      </x:c>
      <x:c r="L44" s="37" t="str">
        <x:v>OSM centerline proxy; not a surveyed crossing edge</x:v>
      </x:c>
    </x:row>
    <x:row r="45" ht="30" customHeight="1">
      <x:c r="A45" s="37" t="str">
        <x:v>CW39</x:v>
      </x:c>
      <x:c r="B45" s="37" t="str">
        <x:v>2025085006</x:v>
      </x:c>
      <x:c r="C45" s="37" t="str">
        <x:v>W814055256_S6</x:v>
      </x:c>
      <x:c r="D45" s="37" t="str">
        <x:v>814055256</x:v>
      </x:c>
      <x:c r="E45" s="37" t="str">
        <x:v>residential</x:v>
      </x:c>
      <x:c r="F45" s="37" t="str">
        <x:v>소곡로</x:v>
      </x:c>
      <x:c r="G45" s="42" t="n">
        <x:v>9.52</x:v>
      </x:c>
      <x:c r="H45" s="37" t="str">
        <x:v>public_explicit_present</x:v>
      </x:c>
      <x:c r="I45" s="37" t="str">
        <x:v>base distance</x:v>
      </x:c>
      <x:c r="J45" s="37" t="str">
        <x:v>x1.00</x:v>
      </x:c>
      <x:c r="K45" s="37" t="str">
        <x:v>same as B until an AI candidate is human-approved</x:v>
      </x:c>
      <x:c r="L45" s="37" t="str">
        <x:v>OSM centerline proxy; not a surveyed crossing edge</x:v>
      </x:c>
    </x:row>
    <x:row r="46" ht="30" customHeight="1">
      <x:c r="A46" s="37" t="str">
        <x:v>CW40</x:v>
      </x:c>
      <x:c r="B46" s="37" t="str">
        <x:v>2025085008</x:v>
      </x:c>
      <x:c r="C46" s="37" t="str">
        <x:v>W814055256_S6</x:v>
      </x:c>
      <x:c r="D46" s="37" t="str">
        <x:v>814055256</x:v>
      </x:c>
      <x:c r="E46" s="37" t="str">
        <x:v>residential</x:v>
      </x:c>
      <x:c r="F46" s="37" t="str">
        <x:v>소곡로</x:v>
      </x:c>
      <x:c r="G46" s="42" t="n">
        <x:v>3.56</x:v>
      </x:c>
      <x:c r="H46" s="37" t="str">
        <x:v>public_explicit_present</x:v>
      </x:c>
      <x:c r="I46" s="37" t="str">
        <x:v>base distance</x:v>
      </x:c>
      <x:c r="J46" s="37" t="str">
        <x:v>x1.00</x:v>
      </x:c>
      <x:c r="K46" s="37" t="str">
        <x:v>same as B until an AI candidate is human-approved</x:v>
      </x:c>
      <x:c r="L46" s="37" t="str">
        <x:v>OSM centerline proxy; not a surveyed crossing edge</x:v>
      </x:c>
    </x:row>
  </x:sheetData>
  <x:conditionalFormatting sqref="H7:H46">
    <x:cfRule type="containsText" dxfId="26" priority="1" operator="containsText" text="risk"/>
    <x:cfRule type="containsText" dxfId="27" priority="2" operator="containsText" text="unknown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8C95A3"/>
  </x:sheetPr>
  <x:sheetViews>
    <x:sheetView showGridLines="0" workbookViewId="0"/>
  </x:sheetViews>
  <x:sheetFormatPr defaultRowHeight="15"/>
  <x:cols>
    <x:col min="2" max="2" width="65" hidden="0" customWidth="1"/>
    <x:col min="1" max="1" width="24" hidden="0" customWidth="1"/>
    <x:col min="3" max="3" width="60" hidden="0" customWidth="1"/>
    <x:col min="4" max="4" width="72" hidden="0" customWidth="1"/>
  </x:cols>
  <x:sheetData>
    <x:row r="1">
      <x:c r="A1" s="39"/>
      <x:c r="B1" s="39"/>
      <x:c r="C1" s="39"/>
      <x:c r="D1" s="39"/>
      <x:c r="E1" s="39"/>
      <x:c r="F1" s="39"/>
      <x:c r="G1" s="39"/>
      <x:c r="H1" s="39"/>
    </x:row>
    <x:row r="2" ht="22" customHeight="1">
      <x:c r="A2" s="1" t="str">
        <x:v>방법·출처·한계</x:v>
      </x:c>
      <x:c r="B2" s="39"/>
      <x:c r="C2" s="39"/>
      <x:c r="D2" s="39"/>
      <x:c r="E2" s="39"/>
      <x:c r="F2" s="39"/>
      <x:c r="G2" s="39"/>
      <x:c r="H2" s="39"/>
    </x:row>
    <x:row r="3" ht="22" customHeight="1">
      <x:c r="A3" s="2" t="str">
        <x:v>수치의 의미와 제출 시 허용되는 표현을 한곳에서 확인</x:v>
      </x:c>
      <x:c r="B3" s="39"/>
      <x:c r="C3" s="39"/>
      <x:c r="D3" s="39"/>
      <x:c r="E3" s="39"/>
      <x:c r="F3" s="39"/>
      <x:c r="G3" s="39"/>
      <x:c r="H3" s="39"/>
    </x:row>
    <x:row r="4">
      <x:c r="A4" s="40"/>
      <x:c r="B4" s="40"/>
      <x:c r="C4" s="40"/>
      <x:c r="D4" s="40"/>
      <x:c r="E4" s="40"/>
      <x:c r="F4" s="40"/>
      <x:c r="G4" s="40"/>
      <x:c r="H4" s="40"/>
    </x:row>
    <x:row r="5">
      <x:c r="A5" s="39"/>
      <x:c r="B5" s="39"/>
      <x:c r="C5" s="39"/>
      <x:c r="D5" s="39"/>
      <x:c r="E5" s="39"/>
      <x:c r="F5" s="39"/>
      <x:c r="G5" s="39"/>
      <x:c r="H5" s="39"/>
    </x:row>
    <x:row r="6">
      <x:c r="A6" s="62" t="str">
        <x:v>실험 정의</x:v>
      </x:c>
      <x:c r="B6" s="65"/>
      <x:c r="C6" s="65"/>
      <x:c r="D6" s="65"/>
      <x:c r="E6" s="65"/>
      <x:c r="F6" s="65"/>
      <x:c r="G6" s="65"/>
      <x:c r="H6" s="65"/>
    </x:row>
    <x:row r="7" ht="30" customHeight="1">
      <x:c r="A7" s="12" t="str">
        <x:v>항목</x:v>
      </x:c>
      <x:c r="B7" s="34" t="str">
        <x:v>정의</x:v>
      </x:c>
      <x:c r="C7" s="13" t="str">
        <x:v>상태</x:v>
      </x:c>
      <x:c r="D7" s="39"/>
      <x:c r="E7" s="39"/>
      <x:c r="F7" s="39"/>
      <x:c r="G7" s="39"/>
      <x:c r="H7" s="39"/>
    </x:row>
    <x:row r="8" ht="32" customHeight="1">
      <x:c r="A8" s="36" t="str">
        <x:v>회랑</x:v>
      </x:c>
      <x:c r="B8" s="36" t="str">
        <x:v>안양역–안양청년1번가–안양1동 남부 생활권 1.38km 중심선</x:v>
      </x:c>
      <x:c r="C8" s="36" t="str">
        <x:v>분석 경계</x:v>
      </x:c>
      <x:c r="D8" s="39"/>
      <x:c r="E8" s="39"/>
      <x:c r="F8" s="39"/>
      <x:c r="G8" s="39"/>
      <x:c r="H8" s="39"/>
    </x:row>
    <x:row r="9" ht="32" customHeight="1">
      <x:c r="A9" s="37" t="str">
        <x:v>표본</x:v>
      </x:c>
      <x:c r="B9" s="37" t="str">
        <x:v>중심선에 가까운 명시 20건+공란 20건</x:v>
      </x:c>
      <x:c r="C9" s="37" t="str">
        <x:v>완료</x:v>
      </x:c>
      <x:c r="D9" s="39"/>
      <x:c r="E9" s="39"/>
      <x:c r="F9" s="39"/>
      <x:c r="G9" s="39"/>
      <x:c r="H9" s="39"/>
    </x:row>
    <x:row r="10" ht="32" customHeight="1">
      <x:c r="A10" s="37" t="str">
        <x:v>접근부</x:v>
      </x:c>
      <x:c r="B10" s="37" t="str">
        <x:v>횡단보도 중심에서 길이 절반만큼 인접 도로에 수직 오프셋</x:v>
      </x:c>
      <x:c r="C10" s="37" t="str">
        <x:v>미검수 추정</x:v>
      </x:c>
      <x:c r="D10" s="39"/>
      <x:c r="E10" s="39"/>
      <x:c r="F10" s="39"/>
      <x:c r="G10" s="39"/>
      <x:c r="H10" s="39"/>
    </x:row>
    <x:row r="11" ht="32" customHeight="1">
      <x:c r="A11" s="37" t="str">
        <x:v>AI 사전판독</x:v>
      </x:c>
      <x:c r="B11" s="37" t="str">
        <x:v>로드뷰 기반 1차 80개·역순 반복 40개; 불일치는 unknown</x:v>
      </x:c>
      <x:c r="C11" s="37" t="str">
        <x:v>완료</x:v>
      </x:c>
      <x:c r="D11" s="39"/>
      <x:c r="E11" s="39"/>
      <x:c r="F11" s="39"/>
      <x:c r="G11" s="39"/>
      <x:c r="H11" s="39"/>
    </x:row>
    <x:row r="12" ht="32" customHeight="1">
      <x:c r="A12" s="37" t="str">
        <x:v>A</x:v>
      </x:c>
      <x:c r="B12" s="37" t="str">
        <x:v>OSM 대체망에서 거리만 최소화</x:v>
      </x:c>
      <x:c r="C12" s="37" t="str">
        <x:v>계산 완료</x:v>
      </x:c>
      <x:c r="D12" s="39"/>
      <x:c r="E12" s="39"/>
      <x:c r="F12" s="39"/>
      <x:c r="G12" s="39"/>
      <x:c r="H12" s="39"/>
    </x:row>
    <x:row r="13" ht="32" customHeight="1">
      <x:c r="A13" s="37" t="str">
        <x:v>B</x:v>
      </x:c>
      <x:c r="B13" s="37" t="str">
        <x:v>공공데이터 위험 차단, 공란 연결 대체엣지 가중치 1.15</x:v>
      </x:c>
      <x:c r="C13" s="37" t="str">
        <x:v>계산 완료</x:v>
      </x:c>
      <x:c r="D13" s="39"/>
      <x:c r="E13" s="39"/>
      <x:c r="F13" s="39"/>
      <x:c r="G13" s="39"/>
      <x:c r="H13" s="39"/>
    </x:row>
    <x:row r="14" ht="32" customHeight="1">
      <x:c r="A14" s="37" t="str">
        <x:v>C</x:v>
      </x:c>
      <x:c r="B14" s="37" t="str">
        <x:v>B에 사람 승인 AI 후보 차단을 추가</x:v>
      </x:c>
      <x:c r="C14" s="37" t="str">
        <x:v>승인 후보 0건 기준선</x:v>
      </x:c>
      <x:c r="D14" s="39"/>
      <x:c r="E14" s="39"/>
      <x:c r="F14" s="39"/>
      <x:c r="G14" s="39"/>
      <x:c r="H14" s="39"/>
    </x:row>
    <x:row r="15" ht="32" customHeight="1">
      <x:c r="A15" s="37" t="str">
        <x:v>C*</x:v>
      </x:c>
      <x:c r="B15" s="37" t="str">
        <x:v>AI block 후보 5건 전부 승인 가정</x:v>
      </x:c>
      <x:c r="C15" s="37" t="str">
        <x:v>비공식 민감도</x:v>
      </x:c>
      <x:c r="D15" s="39"/>
      <x:c r="E15" s="39"/>
      <x:c r="F15" s="39"/>
      <x:c r="G15" s="39"/>
      <x:c r="H15" s="39"/>
    </x:row>
    <x:row r="16" ht="32" customHeight="1">
      <x:c r="A16" s="62" t="str">
        <x:v>출처</x:v>
      </x:c>
      <x:c r="B16" s="65"/>
      <x:c r="C16" s="65"/>
      <x:c r="D16" s="65"/>
      <x:c r="E16" s="65"/>
      <x:c r="F16" s="65"/>
      <x:c r="G16" s="65"/>
      <x:c r="H16" s="65"/>
    </x:row>
    <x:row r="17" ht="32" customHeight="1">
      <x:c r="A17" s="12" t="str">
        <x:v>자료</x:v>
      </x:c>
      <x:c r="B17" s="34" t="str">
        <x:v>기준일</x:v>
      </x:c>
      <x:c r="C17" s="34" t="str">
        <x:v>출처</x:v>
      </x:c>
      <x:c r="D17" s="13" t="str">
        <x:v>해시/비고</x:v>
      </x:c>
      <x:c r="E17" s="39"/>
      <x:c r="F17" s="39"/>
      <x:c r="G17" s="39"/>
      <x:c r="H17" s="39"/>
    </x:row>
    <x:row r="18" ht="32" customHeight="1">
      <x:c r="A18" s="36" t="str">
        <x:v>안양시 횡단보도 CSV</x:v>
      </x:c>
      <x:c r="B18" s="36" t="str">
        <x:v>2026-09-15 확보</x:v>
      </x:c>
      <x:c r="C18" s="36" t="str">
        <x:v>https://www.data.go.kr/data/15042415/fileData.do</x:v>
      </x:c>
      <x:c r="D18" s="36" t="str">
        <x:v>9275a45ef21d700be25c0d436b91ce0b6a46e1cd034f2a6ba2493d63a7b030b4</x:v>
      </x:c>
      <x:c r="E18" s="39"/>
      <x:c r="F18" s="39"/>
      <x:c r="G18" s="39"/>
      <x:c r="H18" s="39"/>
    </x:row>
    <x:row r="19" ht="32" customHeight="1">
      <x:c r="A19" s="37" t="str">
        <x:v>OpenStreetMap bbox 추출</x:v>
      </x:c>
      <x:c r="B19" s="37" t="str">
        <x:v>2026-09-15</x:v>
      </x:c>
      <x:c r="C19" s="37" t="str">
        <x:v>https://api.openstreetmap.org/api/0.6/map?bbox=126.9185,37.3885,126.9312,37.4035</x:v>
      </x:c>
      <x:c r="D19" s="37" t="str">
        <x:v>93f6592339f5259b5e118bf940cbc9c53172106d3784812cdd6c3531bb6bd293</x:v>
      </x:c>
      <x:c r="E19" s="39"/>
      <x:c r="F19" s="39"/>
      <x:c r="G19" s="39"/>
      <x:c r="H19" s="39"/>
    </x:row>
    <x:row r="20" ht="32" customHeight="1">
      <x:c r="A20" s="37" t="str">
        <x:v>안양역·안양1번가 설명</x:v>
      </x:c>
      <x:c r="B20" s="37" t="str">
        <x:v>조회 2026-09-15</x:v>
      </x:c>
      <x:c r="C20" s="37" t="str">
        <x:v>https://www.anyang.go.kr/tour/selectTourCntntsWebView.do?tourNo=10&amp;key=1863</x:v>
      </x:c>
      <x:c r="D20" s="37" t="str">
        <x:v>안양시 공식 관광 페이지</x:v>
      </x:c>
      <x:c r="E20" s="39"/>
      <x:c r="F20" s="39"/>
      <x:c r="G20" s="39"/>
      <x:c r="H20" s="39"/>
    </x:row>
    <x:row r="21" ht="32" customHeight="1">
      <x:c r="A21" s="37" t="str">
        <x:v>안양청년1번가</x:v>
      </x:c>
      <x:c r="B21" s="37" t="str">
        <x:v>조회 2026-09-15</x:v>
      </x:c>
      <x:c r="C21" s="37" t="str">
        <x:v>https://www.anyang.go.kr/youth/contents.do?key=5623</x:v>
      </x:c>
      <x:c r="D21" s="37" t="str">
        <x:v>안양시 공식 페이지</x:v>
      </x:c>
      <x:c r="E21" s="39"/>
      <x:c r="F21" s="39"/>
      <x:c r="G21" s="39"/>
      <x:c r="H21" s="39"/>
    </x:row>
    <x:row r="22" ht="32" customHeight="1">
      <x:c r="A22" s="37" t="str">
        <x:v>카카오 로드뷰 메타데이터</x:v>
      </x:c>
      <x:c r="B22" s="37" t="str">
        <x:v>촬영 2025-11~12</x:v>
      </x:c>
      <x:c r="C22" s="37" t="str">
        <x:v>접근부별 로드뷰 링크</x:v>
      </x:c>
      <x:c r="D22" s="37" t="str">
        <x:v>이미지 미포함; 수동 판독 참고용</x:v>
      </x:c>
      <x:c r="E22" s="39"/>
      <x:c r="F22" s="39"/>
      <x:c r="G22" s="39"/>
      <x:c r="H22" s="39"/>
    </x:row>
    <x:row r="23" ht="32" customHeight="1">
      <x:c r="A23" s="39"/>
      <x:c r="B23" s="39"/>
      <x:c r="C23" s="39"/>
      <x:c r="D23" s="39"/>
      <x:c r="E23" s="39"/>
      <x:c r="F23" s="39"/>
      <x:c r="G23" s="39"/>
      <x:c r="H23" s="39"/>
    </x:row>
    <x:row r="24" ht="32" customHeight="1">
      <x:c r="A24" s="62" t="str">
        <x:v>제출 시 표현 한계</x:v>
      </x:c>
      <x:c r="B24" s="65"/>
      <x:c r="C24" s="65"/>
      <x:c r="D24" s="65"/>
      <x:c r="E24" s="65"/>
      <x:c r="F24" s="65"/>
      <x:c r="G24" s="65"/>
      <x:c r="H24" s="65"/>
    </x:row>
    <x:row r="25" ht="32" customHeight="1">
      <x:c r="A25" s="12" t="str">
        <x:v>금지/주의 표현</x:v>
      </x:c>
      <x:c r="B25" s="13" t="str">
        <x:v>대신 쓸 표현</x:v>
      </x:c>
      <x:c r="C25" s="39"/>
      <x:c r="D25" s="39"/>
      <x:c r="E25" s="39"/>
      <x:c r="F25" s="39"/>
      <x:c r="G25" s="39"/>
      <x:c r="H25" s="39"/>
    </x:row>
    <x:row r="26" ht="32" customHeight="1">
      <x:c r="A26" s="63" t="str">
        <x:v>안양 전역 검증 완료</x:v>
      </x:c>
      <x:c r="B26" s="36" t="str">
        <x:v>안양1동 대표 회랑 40개 횡단보도 기술 MVP</x:v>
      </x:c>
      <x:c r="C26" s="39"/>
      <x:c r="D26" s="39"/>
      <x:c r="E26" s="39"/>
      <x:c r="F26" s="39"/>
      <x:c r="G26" s="39"/>
      <x:c r="H26" s="39"/>
    </x:row>
    <x:row r="27" ht="32" customHeight="1">
      <x:c r="A27" s="64" t="str">
        <x:v>접근부 위치 확정</x:v>
      </x:c>
      <x:c r="B27" s="37" t="str">
        <x:v>공공 길이와 OSM 도로방향으로 만든 미검수 추정 접근부</x:v>
      </x:c>
      <x:c r="C27" s="39"/>
      <x:c r="D27" s="39"/>
      <x:c r="E27" s="39"/>
      <x:c r="F27" s="39"/>
      <x:c r="G27" s="39"/>
      <x:c r="H27" s="39"/>
    </x:row>
    <x:row r="28" ht="32" customHeight="1">
      <x:c r="A28" s="64" t="str">
        <x:v>안전 경로</x:v>
      </x:c>
      <x:c r="B28" s="37" t="str">
        <x:v>공공데이터 제약을 반영한 경로 후보</x:v>
      </x:c>
      <x:c r="C28" s="39"/>
      <x:c r="D28" s="39"/>
      <x:c r="E28" s="39"/>
      <x:c r="F28" s="39"/>
      <x:c r="G28" s="39"/>
      <x:c r="H28" s="39"/>
    </x:row>
    <x:row r="29" ht="32" customHeight="1">
      <x:c r="A29" s="64" t="str">
        <x:v>AI가 장애물 확정</x:v>
      </x:c>
      <x:c r="B29" s="37" t="str">
        <x:v>AI 후보를 사람이 승인한 뒤 경로에 반영</x:v>
      </x:c>
      <x:c r="C29" s="39"/>
      <x:c r="D29" s="39"/>
      <x:c r="E29" s="39"/>
      <x:c r="F29" s="39"/>
      <x:c r="G29" s="39"/>
      <x:c r="H29" s="39"/>
    </x:row>
    <x:row r="30" ht="32" customHeight="1">
      <x:c r="A30" s="64" t="str">
        <x:v>로드뷰 검수 완료</x:v>
      </x:c>
      <x:c r="B30" s="37" t="str">
        <x:v>로드뷰 기반 AI 사전판독 80개 완료; 사람 검수 0개</x:v>
      </x:c>
      <x:c r="C30" s="39"/>
      <x:c r="D30" s="39"/>
      <x:c r="E30" s="39"/>
      <x:c r="F30" s="39"/>
      <x:c r="G30" s="39"/>
      <x:c r="H30" s="39"/>
    </x:row>
    <x:row r="31" ht="32" customHeight="1">
      <x:c r="A31" s="64" t="str">
        <x:v>2인 검수 완료</x:v>
      </x:c>
      <x:c r="B31" s="37" t="str">
        <x:v>2인 검수용 40개 접근부 대기열 구축</x:v>
      </x:c>
      <x:c r="C31" s="39"/>
      <x:c r="D31" s="39"/>
      <x:c r="E31" s="39"/>
      <x:c r="F31" s="39"/>
      <x:c r="G31" s="39"/>
      <x:c r="H31" s="39"/>
    </x:row>
    <x:row r="32" ht="32" customHeight="1">
      <x:c r="A32" s="39"/>
      <x:c r="B32" s="39"/>
      <x:c r="C32" s="39"/>
      <x:c r="D32" s="39"/>
      <x:c r="E32" s="39"/>
      <x:c r="F32" s="39"/>
      <x:c r="G32" s="39"/>
      <x:c r="H32" s="39"/>
    </x:row>
    <x:row r="33" ht="32" customHeight="1">
      <x:c r="A33" s="62" t="str">
        <x:v>다음 실행 순서</x:v>
      </x:c>
      <x:c r="B33" s="65"/>
      <x:c r="C33" s="65"/>
      <x:c r="D33" s="65"/>
      <x:c r="E33" s="65"/>
      <x:c r="F33" s="65"/>
      <x:c r="G33" s="65"/>
      <x:c r="H33" s="65"/>
    </x:row>
    <x:row r="34" ht="32" customHeight="1">
      <x:c r="A34" s="12" t="str">
        <x:v>순서</x:v>
      </x:c>
      <x:c r="B34" s="34" t="str">
        <x:v>담당</x:v>
      </x:c>
      <x:c r="C34" s="34" t="str">
        <x:v>작업</x:v>
      </x:c>
      <x:c r="D34" s="13" t="str">
        <x:v>완료 기준</x:v>
      </x:c>
      <x:c r="E34" s="39"/>
      <x:c r="F34" s="39"/>
      <x:c r="G34" s="39"/>
      <x:c r="H34" s="39"/>
    </x:row>
    <x:row r="35" ht="32" customHeight="1">
      <x:c r="A35" s="36" t="n">
        <x:v>1</x:v>
      </x:c>
      <x:c r="B35" s="36" t="str">
        <x:v>검수자 1</x:v>
      </x:c>
      <x:c r="C35" s="36" t="str">
        <x:v>AI 탭을 숨기고 검수 대장 80개 1차 판독</x:v>
      </x:c>
      <x:c r="D35" s="36" t="str">
        <x:v>결과 1 입력 80/80</x:v>
      </x:c>
      <x:c r="E35" s="39"/>
      <x:c r="F35" s="39"/>
      <x:c r="G35" s="39"/>
      <x:c r="H35" s="39"/>
    </x:row>
    <x:row r="36" ht="32" customHeight="1">
      <x:c r="A36" s="37" t="n">
        <x:v>2</x:v>
      </x:c>
      <x:c r="B36" s="37" t="str">
        <x:v>검수자 2</x:v>
      </x:c>
      <x:c r="C36" s="37" t="str">
        <x:v>기존 결과를 가리고 지정 40개 독립 판독</x:v>
      </x:c>
      <x:c r="D36" s="37" t="str">
        <x:v>결과 2 입력 40/40</x:v>
      </x:c>
      <x:c r="E36" s="39"/>
      <x:c r="F36" s="39"/>
      <x:c r="G36" s="39"/>
      <x:c r="H36" s="39"/>
    </x:row>
    <x:row r="37" ht="32" customHeight="1">
      <x:c r="A37" s="37" t="n">
        <x:v>3</x:v>
      </x:c>
      <x:c r="B37" s="37" t="str">
        <x:v>조정자</x:v>
      </x:c>
      <x:c r="C37" s="37" t="str">
        <x:v>불일치 행 최종 조정</x:v>
      </x:c>
      <x:c r="D37" s="37" t="str">
        <x:v>needs_adjudication 0건</x:v>
      </x:c>
      <x:c r="E37" s="39"/>
      <x:c r="F37" s="39"/>
      <x:c r="G37" s="39"/>
      <x:c r="H37" s="39"/>
    </x:row>
    <x:row r="38" ht="32" customHeight="1">
      <x:c r="A38" s="37" t="n">
        <x:v>4</x:v>
      </x:c>
      <x:c r="B38" s="37" t="str">
        <x:v>조정자</x:v>
      </x:c>
      <x:c r="C38" s="37" t="str">
        <x:v>AI 후보와 사람 결과를 대조해 승인</x:v>
      </x:c>
      <x:c r="D38" s="37" t="str">
        <x:v>승인 여부 Y/N 기록</x:v>
      </x:c>
      <x:c r="E38" s="39"/>
      <x:c r="F38" s="39"/>
      <x:c r="G38" s="39"/>
      <x:c r="H38" s="39"/>
    </x:row>
    <x:row r="39" ht="32" customHeight="1">
      <x:c r="A39" s="37" t="n">
        <x:v>5</x:v>
      </x:c>
      <x:c r="B39" s="37" t="str">
        <x:v>데이터 담당</x:v>
      </x:c>
      <x:c r="C39" s="37" t="str">
        <x:v>승인 후보를 반영해 C 재계산</x:v>
      </x:c>
      <x:c r="D39" s="37" t="str">
        <x:v>OD 10쌍 A/B/C 갱신</x:v>
      </x:c>
      <x:c r="E39" s="39"/>
      <x:c r="F39" s="39"/>
      <x:c r="G39" s="39"/>
      <x:c r="H39" s="39"/>
    </x:row>
    <x:row r="40">
      <x:c r="A40" s="39"/>
      <x:c r="B40" s="39"/>
      <x:c r="C40" s="39"/>
      <x:c r="D40" s="39"/>
      <x:c r="E40" s="39"/>
      <x:c r="F40" s="39"/>
      <x:c r="G40" s="39"/>
      <x:c r="H40" s="39"/>
    </x:row>
    <x:row r="41">
      <x:c r="A41" s="39"/>
      <x:c r="B41" s="39"/>
      <x:c r="C41" s="39"/>
      <x:c r="D41" s="39"/>
      <x:c r="E41" s="39"/>
      <x:c r="F41" s="39"/>
      <x:c r="G41" s="39"/>
      <x:c r="H41" s="39"/>
    </x:row>
  </x:sheetData>
  <x:pageMargins left="0.7" right="0.7" top="0.75" bottom="0.75" header="0.3" footer="0.3"/>
</x:worksheet>
</file>