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4465f67aa74b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약" sheetId="1" r:id="R72b0485e34ce4b77"/>
    <x:sheet xmlns:r="http://schemas.openxmlformats.org/officeDocument/2006/relationships" name="AI 사전판독" sheetId="2" r:id="R77edf746448a444e"/>
    <x:sheet xmlns:r="http://schemas.openxmlformats.org/officeDocument/2006/relationships" name="검수 대장" sheetId="3" r:id="R6e77cf142aef415e"/>
    <x:sheet xmlns:r="http://schemas.openxmlformats.org/officeDocument/2006/relationships" name="경로 비교" sheetId="4" r:id="Ra211e3a3e7b749a4"/>
    <x:sheet xmlns:r="http://schemas.openxmlformats.org/officeDocument/2006/relationships" name="C* 민감도" sheetId="5" r:id="R195097ab205c454d"/>
    <x:sheet xmlns:r="http://schemas.openxmlformats.org/officeDocument/2006/relationships" name="횡단보도 40" sheetId="6" r:id="R1e27d86dbaba4bc7"/>
    <x:sheet xmlns:r="http://schemas.openxmlformats.org/officeDocument/2006/relationships" name="엣지 매핑" sheetId="7" r:id="Rb9cfe26feb214bf8"/>
    <x:sheet xmlns:r="http://schemas.openxmlformats.org/officeDocument/2006/relationships" name="방법·출처" sheetId="8" r:id="R03e2b91e9ff04f02"/>
    <x:sheet xmlns:r="http://schemas.openxmlformats.org/officeDocument/2006/relationships" name="영상 근거" sheetId="9" r:id="Ra78fc327a6314aa6"/>
    <x:sheet xmlns:r="http://schemas.openxmlformats.org/officeDocument/2006/relationships" name="판정 기준" sheetId="10" r:id="R496d5c0ec7974b0d"/>
    <x:sheet xmlns:r="http://schemas.openxmlformats.org/officeDocument/2006/relationships" name="위치보정 큐" sheetId="11" r:id="Rcf43794014604fff"/>
    <x:sheet xmlns:r="http://schemas.openxmlformats.org/officeDocument/2006/relationships" name="호계1동 후보" sheetId="12" r:id="R422e8ae070f345fd"/>
    <x:sheet xmlns:r="http://schemas.openxmlformats.org/officeDocument/2006/relationships" name="경로 재설계" sheetId="13" r:id="R9b11588b94774b9a"/>
    <x:sheet xmlns:r="http://schemas.openxmlformats.org/officeDocument/2006/relationships" name="검수자1_배포용" sheetId="14" r:id="R82d4aafebc9c4e5c"/>
    <x:sheet xmlns:r="http://schemas.openxmlformats.org/officeDocument/2006/relationships" name="검수자2_배포용" sheetId="15" r:id="R00f5e94c0fb946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"/>
    <x:numFmt numFmtId="201" formatCode="0.00"/>
    <x:numFmt numFmtId="202" formatCode="0.00&quot;%&quot;"/>
    <x:numFmt numFmtId="203" formatCode="0.0000000"/>
    <x:numFmt numFmtId="204" formatCode="yyyy-mm-dd"/>
    <x:numFmt numFmtId="205" formatCode="#,##0.00"/>
  </x:numFmts>
  <x:fonts count="21">
    <x:font>
      <x:sz val="11"/>
      <x:name val="Carlito"/>
    </x:font>
    <x:font>
      <x:b/>
      <x:sz val="16"/>
      <x:color rgb="FF173F5F"/>
      <x:name val="Arial"/>
    </x:font>
    <x:font>
      <x:i/>
      <x:sz val="10"/>
      <x:color rgb="FF667085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sz val="11"/>
      <x:name val="Arial"/>
    </x:font>
    <x:font>
      <x:i/>
      <x:sz val="10"/>
      <x:color rgb="FFB42318"/>
      <x:name val="Arial"/>
    </x:font>
    <x:font>
      <x:b/>
      <x:sz val="11"/>
      <x:color rgb="FF173F5F"/>
      <x:name val="Arial"/>
    </x:font>
    <x:font>
      <x:sz val="10"/>
      <x:color rgb="FF1F2937"/>
      <x:name val="NanumGothic"/>
    </x:font>
    <x:font>
      <x:b/>
      <x:sz val="16"/>
      <x:color rgb="FF173F5F"/>
      <x:name val="NanumGothic"/>
    </x:font>
    <x:font>
      <x:sz val="10"/>
      <x:color rgb="FF667085"/>
      <x:name val="NanumGothic"/>
    </x:font>
    <x:font>
      <x:b/>
      <x:sz val="10"/>
      <x:color rgb="FFFFFFFF"/>
      <x:name val="NanumGothic"/>
    </x:font>
    <x:font>
      <x:sz val="10"/>
      <x:color rgb="FF185ABD"/>
      <x:name val="NanumGothic"/>
    </x:font>
    <x:font>
      <x:b/>
      <x:sz val="12"/>
      <x:color rgb="FF173F5F"/>
      <x:name val="NanumGothic"/>
    </x:font>
    <x:font>
      <x:b/>
      <x:sz val="10"/>
      <x:color rgb="FF1F2937"/>
      <x:name val="NanumGothic"/>
    </x:font>
    <x:font>
      <x:i/>
      <x:sz val="10"/>
      <x:color rgb="FF1F2937"/>
      <x:name val="NanumGothic"/>
    </x:font>
    <x:font>
      <x:b/>
      <x:sz val="15"/>
      <x:color rgb="FF173F5F"/>
      <x:name val="NanumGothic"/>
    </x:font>
    <x:font>
      <x:i/>
      <x:sz val="10"/>
      <x:color rgb="FF667085"/>
      <x:name val="NanumGothic"/>
    </x:font>
    <x:font>
      <x:b/>
      <x:sz val="10"/>
      <x:color rgb="FF173F5F"/>
      <x:name val="NanumGothic"/>
    </x:font>
    <x:font>
      <x:sz val="10"/>
      <x:color rgb="FFB42318"/>
      <x:name val="NanumGothic"/>
    </x:font>
    <x:font>
      <x:b/>
      <x:sz val="10"/>
      <x:color rgb="FFB42318"/>
      <x:name val="NanumGothic"/>
    </x:font>
  </x:fonts>
  <x:fills count="17">
    <x:fill>
      <x:patternFill patternType="none"/>
    </x:fill>
    <x:fill>
      <x:patternFill patternType="gray125"/>
    </x:fill>
    <x:fill>
      <x:patternFill patternType="solid">
        <x:fgColor rgb="FF173F5F"/>
      </x:patternFill>
    </x:fill>
    <x:fill>
      <x:patternFill patternType="solid">
        <x:fgColor rgb="FFF4F6F8"/>
      </x:patternFill>
    </x:fill>
    <x:fill>
      <x:patternFill patternType="solid">
        <x:fgColor rgb="FFFFF3DC"/>
      </x:patternFill>
    </x:fill>
    <x:fill>
      <x:patternFill patternType="solid">
        <x:fgColor rgb="FFEAF1F7"/>
      </x:patternFill>
    </x:fill>
    <x:fill>
      <x:patternFill patternType="solid">
        <x:fgColor rgb="FFFDECEA"/>
      </x:patternFill>
    </x:fill>
    <x:fill>
      <x:patternFill patternType="solid">
        <x:fgColor rgb="FF173F5F"/>
      </x:patternFill>
    </x:fill>
    <x:fill>
      <x:patternFill patternType="solid">
        <x:fgColor rgb="FFF4F6F8"/>
      </x:patternFill>
    </x:fill>
    <x:fill>
      <x:patternFill patternType="solid">
        <x:fgColor rgb="FFFFF3DC"/>
      </x:patternFill>
    </x:fill>
    <x:fill>
      <x:patternFill patternType="solid">
        <x:fgColor rgb="FFE8F1F7"/>
      </x:patternFill>
    </x:fill>
    <x:fill>
      <x:patternFill patternType="solid">
        <x:fgColor rgb="FF173F5F"/>
      </x:patternFill>
    </x:fill>
    <x:fill>
      <x:patternFill patternType="solid">
        <x:fgColor rgb="FFFFF3DC"/>
      </x:patternFill>
    </x:fill>
    <x:fill>
      <x:patternFill patternType="solid">
        <x:fgColor rgb="FFF4F6F8"/>
      </x:patternFill>
    </x:fill>
    <x:fill>
      <x:patternFill patternType="solid">
        <x:fgColor rgb="FFE8F5ED"/>
      </x:patternFill>
    </x:fill>
    <x:fill>
      <x:patternFill patternType="solid">
        <x:fgColor rgb="FFFDECEA"/>
      </x:patternFill>
    </x:fill>
    <x:fill>
      <x:patternFill patternType="solid">
        <x:fgColor rgb="FFFFFFFF"/>
      </x:patternFill>
    </x:fill>
  </x:fills>
  <x:borders count="15">
    <x:border/>
    <x:border>
      <x:bottom style="thin">
        <x:color rgb="FFD0D5DD"/>
      </x:bottom>
    </x:border>
    <x:border>
      <x:right style="thin">
        <x:color rgb="FFFFFFFF"/>
      </x:right>
      <x:bottom style="thin">
        <x:color rgb="FFFFFFFF"/>
      </x:bottom>
    </x:border>
    <x:border>
      <x:left style="thin">
        <x:color rgb="FFFFFFFF"/>
      </x:left>
      <x:bottom style="thin">
        <x:color rgb="FFFFFFFF"/>
      </x:bottom>
    </x:border>
    <x:border>
      <x:top style="thin">
        <x:color rgb="FFD0D5DD"/>
      </x:top>
      <x:bottom style="thin">
        <x:color rgb="FFD0D5DD"/>
      </x:bottom>
    </x:border>
    <x:border>
      <x:left style="thin">
        <x:color rgb="FFFFFFFF"/>
      </x:left>
      <x:right style="thin">
        <x:color rgb="FFFFFFFF"/>
      </x:right>
      <x:bottom style="thin">
        <x:color rgb="FFFFFFFF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right style="thin">
        <x:color rgb="FFFFFFFF"/>
      </x:right>
      <x:bottom style="thin">
        <x:color rgb="FFD0D5DD"/>
      </x:bottom>
    </x:border>
    <x:border>
      <x:left style="thin">
        <x:color rgb="FFFFFFFF"/>
      </x:left>
      <x:right style="thin">
        <x:color rgb="FFFFFFFF"/>
      </x:right>
      <x:bottom style="thin">
        <x:color rgb="FFD0D5DD"/>
      </x:bottom>
    </x:border>
    <x:border>
      <x:left style="thin">
        <x:color rgb="FFFFFFFF"/>
      </x:left>
      <x:bottom style="thin">
        <x:color rgb="FFD0D5DD"/>
      </x:bottom>
    </x:border>
    <x:border>
      <x:right style="thin">
        <x:color rgb="FFFFFFFF"/>
      </x:right>
      <x:top style="thin">
        <x:color rgb="FFD0D5DD"/>
      </x:top>
      <x:bottom style="thin">
        <x:color rgb="FFD0D5DD"/>
      </x:bottom>
    </x:border>
    <x:border>
      <x:left style="thin">
        <x:color rgb="FFFFFFFF"/>
      </x:left>
      <x:right style="thin">
        <x:color rgb="FFFFFFFF"/>
      </x:right>
      <x:top style="thin">
        <x:color rgb="FFD0D5DD"/>
      </x:top>
      <x:bottom style="thin">
        <x:color rgb="FFD0D5DD"/>
      </x:bottom>
    </x:border>
    <x:border>
      <x:left style="thin">
        <x:color rgb="FFFFFFFF"/>
      </x:left>
      <x:top style="thin">
        <x:color rgb="FFD0D5DD"/>
      </x:top>
      <x:bottom style="thin">
        <x:color rgb="FFD0D5DD"/>
      </x:bottom>
    </x:border>
  </x:borders>
  <x:cellStyleXfs count="1">
    <x:xf numFmtId="0" fontId="0" fillId="0" borderId="0"/>
  </x:cellStyleXfs>
  <x:cellXfs count="28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202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0"/>
    </x:xf>
    <x:xf numFmtId="200" fontId="4" fillId="0" borderId="0" xfId="0" applyNumberFormat="1" applyFont="1" applyFill="1" applyBorder="1" applyAlignment="1">
      <x:alignment vertical="center" wrapText="0"/>
    </x:xf>
    <x:xf numFmtId="201" fontId="4" fillId="0" borderId="0" xfId="0" applyNumberFormat="1" applyFont="1" applyFill="1" applyBorder="1" applyAlignment="1">
      <x:alignment vertical="center" wrapText="0"/>
    </x:xf>
    <x:xf numFmtId="202" fontId="4" fillId="0" borderId="0" xfId="0" applyNumberFormat="1" applyFont="1" applyFill="1" applyBorder="1" applyAlignment="1">
      <x:alignment vertical="center" wrapText="0"/>
    </x:xf>
    <x:xf numFmtId="0" fontId="4" fillId="0" borderId="1" xfId="0" applyNumberFormat="1" applyFont="1" applyFill="1" applyBorder="1" applyAlignment="1">
      <x:alignment vertical="center" wrapText="0"/>
    </x:xf>
    <x:xf numFmtId="200" fontId="4" fillId="0" borderId="1" xfId="0" applyNumberFormat="1" applyFont="1" applyFill="1" applyBorder="1" applyAlignment="1">
      <x:alignment vertical="center" wrapText="0"/>
    </x:xf>
    <x:xf numFmtId="0" fontId="4" fillId="0" borderId="4" xfId="0" applyNumberFormat="1" applyFont="1" applyFill="1" applyBorder="1" applyAlignment="1">
      <x:alignment vertical="center" wrapText="0"/>
    </x:xf>
    <x:xf numFmtId="200" fontId="4" fillId="0" borderId="4" xfId="0" applyNumberFormat="1" applyFont="1" applyFill="1" applyBorder="1" applyAlignment="1">
      <x:alignment vertical="center" wrapText="0"/>
    </x:xf>
    <x:xf numFmtId="201" fontId="4" fillId="0" borderId="4" xfId="0" applyNumberFormat="1" applyFont="1" applyFill="1" applyBorder="1" applyAlignment="1">
      <x:alignment vertical="center" wrapText="0"/>
    </x:xf>
    <x:xf numFmtId="202" fontId="4" fillId="0" borderId="4" xfId="0" applyNumberFormat="1" applyFont="1" applyFill="1" applyBorder="1" applyAlignment="1">
      <x:alignment vertical="center" wrapText="0"/>
    </x:xf>
    <x:xf numFmtId="0" fontId="4" fillId="3" borderId="1" xfId="0" applyNumberFormat="1" applyFont="1" applyFill="1" applyBorder="1" applyAlignment="1">
      <x:alignment vertical="center" wrapText="0"/>
    </x:xf>
    <x:xf numFmtId="0" fontId="4" fillId="3" borderId="4" xfId="0" applyNumberFormat="1" applyFont="1" applyFill="1" applyBorder="1" applyAlignment="1">
      <x:alignment vertical="center" wrapText="0"/>
    </x:xf>
    <x:xf numFmtId="0" fontId="3" fillId="2" borderId="5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202" fontId="4" fillId="0" borderId="1" xfId="0" applyNumberFormat="1" applyFont="1" applyFill="1" applyBorder="1" applyAlignment="1">
      <x:alignment vertical="center" wrapText="0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201" fontId="4" fillId="0" borderId="1" xfId="0" applyNumberFormat="1" applyFont="1" applyFill="1" applyBorder="1" applyAlignment="1">
      <x:alignment vertical="center" wrapText="1"/>
    </x:xf>
    <x:xf numFmtId="201" fontId="4" fillId="0" borderId="4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4" fillId="4" borderId="4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0"/>
    </x:xf>
    <x:xf numFmtId="0" fontId="4" fillId="4" borderId="4" xfId="0" applyNumberFormat="1" applyFont="1" applyFill="1" applyBorder="1" applyAlignment="1">
      <x:alignment vertical="center" wrapText="0"/>
    </x:xf>
    <x:xf numFmtId="203" fontId="4" fillId="0" borderId="1" xfId="0" applyNumberFormat="1" applyFont="1" applyFill="1" applyBorder="1" applyAlignment="1">
      <x:alignment vertical="center" wrapText="0"/>
    </x:xf>
    <x:xf numFmtId="203" fontId="4" fillId="0" borderId="4" xfId="0" applyNumberFormat="1" applyFont="1" applyFill="1" applyBorder="1" applyAlignment="1">
      <x:alignment vertical="center" wrapText="0"/>
    </x:xf>
    <x:xf numFmtId="201" fontId="4" fillId="0" borderId="1" xfId="0" applyNumberFormat="1" applyFont="1" applyFill="1" applyBorder="1" applyAlignment="1">
      <x:alignment vertical="center" wrapText="0"/>
    </x:xf>
    <x:xf numFmtId="201" fontId="4" fillId="4" borderId="1" xfId="0" applyNumberFormat="1" applyFont="1" applyFill="1" applyBorder="1" applyAlignment="1">
      <x:alignment vertical="center" wrapText="0"/>
    </x:xf>
    <x:xf numFmtId="201" fontId="4" fillId="4" borderId="4" xfId="0" applyNumberFormat="1" applyFont="1" applyFill="1" applyBorder="1" applyAlignment="1">
      <x:alignment vertical="center" wrapText="0"/>
    </x:xf>
    <x:xf numFmtId="204" fontId="4" fillId="4" borderId="1" xfId="0" applyNumberFormat="1" applyFont="1" applyFill="1" applyBorder="1" applyAlignment="1">
      <x:alignment vertical="center" wrapText="0"/>
    </x:xf>
    <x:xf numFmtId="204" fontId="4" fillId="4" borderId="4" xfId="0" applyNumberFormat="1" applyFont="1" applyFill="1" applyBorder="1" applyAlignment="1">
      <x:alignment vertical="center" wrapText="0"/>
    </x:xf>
    <x:xf numFmtId="205" fontId="4" fillId="0" borderId="1" xfId="0" applyNumberFormat="1" applyFont="1" applyFill="1" applyBorder="1" applyAlignment="1">
      <x:alignment vertical="center" wrapText="0"/>
    </x:xf>
    <x:xf numFmtId="205" fontId="4" fillId="0" borderId="4" xfId="0" applyNumberFormat="1" applyFont="1" applyFill="1" applyBorder="1" applyAlignment="1">
      <x:alignment vertical="center" wrapText="0"/>
    </x:xf>
    <x:xf numFmtId="0" fontId="6" fillId="0" borderId="0" xfId="0" applyNumberFormat="1" applyFont="1" applyFill="1" applyBorder="1"/>
    <x:xf numFmtId="205" fontId="4" fillId="0" borderId="1" xfId="0" applyNumberFormat="1" applyFont="1" applyFill="1" applyBorder="1" applyAlignment="1">
      <x:alignment vertical="center" wrapText="1"/>
    </x:xf>
    <x:xf numFmtId="205" fontId="4" fillId="0" borderId="4" xfId="0" applyNumberFormat="1" applyFont="1" applyFill="1" applyBorder="1" applyAlignment="1">
      <x:alignment vertical="center" wrapText="1"/>
    </x:xf>
    <x:xf numFmtId="202" fontId="4" fillId="0" borderId="1" xfId="0" applyNumberFormat="1" applyFont="1" applyFill="1" applyBorder="1" applyAlignment="1">
      <x:alignment vertical="center" wrapText="1"/>
    </x:xf>
    <x:xf numFmtId="202" fontId="4" fillId="0" borderId="4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4" fillId="6" borderId="1" xfId="0" applyNumberFormat="1" applyFont="1" applyFill="1" applyBorder="1" applyAlignment="1">
      <x:alignment vertical="center" wrapText="1"/>
    </x:xf>
    <x:xf numFmtId="0" fontId="4" fillId="6" borderId="4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/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/>
    </x:xf>
    <x:xf numFmtId="0" fontId="8" fillId="7" borderId="0" xfId="0" applyNumberFormat="1" applyFont="1" applyFill="1" applyBorder="1" applyAlignment="1">
      <x:alignment vertical="center"/>
    </x:xf>
    <x:xf numFmtId="0" fontId="11" fillId="7" borderId="0" xfId="0" applyNumberFormat="1" applyFont="1" applyFill="1" applyBorder="1" applyAlignment="1">
      <x:alignment vertical="center"/>
    </x:xf>
    <x:xf numFmtId="0" fontId="11" fillId="7" borderId="6" xfId="0" applyNumberFormat="1" applyFont="1" applyFill="1" applyBorder="1" applyAlignment="1">
      <x:alignment vertical="center"/>
    </x:xf>
    <x:xf numFmtId="0" fontId="11" fillId="7" borderId="7" xfId="0" applyNumberFormat="1" applyFont="1" applyFill="1" applyBorder="1" applyAlignment="1">
      <x:alignment vertical="center"/>
    </x:xf>
    <x:xf numFmtId="0" fontId="11" fillId="7" borderId="8" xfId="0" applyNumberFormat="1" applyFont="1" applyFill="1" applyBorder="1" applyAlignment="1">
      <x:alignment vertical="center"/>
    </x:xf>
    <x:xf numFmtId="0" fontId="11" fillId="7" borderId="6" xfId="0" applyNumberFormat="1" applyFont="1" applyFill="1" applyBorder="1" applyAlignment="1">
      <x:alignment vertical="center" wrapText="1"/>
    </x:xf>
    <x:xf numFmtId="0" fontId="11" fillId="7" borderId="7" xfId="0" applyNumberFormat="1" applyFont="1" applyFill="1" applyBorder="1" applyAlignment="1">
      <x:alignment vertical="center" wrapText="1"/>
    </x:xf>
    <x:xf numFmtId="0" fontId="11" fillId="7" borderId="8" xfId="0" applyNumberFormat="1" applyFont="1" applyFill="1" applyBorder="1" applyAlignment="1">
      <x:alignment vertical="center" wrapText="1"/>
    </x:xf>
    <x:xf numFmtId="0" fontId="11" fillId="7" borderId="6" xfId="0" applyNumberFormat="1" applyFont="1" applyFill="1" applyBorder="1" applyAlignment="1">
      <x:alignment horizontal="center" vertical="center" wrapText="1"/>
    </x:xf>
    <x:xf numFmtId="0" fontId="11" fillId="7" borderId="7" xfId="0" applyNumberFormat="1" applyFont="1" applyFill="1" applyBorder="1" applyAlignment="1">
      <x:alignment horizontal="center" vertical="center" wrapText="1"/>
    </x:xf>
    <x:xf numFmtId="0" fontId="11" fillId="7" borderId="8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 applyAlignment="1">
      <x:alignment vertical="center" wrapText="0"/>
    </x:xf>
    <x:xf numFmtId="0" fontId="8" fillId="8" borderId="0" xfId="0" applyNumberFormat="1" applyFont="1" applyFill="1" applyBorder="1" applyAlignment="1">
      <x:alignment vertical="center" wrapText="0"/>
    </x:xf>
    <x:xf numFmtId="0" fontId="8" fillId="9" borderId="0" xfId="0" applyNumberFormat="1" applyFont="1" applyFill="1" applyBorder="1" applyAlignment="1">
      <x:alignment vertical="center" wrapText="0"/>
    </x:xf>
    <x:xf numFmtId="0" fontId="12" fillId="0" borderId="0" xfId="0" applyNumberFormat="1" applyFont="1" applyFill="1" applyBorder="1" applyAlignment="1">
      <x:alignment vertical="center" wrapText="0"/>
    </x:xf>
    <x:xf numFmtId="0" fontId="12" fillId="8" borderId="0" xfId="0" applyNumberFormat="1" applyFont="1" applyFill="1" applyBorder="1" applyAlignment="1">
      <x:alignment vertical="center" wrapText="0"/>
    </x:xf>
    <x:xf numFmtId="0" fontId="12" fillId="9" borderId="0" xfId="0" applyNumberFormat="1" applyFont="1" applyFill="1" applyBorder="1" applyAlignment="1">
      <x:alignment vertical="center" wrapText="0"/>
    </x:xf>
    <x:xf numFmtId="0" fontId="12" fillId="9" borderId="0" xfId="0" applyNumberFormat="1" applyFont="1" applyFill="1" applyBorder="1" applyAlignment="1">
      <x:alignment vertical="center" wrapText="1"/>
    </x:xf>
    <x:xf numFmtId="204" fontId="8" fillId="9" borderId="0" xfId="0" applyNumberFormat="1" applyFont="1" applyFill="1" applyBorder="1" applyAlignment="1">
      <x:alignment vertical="center" wrapText="0"/>
    </x:xf>
    <x:xf numFmtId="201" fontId="8" fillId="0" borderId="0" xfId="0" applyNumberFormat="1" applyFont="1" applyFill="1" applyBorder="1" applyAlignment="1">
      <x:alignment vertical="center" wrapText="0"/>
    </x:xf>
    <x:xf numFmtId="201" fontId="8" fillId="8" borderId="0" xfId="0" applyNumberFormat="1" applyFont="1" applyFill="1" applyBorder="1" applyAlignment="1">
      <x:alignment vertical="center" wrapText="0"/>
    </x:xf>
    <x:xf numFmtId="203" fontId="8" fillId="0" borderId="0" xfId="0" applyNumberFormat="1" applyFont="1" applyFill="1" applyBorder="1" applyAlignment="1">
      <x:alignment vertical="center" wrapText="0"/>
    </x:xf>
    <x:xf numFmtId="203" fontId="8" fillId="8" borderId="0" xfId="0" applyNumberFormat="1" applyFont="1" applyFill="1" applyBorder="1" applyAlignment="1">
      <x:alignment vertical="center" wrapText="0"/>
    </x:xf>
    <x:xf numFmtId="0" fontId="8" fillId="9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11" fillId="7" borderId="0" xfId="0" applyNumberFormat="1" applyFont="1" applyFill="1" applyBorder="1"/>
    <x:xf numFmtId="0" fontId="11" fillId="7" borderId="6" xfId="0" applyNumberFormat="1" applyFont="1" applyFill="1" applyBorder="1"/>
    <x:xf numFmtId="0" fontId="11" fillId="7" borderId="7" xfId="0" applyNumberFormat="1" applyFont="1" applyFill="1" applyBorder="1"/>
    <x:xf numFmtId="0" fontId="11" fillId="7" borderId="8" xfId="0" applyNumberFormat="1" applyFont="1" applyFill="1" applyBorder="1"/>
    <x:xf numFmtId="0" fontId="11" fillId="7" borderId="6" xfId="0" applyNumberFormat="1" applyFont="1" applyFill="1" applyBorder="1" applyAlignment="1">
      <x:alignment wrapText="1"/>
    </x:xf>
    <x:xf numFmtId="0" fontId="11" fillId="7" borderId="7" xfId="0" applyNumberFormat="1" applyFont="1" applyFill="1" applyBorder="1" applyAlignment="1">
      <x:alignment wrapText="1"/>
    </x:xf>
    <x:xf numFmtId="0" fontId="11" fillId="7" borderId="8" xfId="0" applyNumberFormat="1" applyFont="1" applyFill="1" applyBorder="1" applyAlignment="1">
      <x:alignment wrapText="1"/>
    </x:xf>
    <x:xf numFmtId="0" fontId="11" fillId="7" borderId="6" xfId="0" applyNumberFormat="1" applyFont="1" applyFill="1" applyBorder="1" applyAlignment="1">
      <x:alignment horizontal="center" wrapText="1"/>
    </x:xf>
    <x:xf numFmtId="0" fontId="11" fillId="7" borderId="7" xfId="0" applyNumberFormat="1" applyFont="1" applyFill="1" applyBorder="1" applyAlignment="1">
      <x:alignment horizontal="center" wrapText="1"/>
    </x:xf>
    <x:xf numFmtId="0" fontId="11" fillId="7" borderId="8" xfId="0" applyNumberFormat="1" applyFont="1" applyFill="1" applyBorder="1" applyAlignment="1">
      <x:alignment horizontal="center" wrapText="1"/>
    </x:xf>
    <x:xf numFmtId="0" fontId="12" fillId="0" borderId="0" xfId="0" applyNumberFormat="1" applyFont="1" applyFill="1" applyBorder="1" applyAlignment="1">
      <x:alignment vertical="center"/>
    </x:xf>
    <x:xf numFmtId="0" fontId="8" fillId="9" borderId="0" xfId="0" applyNumberFormat="1" applyFont="1" applyFill="1" applyBorder="1" applyAlignment="1">
      <x:alignment vertical="center"/>
    </x:xf>
    <x:xf numFmtId="0" fontId="13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vertical="center" wrapText="1"/>
    </x:xf>
    <x:xf numFmtId="0" fontId="11" fillId="7" borderId="0" xfId="0" applyNumberFormat="1" applyFont="1" applyFill="1" applyBorder="1" applyAlignment="1">
      <x:alignment horizontal="center" vertical="center"/>
    </x:xf>
    <x:xf numFmtId="200" fontId="8" fillId="0" borderId="0" xfId="0" applyNumberFormat="1" applyFont="1" applyFill="1" applyBorder="1" applyAlignment="1">
      <x:alignment vertical="center" wrapText="1"/>
    </x:xf>
    <x:xf numFmtId="204" fontId="8" fillId="0" borderId="0" xfId="0" applyNumberFormat="1" applyFont="1" applyFill="1" applyBorder="1" applyAlignment="1">
      <x:alignment vertical="center" wrapText="1"/>
    </x:xf>
    <x:xf numFmtId="0" fontId="14" fillId="0" borderId="0" xfId="0" applyNumberFormat="1" applyFont="1" applyFill="1" applyBorder="1"/>
    <x:xf numFmtId="0" fontId="15" fillId="0" borderId="0" xfId="0" applyNumberFormat="1" applyFont="1" applyFill="1" applyBorder="1"/>
    <x:xf numFmtId="0" fontId="8" fillId="0" borderId="1" xfId="0" applyNumberFormat="1" applyFont="1" applyFill="1" applyBorder="1"/>
    <x:xf numFmtId="0" fontId="14" fillId="2" borderId="2" xfId="0" applyNumberFormat="1" applyFont="1" applyFill="1" applyBorder="1" applyAlignment="1">
      <x:alignment horizontal="center" vertical="center" wrapText="1"/>
    </x:xf>
    <x:xf numFmtId="0" fontId="14" fillId="2" borderId="3" xfId="0" applyNumberFormat="1" applyFont="1" applyFill="1" applyBorder="1" applyAlignment="1">
      <x:alignment horizontal="center" vertical="center" wrapText="1"/>
    </x:xf>
    <x:xf numFmtId="0" fontId="8" fillId="3" borderId="1" xfId="0" applyNumberFormat="1" applyFont="1" applyFill="1" applyBorder="1" applyAlignment="1">
      <x:alignment vertical="center" wrapText="0"/>
    </x:xf>
    <x:xf numFmtId="200" fontId="8" fillId="0" borderId="1" xfId="0" applyNumberFormat="1" applyFont="1" applyFill="1" applyBorder="1" applyAlignment="1">
      <x:alignment vertical="center" wrapText="0"/>
    </x:xf>
    <x:xf numFmtId="0" fontId="8" fillId="3" borderId="4" xfId="0" applyNumberFormat="1" applyFont="1" applyFill="1" applyBorder="1" applyAlignment="1">
      <x:alignment vertical="center" wrapText="0"/>
    </x:xf>
    <x:xf numFmtId="200" fontId="8" fillId="0" borderId="4" xfId="0" applyNumberFormat="1" applyFont="1" applyFill="1" applyBorder="1" applyAlignment="1">
      <x:alignment vertical="center" wrapText="0"/>
    </x:xf>
    <x:xf numFmtId="201" fontId="8" fillId="0" borderId="4" xfId="0" applyNumberFormat="1" applyFont="1" applyFill="1" applyBorder="1" applyAlignment="1">
      <x:alignment vertical="center" wrapText="0"/>
    </x:xf>
    <x:xf numFmtId="0" fontId="8" fillId="0" borderId="4" xfId="0" applyNumberFormat="1" applyFont="1" applyFill="1" applyBorder="1" applyAlignment="1">
      <x:alignment vertical="center" wrapText="0"/>
    </x:xf>
    <x:xf numFmtId="202" fontId="8" fillId="0" borderId="4" xfId="0" applyNumberFormat="1" applyFont="1" applyFill="1" applyBorder="1" applyAlignment="1">
      <x:alignment vertical="center" wrapText="0"/>
    </x:xf>
    <x:xf numFmtId="0" fontId="14" fillId="2" borderId="5" xfId="0" applyNumberFormat="1" applyFont="1" applyFill="1" applyBorder="1" applyAlignment="1">
      <x:alignment horizontal="center" vertical="center" wrapText="1"/>
    </x:xf>
    <x:xf numFmtId="0" fontId="8" fillId="0" borderId="1" xfId="0" applyNumberFormat="1" applyFont="1" applyFill="1" applyBorder="1" applyAlignment="1">
      <x:alignment vertical="center" wrapText="1"/>
    </x:xf>
    <x:xf numFmtId="0" fontId="8" fillId="0" borderId="4" xfId="0" applyNumberFormat="1" applyFont="1" applyFill="1" applyBorder="1" applyAlignment="1">
      <x:alignment vertical="center" wrapText="1"/>
    </x:xf>
    <x:xf numFmtId="0" fontId="8" fillId="0" borderId="1" xfId="0" applyNumberFormat="1" applyFont="1" applyFill="1" applyBorder="1" applyAlignment="1">
      <x:alignment vertical="center" wrapText="0"/>
    </x:xf>
    <x:xf numFmtId="202" fontId="8" fillId="0" borderId="1" xfId="0" applyNumberFormat="1" applyFont="1" applyFill="1" applyBorder="1" applyAlignment="1">
      <x:alignment vertical="center" wrapText="0"/>
    </x:xf>
    <x:xf numFmtId="0" fontId="14" fillId="2" borderId="0" xfId="0" applyNumberFormat="1" applyFont="1" applyFill="1" applyBorder="1" applyAlignment="1">
      <x:alignment horizontal="center" vertical="center"/>
    </x:xf>
    <x:xf numFmtId="0" fontId="16" fillId="0" borderId="0" xfId="0" applyNumberFormat="1" applyFont="1" applyFill="1" applyBorder="1"/>
    <x:xf numFmtId="0" fontId="17" fillId="0" borderId="0" xfId="0" applyNumberFormat="1" applyFont="1" applyFill="1" applyBorder="1"/>
    <x:xf numFmtId="0" fontId="14" fillId="10" borderId="2" xfId="0" applyNumberFormat="1" applyFont="1" applyFill="1" applyBorder="1" applyAlignment="1">
      <x:alignment horizontal="center" vertical="center" wrapText="1"/>
    </x:xf>
    <x:xf numFmtId="0" fontId="14" fillId="10" borderId="3" xfId="0" applyNumberFormat="1" applyFont="1" applyFill="1" applyBorder="1" applyAlignment="1">
      <x:alignment horizontal="center" vertical="center" wrapText="1"/>
    </x:xf>
    <x:xf numFmtId="0" fontId="8" fillId="10" borderId="0" xfId="0" applyNumberFormat="1" applyFont="1" applyFill="1" applyBorder="1"/>
    <x:xf numFmtId="0" fontId="18" fillId="10" borderId="2" xfId="0" applyNumberFormat="1" applyFont="1" applyFill="1" applyBorder="1" applyAlignment="1">
      <x:alignment horizontal="center" vertical="center" wrapText="1"/>
    </x:xf>
    <x:xf numFmtId="0" fontId="18" fillId="10" borderId="3" xfId="0" applyNumberFormat="1" applyFont="1" applyFill="1" applyBorder="1" applyAlignment="1">
      <x:alignment horizontal="center" vertical="center" wrapText="1"/>
    </x:xf>
    <x:xf numFmtId="0" fontId="18" fillId="10" borderId="0" xfId="0" applyNumberFormat="1" applyFont="1" applyFill="1" applyBorder="1"/>
    <x:xf numFmtId="0" fontId="8" fillId="11" borderId="1" xfId="0" applyNumberFormat="1" applyFont="1" applyFill="1" applyBorder="1" applyAlignment="1">
      <x:alignment vertical="center" wrapText="0"/>
    </x:xf>
    <x:xf numFmtId="200" fontId="8" fillId="11" borderId="1" xfId="0" applyNumberFormat="1" applyFont="1" applyFill="1" applyBorder="1" applyAlignment="1">
      <x:alignment vertical="center" wrapText="0"/>
    </x:xf>
    <x:xf numFmtId="0" fontId="8" fillId="11" borderId="0" xfId="0" applyNumberFormat="1" applyFont="1" applyFill="1" applyBorder="1"/>
    <x:xf numFmtId="0" fontId="11" fillId="11" borderId="1" xfId="0" applyNumberFormat="1" applyFont="1" applyFill="1" applyBorder="1" applyAlignment="1">
      <x:alignment vertical="center" wrapText="0"/>
    </x:xf>
    <x:xf numFmtId="200" fontId="11" fillId="11" borderId="1" xfId="0" applyNumberFormat="1" applyFont="1" applyFill="1" applyBorder="1" applyAlignment="1">
      <x:alignment vertical="center" wrapText="0"/>
    </x:xf>
    <x:xf numFmtId="0" fontId="11" fillId="11" borderId="0" xfId="0" applyNumberFormat="1" applyFont="1" applyFill="1" applyBorder="1"/>
    <x:xf numFmtId="0" fontId="11" fillId="11" borderId="1" xfId="0" applyNumberFormat="1" applyFont="1" applyFill="1" applyBorder="1" applyAlignment="1">
      <x:alignment vertical="center" wrapText="1"/>
    </x:xf>
    <x:xf numFmtId="200" fontId="11" fillId="11" borderId="1" xfId="0" applyNumberFormat="1" applyFont="1" applyFill="1" applyBorder="1" applyAlignment="1">
      <x:alignment vertical="center" wrapText="1"/>
    </x:xf>
    <x:xf numFmtId="0" fontId="11" fillId="11" borderId="0" xfId="0" applyNumberFormat="1" applyFont="1" applyFill="1" applyBorder="1" applyAlignment="1">
      <x:alignment wrapText="1"/>
    </x:xf>
    <x:xf numFmtId="0" fontId="11" fillId="11" borderId="1" xfId="0" applyNumberFormat="1" applyFont="1" applyFill="1" applyBorder="1" applyAlignment="1">
      <x:alignment horizontal="center" vertical="center" wrapText="1"/>
    </x:xf>
    <x:xf numFmtId="200" fontId="11" fillId="11" borderId="1" xfId="0" applyNumberFormat="1" applyFont="1" applyFill="1" applyBorder="1" applyAlignment="1">
      <x:alignment horizontal="center" vertical="center" wrapText="1"/>
    </x:xf>
    <x:xf numFmtId="0" fontId="11" fillId="11" borderId="0" xfId="0" applyNumberFormat="1" applyFont="1" applyFill="1" applyBorder="1" applyAlignment="1">
      <x:alignment horizontal="center" wrapText="1"/>
    </x:xf>
    <x:xf numFmtId="0" fontId="11" fillId="11" borderId="0" xfId="0" applyNumberFormat="1" applyFont="1" applyFill="1" applyBorder="1" applyAlignment="1">
      <x:alignment horizontal="center" vertical="center" wrapText="1"/>
    </x:xf>
    <x:xf numFmtId="0" fontId="11" fillId="11" borderId="9" xfId="0" applyNumberFormat="1" applyFont="1" applyFill="1" applyBorder="1" applyAlignment="1">
      <x:alignment horizontal="center" vertical="center" wrapText="1"/>
    </x:xf>
    <x:xf numFmtId="200" fontId="11" fillId="11" borderId="10" xfId="0" applyNumberFormat="1" applyFont="1" applyFill="1" applyBorder="1" applyAlignment="1">
      <x:alignment horizontal="center" vertical="center" wrapText="1"/>
    </x:xf>
    <x:xf numFmtId="0" fontId="11" fillId="11" borderId="10" xfId="0" applyNumberFormat="1" applyFont="1" applyFill="1" applyBorder="1" applyAlignment="1">
      <x:alignment horizontal="center" vertical="center" wrapText="1"/>
    </x:xf>
    <x:xf numFmtId="0" fontId="11" fillId="11" borderId="11" xfId="0" applyNumberFormat="1" applyFont="1" applyFill="1" applyBorder="1" applyAlignment="1">
      <x:alignment horizontal="center" vertical="center" wrapText="1"/>
    </x:xf>
    <x:xf numFmtId="0" fontId="14" fillId="3" borderId="4" xfId="0" applyNumberFormat="1" applyFont="1" applyFill="1" applyBorder="1" applyAlignment="1">
      <x:alignment vertical="center" wrapText="0"/>
    </x:xf>
    <x:xf numFmtId="200" fontId="8" fillId="0" borderId="4" xfId="0" applyNumberFormat="1" applyFont="1" applyFill="1" applyBorder="1" applyAlignment="1">
      <x:alignment horizontal="center" vertical="center" wrapText="0"/>
    </x:xf>
    <x:xf numFmtId="200" fontId="8" fillId="12" borderId="4" xfId="0" applyNumberFormat="1" applyFont="1" applyFill="1" applyBorder="1" applyAlignment="1">
      <x:alignment horizontal="center" vertical="center" wrapText="0"/>
    </x:xf>
    <x:xf numFmtId="0" fontId="8" fillId="13" borderId="0" xfId="0" applyNumberFormat="1" applyFont="1" applyFill="1" applyBorder="1" applyAlignment="1">
      <x:alignment vertical="center"/>
    </x:xf>
    <x:xf numFmtId="0" fontId="14" fillId="3" borderId="4" xfId="0" applyNumberFormat="1" applyFont="1" applyFill="1" applyBorder="1" applyAlignment="1">
      <x:alignment vertical="center" wrapText="1"/>
    </x:xf>
    <x:xf numFmtId="200" fontId="8" fillId="12" borderId="4" xfId="0" applyNumberFormat="1" applyFont="1" applyFill="1" applyBorder="1" applyAlignment="1">
      <x:alignment horizontal="center" vertical="center" wrapText="1"/>
    </x:xf>
    <x:xf numFmtId="0" fontId="8" fillId="13" borderId="0" xfId="0" applyNumberFormat="1" applyFont="1" applyFill="1" applyBorder="1" applyAlignment="1">
      <x:alignment vertical="center" wrapText="1"/>
    </x:xf>
    <x:xf numFmtId="200" fontId="8" fillId="0" borderId="4" xfId="0" applyNumberFormat="1" applyFont="1" applyFill="1" applyBorder="1" applyAlignment="1">
      <x:alignment horizontal="center" vertical="center" wrapText="1"/>
    </x:xf>
    <x:xf numFmtId="0" fontId="8" fillId="10" borderId="4" xfId="0" applyNumberFormat="1" applyFont="1" applyFill="1" applyBorder="1" applyAlignment="1">
      <x:alignment vertical="center" wrapText="0"/>
    </x:xf>
    <x:xf numFmtId="201" fontId="8" fillId="10" borderId="4" xfId="0" applyNumberFormat="1" applyFont="1" applyFill="1" applyBorder="1" applyAlignment="1">
      <x:alignment vertical="center" wrapText="0"/>
    </x:xf>
    <x:xf numFmtId="0" fontId="18" fillId="10" borderId="4" xfId="0" applyNumberFormat="1" applyFont="1" applyFill="1" applyBorder="1" applyAlignment="1">
      <x:alignment vertical="center" wrapText="0"/>
    </x:xf>
    <x:xf numFmtId="201" fontId="18" fillId="10" borderId="4" xfId="0" applyNumberFormat="1" applyFont="1" applyFill="1" applyBorder="1" applyAlignment="1">
      <x:alignment vertical="center" wrapText="0"/>
    </x:xf>
    <x:xf numFmtId="0" fontId="8" fillId="11" borderId="4" xfId="0" applyNumberFormat="1" applyFont="1" applyFill="1" applyBorder="1" applyAlignment="1">
      <x:alignment vertical="center" wrapText="0"/>
    </x:xf>
    <x:xf numFmtId="200" fontId="8" fillId="11" borderId="4" xfId="0" applyNumberFormat="1" applyFont="1" applyFill="1" applyBorder="1" applyAlignment="1">
      <x:alignment vertical="center" wrapText="0"/>
    </x:xf>
    <x:xf numFmtId="0" fontId="11" fillId="11" borderId="4" xfId="0" applyNumberFormat="1" applyFont="1" applyFill="1" applyBorder="1" applyAlignment="1">
      <x:alignment vertical="center" wrapText="0"/>
    </x:xf>
    <x:xf numFmtId="200" fontId="11" fillId="11" borderId="4" xfId="0" applyNumberFormat="1" applyFont="1" applyFill="1" applyBorder="1" applyAlignment="1">
      <x:alignment vertical="center" wrapText="0"/>
    </x:xf>
    <x:xf numFmtId="0" fontId="11" fillId="11" borderId="4" xfId="0" applyNumberFormat="1" applyFont="1" applyFill="1" applyBorder="1" applyAlignment="1">
      <x:alignment vertical="center" wrapText="1"/>
    </x:xf>
    <x:xf numFmtId="200" fontId="11" fillId="11" borderId="4" xfId="0" applyNumberFormat="1" applyFont="1" applyFill="1" applyBorder="1" applyAlignment="1">
      <x:alignment vertical="center" wrapText="1"/>
    </x:xf>
    <x:xf numFmtId="0" fontId="11" fillId="11" borderId="4" xfId="0" applyNumberFormat="1" applyFont="1" applyFill="1" applyBorder="1" applyAlignment="1">
      <x:alignment horizontal="center" vertical="center" wrapText="1"/>
    </x:xf>
    <x:xf numFmtId="200" fontId="11" fillId="11" borderId="4" xfId="0" applyNumberFormat="1" applyFont="1" applyFill="1" applyBorder="1" applyAlignment="1">
      <x:alignment horizontal="center" vertical="center" wrapText="1"/>
    </x:xf>
    <x:xf numFmtId="0" fontId="11" fillId="11" borderId="12" xfId="0" applyNumberFormat="1" applyFont="1" applyFill="1" applyBorder="1" applyAlignment="1">
      <x:alignment horizontal="center" vertical="center" wrapText="1"/>
    </x:xf>
    <x:xf numFmtId="200" fontId="11" fillId="11" borderId="13" xfId="0" applyNumberFormat="1" applyFont="1" applyFill="1" applyBorder="1" applyAlignment="1">
      <x:alignment horizontal="center" vertical="center" wrapText="1"/>
    </x:xf>
    <x:xf numFmtId="0" fontId="11" fillId="11" borderId="13" xfId="0" applyNumberFormat="1" applyFont="1" applyFill="1" applyBorder="1" applyAlignment="1">
      <x:alignment horizontal="center" vertical="center" wrapText="1"/>
    </x:xf>
    <x:xf numFmtId="0" fontId="11" fillId="11" borderId="14" xfId="0" applyNumberFormat="1" applyFont="1" applyFill="1" applyBorder="1" applyAlignment="1">
      <x:alignment horizontal="center" vertical="center" wrapText="1"/>
    </x:xf>
    <x:xf numFmtId="0" fontId="8" fillId="3" borderId="4" xfId="0" applyNumberFormat="1" applyFont="1" applyFill="1" applyBorder="1" applyAlignment="1">
      <x:alignment vertical="center" wrapText="1"/>
    </x:xf>
    <x:xf numFmtId="200" fontId="8" fillId="0" borderId="4" xfId="0" applyNumberFormat="1" applyFont="1" applyFill="1" applyBorder="1" applyAlignment="1">
      <x:alignment vertical="center" wrapText="1"/>
    </x:xf>
    <x:xf numFmtId="202" fontId="8" fillId="0" borderId="4" xfId="0" applyNumberFormat="1" applyFont="1" applyFill="1" applyBorder="1" applyAlignment="1">
      <x:alignment vertical="center" wrapText="1"/>
    </x:xf>
    <x:xf numFmtId="200" fontId="8" fillId="14" borderId="4" xfId="0" applyNumberFormat="1" applyFont="1" applyFill="1" applyBorder="1" applyAlignment="1">
      <x:alignment vertical="center" wrapText="1"/>
    </x:xf>
    <x:xf numFmtId="0" fontId="8" fillId="14" borderId="4" xfId="0" applyNumberFormat="1" applyFont="1" applyFill="1" applyBorder="1" applyAlignment="1">
      <x:alignment vertical="center" wrapText="1"/>
    </x:xf>
    <x:xf numFmtId="202" fontId="8" fillId="14" borderId="4" xfId="0" applyNumberFormat="1" applyFont="1" applyFill="1" applyBorder="1" applyAlignment="1">
      <x:alignment vertical="center" wrapText="1"/>
    </x:xf>
    <x:xf numFmtId="0" fontId="8" fillId="14" borderId="0" xfId="0" applyNumberFormat="1" applyFont="1" applyFill="1" applyBorder="1" applyAlignment="1">
      <x:alignment vertical="center" wrapText="1"/>
    </x:xf>
    <x:xf numFmtId="0" fontId="8" fillId="15" borderId="0" xfId="0" applyNumberFormat="1" applyFont="1" applyFill="1" applyBorder="1" applyAlignment="1">
      <x:alignment vertical="center" wrapText="1"/>
    </x:xf>
    <x:xf numFmtId="0" fontId="19" fillId="15" borderId="0" xfId="0" applyNumberFormat="1" applyFont="1" applyFill="1" applyBorder="1" applyAlignment="1">
      <x:alignment vertical="center" wrapText="1"/>
    </x:xf>
    <x:xf numFmtId="0" fontId="14" fillId="10" borderId="5" xfId="0" applyNumberFormat="1" applyFont="1" applyFill="1" applyBorder="1" applyAlignment="1">
      <x:alignment horizontal="center" vertical="center" wrapText="1"/>
    </x:xf>
    <x:xf numFmtId="0" fontId="18" fillId="10" borderId="5" xfId="0" applyNumberFormat="1" applyFont="1" applyFill="1" applyBorder="1" applyAlignment="1">
      <x:alignment horizontal="center" vertical="center" wrapText="1"/>
    </x:xf>
    <x:xf numFmtId="0" fontId="8" fillId="11" borderId="1" xfId="0" applyNumberFormat="1" applyFont="1" applyFill="1" applyBorder="1" applyAlignment="1">
      <x:alignment vertical="center" wrapText="1"/>
    </x:xf>
    <x:xf numFmtId="0" fontId="8" fillId="15" borderId="4" xfId="0" applyNumberFormat="1" applyFont="1" applyFill="1" applyBorder="1" applyAlignment="1">
      <x:alignment vertical="center" wrapText="1"/>
    </x:xf>
    <x:xf numFmtId="0" fontId="20" fillId="15" borderId="4" xfId="0" applyNumberFormat="1" applyFont="1" applyFill="1" applyBorder="1" applyAlignment="1">
      <x:alignment vertical="center" wrapText="1"/>
    </x:xf>
    <x:xf numFmtId="204" fontId="8" fillId="0" borderId="0" xfId="0" applyNumberFormat="1" applyFont="1" applyFill="1" applyBorder="1"/>
    <x:xf numFmtId="0" fontId="10" fillId="0" borderId="0" xfId="0" applyNumberFormat="1" applyFont="1" applyFill="1" applyBorder="1"/>
    <x:xf numFmtId="204" fontId="10" fillId="0" borderId="0" xfId="0" applyNumberFormat="1" applyFont="1" applyFill="1" applyBorder="1"/>
    <x:xf numFmtId="0" fontId="11" fillId="11" borderId="6" xfId="0" applyNumberFormat="1" applyFont="1" applyFill="1" applyBorder="1" applyAlignment="1">
      <x:alignment horizontal="center" vertical="center" wrapText="1"/>
    </x:xf>
    <x:xf numFmtId="0" fontId="11" fillId="11" borderId="7" xfId="0" applyNumberFormat="1" applyFont="1" applyFill="1" applyBorder="1" applyAlignment="1">
      <x:alignment horizontal="center" vertical="center" wrapText="1"/>
    </x:xf>
    <x:xf numFmtId="0" fontId="11" fillId="11" borderId="8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3" fillId="12" borderId="5" xfId="0" applyNumberFormat="1" applyFont="1" applyFill="1" applyBorder="1" applyAlignment="1">
      <x:alignment horizontal="center" vertical="center" wrapText="1"/>
    </x:xf>
    <x:xf numFmtId="201" fontId="4" fillId="12" borderId="1" xfId="0" applyNumberFormat="1" applyFont="1" applyFill="1" applyBorder="1" applyAlignment="1">
      <x:alignment vertical="center" wrapText="1"/>
    </x:xf>
    <x:xf numFmtId="201" fontId="4" fillId="12" borderId="4" xfId="0" applyNumberFormat="1" applyFont="1" applyFill="1" applyBorder="1" applyAlignment="1">
      <x:alignment vertical="center" wrapText="1"/>
    </x:xf>
    <x:xf numFmtId="0" fontId="4" fillId="13" borderId="1" xfId="0" applyNumberFormat="1" applyFont="1" applyFill="1" applyBorder="1" applyAlignment="1">
      <x:alignment vertical="center" wrapText="1"/>
    </x:xf>
    <x:xf numFmtId="0" fontId="4" fillId="13" borderId="4" xfId="0" applyNumberFormat="1" applyFont="1" applyFill="1" applyBorder="1" applyAlignment="1">
      <x:alignment vertical="center" wrapText="1"/>
    </x:xf>
    <x:xf numFmtId="0" fontId="8" fillId="12" borderId="0" xfId="0" applyNumberFormat="1" applyFont="1" applyFill="1" applyBorder="1" applyAlignment="1">
      <x:alignment vertical="center" wrapText="1"/>
    </x:xf>
    <x:xf numFmtId="0" fontId="20" fillId="15" borderId="0" xfId="0" applyNumberFormat="1" applyFont="1" applyFill="1" applyBorder="1" applyAlignment="1">
      <x:alignment vertical="center" wrapText="1"/>
    </x:xf>
    <x:xf numFmtId="205" fontId="8" fillId="0" borderId="1" xfId="0" applyNumberFormat="1" applyFont="1" applyFill="1" applyBorder="1" applyAlignment="1">
      <x:alignment vertical="center" wrapText="0"/>
    </x:xf>
    <x:xf numFmtId="205" fontId="8" fillId="0" borderId="4" xfId="0" applyNumberFormat="1" applyFont="1" applyFill="1" applyBorder="1" applyAlignment="1">
      <x:alignment vertical="center" wrapText="0"/>
    </x:xf>
    <x:xf numFmtId="0" fontId="18" fillId="0" borderId="4" xfId="0" applyNumberFormat="1" applyFont="1" applyFill="1" applyBorder="1" applyAlignment="1">
      <x:alignment vertical="center" wrapText="0"/>
    </x:xf>
    <x:xf numFmtId="205" fontId="18" fillId="0" borderId="4" xfId="0" applyNumberFormat="1" applyFont="1" applyFill="1" applyBorder="1" applyAlignment="1">
      <x:alignment vertical="center" wrapText="0"/>
    </x:xf>
    <x:xf numFmtId="202" fontId="18" fillId="0" borderId="4" xfId="0" applyNumberFormat="1" applyFont="1" applyFill="1" applyBorder="1" applyAlignment="1">
      <x:alignment vertical="center" wrapText="0"/>
    </x:xf>
    <x:xf numFmtId="0" fontId="18" fillId="0" borderId="0" xfId="0" applyNumberFormat="1" applyFont="1" applyFill="1" applyBorder="1"/>
    <x:xf numFmtId="205" fontId="8" fillId="11" borderId="4" xfId="0" applyNumberFormat="1" applyFont="1" applyFill="1" applyBorder="1" applyAlignment="1">
      <x:alignment vertical="center" wrapText="0"/>
    </x:xf>
    <x:xf numFmtId="202" fontId="8" fillId="11" borderId="4" xfId="0" applyNumberFormat="1" applyFont="1" applyFill="1" applyBorder="1" applyAlignment="1">
      <x:alignment vertical="center" wrapText="0"/>
    </x:xf>
    <x:xf numFmtId="205" fontId="11" fillId="11" borderId="4" xfId="0" applyNumberFormat="1" applyFont="1" applyFill="1" applyBorder="1" applyAlignment="1">
      <x:alignment vertical="center" wrapText="0"/>
    </x:xf>
    <x:xf numFmtId="202" fontId="11" fillId="11" borderId="4" xfId="0" applyNumberFormat="1" applyFont="1" applyFill="1" applyBorder="1" applyAlignment="1">
      <x:alignment vertical="center" wrapText="0"/>
    </x:xf>
    <x:xf numFmtId="205" fontId="11" fillId="11" borderId="4" xfId="0" applyNumberFormat="1" applyFont="1" applyFill="1" applyBorder="1" applyAlignment="1">
      <x:alignment vertical="center" wrapText="1"/>
    </x:xf>
    <x:xf numFmtId="202" fontId="11" fillId="11" borderId="4" xfId="0" applyNumberFormat="1" applyFont="1" applyFill="1" applyBorder="1" applyAlignment="1">
      <x:alignment vertical="center" wrapText="1"/>
    </x:xf>
    <x:xf numFmtId="205" fontId="11" fillId="11" borderId="4" xfId="0" applyNumberFormat="1" applyFont="1" applyFill="1" applyBorder="1" applyAlignment="1">
      <x:alignment horizontal="center" vertical="center" wrapText="1"/>
    </x:xf>
    <x:xf numFmtId="202" fontId="11" fillId="11" borderId="4" xfId="0" applyNumberFormat="1" applyFont="1" applyFill="1" applyBorder="1" applyAlignment="1">
      <x:alignment horizontal="center" vertical="center" wrapText="1"/>
    </x:xf>
    <x:xf numFmtId="205" fontId="11" fillId="11" borderId="13" xfId="0" applyNumberFormat="1" applyFont="1" applyFill="1" applyBorder="1" applyAlignment="1">
      <x:alignment horizontal="center" vertical="center" wrapText="1"/>
    </x:xf>
    <x:xf numFmtId="202" fontId="11" fillId="11" borderId="13" xfId="0" applyNumberFormat="1" applyFont="1" applyFill="1" applyBorder="1" applyAlignment="1">
      <x:alignment horizontal="center" vertical="center" wrapText="1"/>
    </x:xf>
    <x:xf numFmtId="0" fontId="8" fillId="15" borderId="0" xfId="0" applyNumberFormat="1" applyFont="1" applyFill="1" applyBorder="1" applyAlignment="1">
      <x:alignment vertical="center"/>
    </x:xf>
    <x:xf numFmtId="0" fontId="20" fillId="15" borderId="0" xfId="0" applyNumberFormat="1" applyFont="1" applyFill="1" applyBorder="1" applyAlignment="1">
      <x:alignment vertical="center"/>
    </x:xf>
    <x:xf numFmtId="205" fontId="8" fillId="0" borderId="1" xfId="0" applyNumberFormat="1" applyFont="1" applyFill="1" applyBorder="1" applyAlignment="1">
      <x:alignment vertical="center" wrapText="1"/>
    </x:xf>
    <x:xf numFmtId="202" fontId="8" fillId="0" borderId="1" xfId="0" applyNumberFormat="1" applyFont="1" applyFill="1" applyBorder="1" applyAlignment="1">
      <x:alignment vertical="center" wrapText="1"/>
    </x:xf>
    <x:xf numFmtId="205" fontId="8" fillId="0" borderId="4" xfId="0" applyNumberFormat="1" applyFont="1" applyFill="1" applyBorder="1" applyAlignment="1">
      <x:alignment vertical="center" wrapText="1"/>
    </x:xf>
    <x:xf numFmtId="0" fontId="8" fillId="11" borderId="4" xfId="0" applyNumberFormat="1" applyFont="1" applyFill="1" applyBorder="1" applyAlignment="1">
      <x:alignment vertical="center" wrapText="1"/>
    </x:xf>
    <x:xf numFmtId="205" fontId="8" fillId="11" borderId="4" xfId="0" applyNumberFormat="1" applyFont="1" applyFill="1" applyBorder="1" applyAlignment="1">
      <x:alignment vertical="center" wrapText="1"/>
    </x:xf>
    <x:xf numFmtId="202" fontId="8" fillId="11" borderId="4" xfId="0" applyNumberFormat="1" applyFont="1" applyFill="1" applyBorder="1" applyAlignment="1">
      <x:alignment vertical="center" wrapText="1"/>
    </x:xf>
    <x:xf numFmtId="0" fontId="12" fillId="0" borderId="0" xfId="0" applyNumberFormat="1" applyFont="1" applyFill="1" applyBorder="1" applyAlignment="1">
      <x:alignment vertical="center" wrapText="1"/>
    </x:xf>
    <x:xf numFmtId="0" fontId="8" fillId="12" borderId="0" xfId="0" applyNumberFormat="1" applyFont="1" applyFill="1" applyBorder="1" applyAlignment="1">
      <x:alignment vertical="center"/>
    </x:xf>
    <x:xf numFmtId="204" fontId="8" fillId="12" borderId="0" xfId="0" applyNumberFormat="1" applyFont="1" applyFill="1" applyBorder="1" applyAlignment="1">
      <x:alignment vertical="center"/>
    </x:xf>
    <x:xf numFmtId="203" fontId="8" fillId="0" borderId="0" xfId="0" applyNumberFormat="1" applyFont="1" applyFill="1" applyBorder="1" applyAlignment="1">
      <x:alignment vertical="center"/>
    </x:xf>
    <x:xf numFmtId="203" fontId="8" fillId="12" borderId="0" xfId="0" applyNumberFormat="1" applyFont="1" applyFill="1" applyBorder="1" applyAlignment="1">
      <x:alignment vertical="center"/>
    </x:xf>
    <x:xf numFmtId="201" fontId="8" fillId="0" borderId="0" xfId="0" applyNumberFormat="1" applyFont="1" applyFill="1" applyBorder="1" applyAlignment="1">
      <x:alignment vertical="center"/>
    </x:xf>
    <x:xf numFmtId="204" fontId="8" fillId="0" borderId="0" xfId="0" applyNumberFormat="1" applyFont="1" applyFill="1" applyBorder="1" applyAlignment="1">
      <x:alignment vertical="center"/>
    </x:xf>
    <x:xf numFmtId="204" fontId="8" fillId="4" borderId="0" xfId="0" applyNumberFormat="1" applyFont="1" applyFill="1" applyBorder="1" applyAlignment="1">
      <x:alignment vertical="center" wrapText="0"/>
    </x:xf>
    <x:xf numFmtId="0" fontId="14" fillId="5" borderId="0" xfId="0" applyNumberFormat="1" applyFont="1" applyFill="1" applyBorder="1"/>
    <x:xf numFmtId="0" fontId="8" fillId="5" borderId="0" xfId="0" applyNumberFormat="1" applyFont="1" applyFill="1" applyBorder="1"/>
    <x:xf numFmtId="0" fontId="8" fillId="6" borderId="1" xfId="0" applyNumberFormat="1" applyFont="1" applyFill="1" applyBorder="1" applyAlignment="1">
      <x:alignment vertical="center" wrapText="1"/>
    </x:xf>
    <x:xf numFmtId="0" fontId="8" fillId="6" borderId="4" xfId="0" applyNumberFormat="1" applyFont="1" applyFill="1" applyBorder="1" applyAlignment="1">
      <x:alignment vertical="center" wrapText="1"/>
    </x:xf>
    <x:xf numFmtId="0" fontId="14" fillId="2" borderId="0" xfId="0" applyNumberFormat="1" applyFont="1" applyFill="1" applyBorder="1"/>
    <x:xf numFmtId="0" fontId="8" fillId="16" borderId="0" xfId="0" applyNumberFormat="1" applyFont="1" applyFill="1" applyBorder="1"/>
    <x:xf numFmtId="0" fontId="14" fillId="16" borderId="0" xfId="0" applyNumberFormat="1" applyFont="1" applyFill="1" applyBorder="1"/>
    <x:xf numFmtId="0" fontId="15" fillId="16" borderId="0" xfId="0" applyNumberFormat="1" applyFont="1" applyFill="1" applyBorder="1"/>
    <x:xf numFmtId="0" fontId="8" fillId="16" borderId="1" xfId="0" applyNumberFormat="1" applyFont="1" applyFill="1" applyBorder="1"/>
    <x:xf numFmtId="0" fontId="14" fillId="16" borderId="2" xfId="0" applyNumberFormat="1" applyFont="1" applyFill="1" applyBorder="1" applyAlignment="1">
      <x:alignment horizontal="center" vertical="center" wrapText="1"/>
    </x:xf>
    <x:xf numFmtId="0" fontId="14" fillId="16" borderId="5" xfId="0" applyNumberFormat="1" applyFont="1" applyFill="1" applyBorder="1" applyAlignment="1">
      <x:alignment horizontal="center" vertical="center" wrapText="1"/>
    </x:xf>
    <x:xf numFmtId="0" fontId="14" fillId="16" borderId="3" xfId="0" applyNumberFormat="1" applyFont="1" applyFill="1" applyBorder="1" applyAlignment="1">
      <x:alignment horizontal="center" vertical="center" wrapText="1"/>
    </x:xf>
    <x:xf numFmtId="0" fontId="8" fillId="16" borderId="1" xfId="0" applyNumberFormat="1" applyFont="1" applyFill="1" applyBorder="1" applyAlignment="1">
      <x:alignment vertical="center" wrapText="1"/>
    </x:xf>
    <x:xf numFmtId="0" fontId="8" fillId="16" borderId="4" xfId="0" applyNumberFormat="1" applyFont="1" applyFill="1" applyBorder="1" applyAlignment="1">
      <x:alignment vertical="center" wrapText="1"/>
    </x:xf>
    <x:xf numFmtId="0" fontId="8" fillId="16" borderId="0" xfId="0" applyNumberFormat="1" applyFont="1" applyFill="1" applyBorder="1" applyAlignment="1">
      <x:alignment vertical="center" wrapText="1"/>
    </x:xf>
    <x:xf numFmtId="0" fontId="16" fillId="16" borderId="0" xfId="0" applyNumberFormat="1" applyFont="1" applyFill="1" applyBorder="1"/>
    <x:xf numFmtId="0" fontId="17" fillId="16" borderId="0" xfId="0" applyNumberFormat="1" applyFont="1" applyFill="1" applyBorder="1"/>
    <x:xf numFmtId="0" fontId="14" fillId="10" borderId="0" xfId="0" applyNumberFormat="1" applyFont="1" applyFill="1" applyBorder="1"/>
    <x:xf numFmtId="0" fontId="14" fillId="11" borderId="2" xfId="0" applyNumberFormat="1" applyFont="1" applyFill="1" applyBorder="1" applyAlignment="1">
      <x:alignment horizontal="center" vertical="center" wrapText="1"/>
    </x:xf>
    <x:xf numFmtId="0" fontId="14" fillId="11" borderId="5" xfId="0" applyNumberFormat="1" applyFont="1" applyFill="1" applyBorder="1" applyAlignment="1">
      <x:alignment horizontal="center" vertical="center" wrapText="1"/>
    </x:xf>
    <x:xf numFmtId="0" fontId="14" fillId="11" borderId="3" xfId="0" applyNumberFormat="1" applyFont="1" applyFill="1" applyBorder="1" applyAlignment="1">
      <x:alignment horizontal="center" vertical="center" wrapText="1"/>
    </x:xf>
    <x:xf numFmtId="0" fontId="11" fillId="11" borderId="2" xfId="0" applyNumberFormat="1" applyFont="1" applyFill="1" applyBorder="1" applyAlignment="1">
      <x:alignment horizontal="center" vertical="center" wrapText="1"/>
    </x:xf>
    <x:xf numFmtId="0" fontId="11" fillId="11" borderId="5" xfId="0" applyNumberFormat="1" applyFont="1" applyFill="1" applyBorder="1" applyAlignment="1">
      <x:alignment horizontal="center" vertical="center" wrapText="1"/>
    </x:xf>
    <x:xf numFmtId="0" fontId="11" fillId="11" borderId="3" xfId="0" applyNumberFormat="1" applyFont="1" applyFill="1" applyBorder="1" applyAlignment="1">
      <x:alignment horizontal="center" vertical="center" wrapText="1"/>
    </x:xf>
    <x:xf numFmtId="0" fontId="8" fillId="16" borderId="0" xfId="0" applyNumberFormat="1" applyFont="1" applyFill="1" applyBorder="1" applyAlignment="1">
      <x:alignment vertical="center"/>
    </x:xf>
    <x:xf numFmtId="0" fontId="14" fillId="16" borderId="0" xfId="0" applyNumberFormat="1" applyFont="1" applyFill="1" applyBorder="1" applyAlignment="1">
      <x:alignment vertical="center"/>
    </x:xf>
    <x:xf numFmtId="0" fontId="14" fillId="16" borderId="0" xfId="0" applyNumberFormat="1" applyFont="1" applyFill="1" applyBorder="1" applyAlignment="1">
      <x:alignment vertical="center" wrapText="1"/>
    </x:xf>
    <x:xf numFmtId="0" fontId="8" fillId="10" borderId="1" xfId="0" applyNumberFormat="1" applyFont="1" applyFill="1" applyBorder="1" applyAlignment="1">
      <x:alignment vertical="center" wrapText="1"/>
    </x:xf>
    <x:xf numFmtId="0" fontId="18" fillId="10" borderId="1" xfId="0" applyNumberFormat="1" applyFont="1" applyFill="1" applyBorder="1" applyAlignment="1">
      <x:alignment vertical="center" wrapText="1"/>
    </x:xf>
    <x:xf numFmtId="0" fontId="8" fillId="10" borderId="4" xfId="0" applyNumberFormat="1" applyFont="1" applyFill="1" applyBorder="1" applyAlignment="1">
      <x:alignment vertical="center" wrapText="1"/>
    </x:xf>
    <x:xf numFmtId="0" fontId="18" fillId="10" borderId="4" xfId="0" applyNumberFormat="1" applyFont="1" applyFill="1" applyBorder="1" applyAlignment="1">
      <x:alignment vertical="center" wrapText="1"/>
    </x:xf>
    <x:xf numFmtId="0" fontId="16" fillId="0" borderId="0" xfId="0" applyNumberFormat="1" applyFont="1" applyFill="1" applyBorder="1" applyAlignment="1">
      <x:alignment vertical="center"/>
    </x:xf>
    <x:xf numFmtId="0" fontId="17" fillId="0" borderId="0" xfId="0" applyNumberFormat="1" applyFont="1" applyFill="1" applyBorder="1" applyAlignment="1">
      <x:alignment vertical="center"/>
    </x:xf>
    <x:xf numFmtId="0" fontId="8" fillId="0" borderId="1" xfId="0" applyNumberFormat="1" applyFont="1" applyFill="1" applyBorder="1" applyAlignment="1">
      <x:alignment vertical="center"/>
    </x:xf>
    <x:xf numFmtId="0" fontId="18" fillId="10" borderId="0" xfId="0" applyNumberFormat="1" applyFont="1" applyFill="1" applyBorder="1" applyAlignment="1">
      <x:alignment vertical="center"/>
    </x:xf>
    <x:xf numFmtId="204" fontId="10" fillId="0" borderId="0" xfId="0" applyNumberFormat="1" applyFont="1" applyFill="1" applyBorder="1" applyAlignment="1">
      <x:alignment vertical="center"/>
    </x:xf>
    <x:xf numFmtId="0" fontId="14" fillId="0" borderId="0" xfId="0" applyNumberFormat="1" applyFont="1" applyFill="1" applyBorder="1" applyAlignment="1">
      <x:alignment vertical="center"/>
    </x:xf>
    <x:xf numFmtId="0" fontId="16" fillId="16" borderId="0" xfId="0" applyNumberFormat="1" applyFont="1" applyFill="1" applyBorder="1" applyAlignment="1">
      <x:alignment vertical="center"/>
    </x:xf>
    <x:xf numFmtId="0" fontId="17" fillId="16" borderId="0" xfId="0" applyNumberFormat="1" applyFont="1" applyFill="1" applyBorder="1" applyAlignment="1">
      <x:alignment vertical="center"/>
    </x:xf>
    <x:xf numFmtId="0" fontId="8" fillId="16" borderId="1" xfId="0" applyNumberFormat="1" applyFont="1" applyFill="1" applyBorder="1" applyAlignment="1">
      <x:alignment vertical="center"/>
    </x:xf>
  </x:cellXfs>
  <x:cellStyles count="1">
    <x:cellStyle name="Normal" xfId="0"/>
  </x:cellStyles>
  <x:dxfs count="41">
    <x:dxf>
      <x:font>
        <x:b/>
        <x:color rgb="FFA85D00"/>
      </x:font>
      <x:fill>
        <x:patternFill>
          <x:bgColor rgb="FFFFF3DC"/>
        </x:patternFill>
      </x:fill>
    </x:dxf>
    <x:dxf>
      <x:font>
        <x:b/>
        <x:color rgb="FFB42318"/>
      </x:font>
      <x:fill>
        <x:patternFill>
          <x:bgColor rgb="FFFDECEA"/>
        </x:patternFill>
      </x:fill>
    </x:dxf>
    <x:dxf>
      <x:font>
        <x:b/>
        <x:color rgb="FFA85D00"/>
      </x:font>
      <x:fill>
        <x:patternFill>
          <x:bgColor rgb="FFFFF3DC"/>
        </x:patternFill>
      </x:fill>
    </x:dxf>
    <x:dxf>
      <x:font>
        <x:b/>
        <x:color rgb="FF147A4B"/>
      </x:font>
      <x:fill>
        <x:patternFill>
          <x:bgColor rgb="FFE9F7EF"/>
        </x:patternFill>
      </x:fill>
    </x:dxf>
    <x:dxf>
      <x:font>
        <x:b/>
        <x:color rgb="FFB42318"/>
      </x:font>
      <x:fill>
        <x:patternFill>
          <x:bgColor rgb="FFFDECEA"/>
        </x:patternFill>
      </x:fill>
    </x:dxf>
    <x:dxf>
      <x:font>
        <x:color rgb="FFA85D00"/>
      </x:font>
      <x:fill>
        <x:patternFill>
          <x:bgColor rgb="FFFFF3DC"/>
        </x:patternFill>
      </x:fill>
    </x:dxf>
    <x:dxf>
      <x:font>
        <x:b/>
        <x:color rgb="FF147A4B"/>
      </x:font>
      <x:fill>
        <x:patternFill>
          <x:bgColor rgb="FFE9F7EF"/>
        </x:patternFill>
      </x:fill>
    </x:dxf>
    <x:dxf>
      <x:font>
        <x:b/>
        <x:color rgb="FFB42318"/>
      </x:font>
      <x:fill>
        <x:patternFill>
          <x:bgColor rgb="FFFDECEA"/>
        </x:patternFill>
      </x:fill>
    </x:dxf>
    <x:dxf>
      <x:font>
        <x:color rgb="FFA85D00"/>
      </x:font>
      <x:fill>
        <x:patternFill>
          <x:bgColor rgb="FFFFF3DC"/>
        </x:patternFill>
      </x:fill>
    </x:dxf>
    <x:dxf>
      <x:font>
        <x:b/>
        <x:color rgb="FF147A4B"/>
      </x:font>
      <x:fill>
        <x:patternFill>
          <x:bgColor rgb="FFE9F7EF"/>
        </x:patternFill>
      </x:fill>
    </x:dxf>
    <x:dxf>
      <x:font>
        <x:b/>
        <x:color rgb="FFB42318"/>
      </x:font>
      <x:fill>
        <x:patternFill>
          <x:bgColor rgb="FFFDECEA"/>
        </x:patternFill>
      </x:fill>
    </x:dxf>
    <x:dxf>
      <x:font>
        <x:color rgb="FFA85D00"/>
      </x:font>
      <x:fill>
        <x:patternFill>
          <x:bgColor rgb="FFFFF3DC"/>
        </x:patternFill>
      </x:fill>
    </x:dxf>
    <x:dxf>
      <x:font>
        <x:b/>
        <x:color rgb="FFA85D00"/>
      </x:font>
      <x:fill>
        <x:patternFill>
          <x:bgColor rgb="FFFFF3DC"/>
        </x:patternFill>
      </x:fill>
    </x:dxf>
    <x:dxf>
      <x:font>
        <x:b/>
        <x:color rgb="FFB42318"/>
      </x:font>
      <x:fill>
        <x:patternFill>
          <x:bgColor rgb="FFFDECEA"/>
        </x:patternFill>
      </x:fill>
    </x:dxf>
    <x:dxf>
      <x:font>
        <x:b/>
        <x:color rgb="FF147A4B"/>
      </x:font>
      <x:fill>
        <x:patternFill>
          <x:bgColor rgb="FFE9F7EF"/>
        </x:patternFill>
      </x:fill>
    </x:dxf>
    <x:dxf>
      <x:font>
        <x:b/>
        <x:color rgb="FFB42318"/>
      </x:font>
      <x:fill>
        <x:patternFill>
          <x:bgColor rgb="FFFDECEA"/>
        </x:patternFill>
      </x:fill>
    </x:dxf>
    <x:dxf>
      <x:font>
        <x:color rgb="FFA85D00"/>
      </x:font>
      <x:fill>
        <x:patternFill>
          <x:bgColor rgb="FFFFF3DC"/>
        </x:patternFill>
      </x:fill>
    </x:dxf>
    <x:dxf>
      <x:font>
        <x:b/>
        <x:color rgb="FFB42318"/>
      </x:font>
      <x:fill>
        <x:patternFill>
          <x:bgColor rgb="FFFDECEA"/>
        </x:patternFill>
      </x:fill>
    </x:dxf>
    <x:dxf>
      <x:font>
        <x:b/>
        <x:color rgb="FFB42318"/>
      </x:font>
      <x:fill>
        <x:patternFill>
          <x:bgColor rgb="FFFDECEA"/>
        </x:patternFill>
      </x:fill>
    </x:dxf>
    <x:dxf>
      <x:font>
        <x:b/>
        <x:color rgb="FF173F5F"/>
      </x:font>
      <x:fill>
        <x:patternFill>
          <x:bgColor rgb="FFEAF1F7"/>
        </x:patternFill>
      </x:fill>
    </x:dxf>
    <x:dxf>
      <x:font>
        <x:b/>
        <x:color rgb="FF257D76"/>
      </x:font>
      <x:fill>
        <x:patternFill>
          <x:bgColor rgb="FFE8F5F2"/>
        </x:patternFill>
      </x:fill>
    </x:dxf>
    <x:dxf>
      <x:font>
        <x:b/>
        <x:color rgb="FFA85D00"/>
      </x:font>
      <x:fill>
        <x:patternFill>
          <x:bgColor rgb="FFFFF3DC"/>
        </x:patternFill>
      </x:fill>
    </x:dxf>
    <x:dxf>
      <x:font>
        <x:b/>
        <x:color rgb="FFB42318"/>
      </x:font>
      <x:fill>
        <x:patternFill>
          <x:bgColor rgb="FFFDECEA"/>
        </x:patternFill>
      </x:fill>
    </x:dxf>
    <x:dxf>
      <x:font>
        <x:b/>
        <x:color rgb="FFB42318"/>
      </x:font>
      <x:fill>
        <x:patternFill>
          <x:bgColor rgb="FFFDECEA"/>
        </x:patternFill>
      </x:fill>
    </x:dxf>
    <x:dxf>
      <x:font>
        <x:color rgb="FFA85D00"/>
      </x:font>
      <x:fill>
        <x:patternFill>
          <x:bgColor rgb="FFFFF3DC"/>
        </x:patternFill>
      </x:fill>
    </x:dxf>
    <x:dxf>
      <x:font>
        <x:color rgb="FF147A4B"/>
      </x:font>
      <x:fill>
        <x:patternFill>
          <x:bgColor rgb="FFE9F7EF"/>
        </x:patternFill>
      </x:fill>
    </x:dxf>
    <x:dxf>
      <x:font>
        <x:b/>
        <x:color rgb="FFB42318"/>
      </x:font>
      <x:fill>
        <x:patternFill>
          <x:bgColor rgb="FFFDECEA"/>
        </x:patternFill>
      </x:fill>
    </x:dxf>
    <x:dxf>
      <x:font>
        <x:color rgb="FFA85D00"/>
      </x:font>
      <x:fill>
        <x:patternFill>
          <x:bgColor rgb="FFFFF3DC"/>
        </x:patternFill>
      </x:fill>
    </x:dxf>
    <x:dxf>
      <x:font>
        <x:color rgb="FF9A6700"/>
      </x:font>
      <x:fill>
        <x:patternFill>
          <x:bgColor rgb="FFFFF3DC"/>
        </x:patternFill>
      </x:fill>
    </x:dxf>
    <x:dxf>
      <x:font>
        <x:color rgb="FFB42318"/>
      </x:font>
      <x:fill>
        <x:patternFill>
          <x:bgColor rgb="FFFDECEA"/>
        </x:patternFill>
      </x:fill>
    </x:dxf>
    <x:dxf>
      <x:font>
        <x:color rgb="FF9A6700"/>
      </x:font>
      <x:fill>
        <x:patternFill>
          <x:bgColor rgb="FFFFF3DC"/>
        </x:patternFill>
      </x:fill>
    </x:dxf>
    <x:dxf>
      <x:font>
        <x:color rgb="FFB42318"/>
      </x:font>
      <x:fill>
        <x:patternFill>
          <x:bgColor rgb="FFFDECEA"/>
        </x:patternFill>
      </x:fill>
    </x:dxf>
    <x:dxf>
      <x:font>
        <x:b/>
        <x:color rgb="FFB42318"/>
      </x:font>
      <x:fill>
        <x:patternFill>
          <x:bgColor rgb="FFFDECEA"/>
        </x:patternFill>
      </x:fill>
    </x:dxf>
    <x:dxf>
      <x:font>
        <x:b/>
        <x:color rgb="FFB42318"/>
      </x:font>
      <x:fill>
        <x:patternFill>
          <x:bgColor rgb="FFFDECEA"/>
        </x:patternFill>
      </x:fill>
    </x:dxf>
    <x:dxf>
      <x:font>
        <x:color rgb="FFB42318"/>
      </x:font>
      <x:fill>
        <x:patternFill>
          <x:bgColor rgb="FFFDECEA"/>
        </x:patternFill>
      </x:fill>
    </x:dxf>
    <x:dxf>
      <x:font>
        <x:color rgb="FF14804A"/>
      </x:font>
      <x:fill>
        <x:patternFill>
          <x:bgColor rgb="FFE8F5ED"/>
        </x:patternFill>
      </x:fill>
    </x:dxf>
    <x:dxf>
      <x:font>
        <x:color rgb="FF9A6700"/>
      </x:font>
      <x:fill>
        <x:patternFill>
          <x:bgColor rgb="FFFFF3DC"/>
        </x:patternFill>
      </x:fill>
    </x:dxf>
    <x:dxf>
      <x:font>
        <x:color rgb="FF9A6700"/>
      </x:font>
      <x:fill>
        <x:patternFill>
          <x:bgColor rgb="FFFFF3DC"/>
        </x:patternFill>
      </x:fill>
    </x:dxf>
    <x:dxf>
      <x:font>
        <x:b/>
        <x:color rgb="FF9A6700"/>
      </x:font>
      <x:fill>
        <x:patternFill>
          <x:bgColor rgb="FFFFF3DC"/>
        </x:patternFill>
      </x:fill>
    </x:dxf>
    <x:dxf>
      <x:font>
        <x:b/>
        <x:color rgb="FFB42318"/>
      </x:font>
      <x:fill>
        <x:patternFill>
          <x:bgColor rgb="FFFDECEA"/>
        </x:patternFill>
      </x:fill>
    </x:dxf>
    <x:dxf>
      <x:font>
        <x:b/>
        <x:color rgb="FF14804A"/>
      </x:font>
      <x:fill>
        <x:patternFill>
          <x:bgColor rgb="FFE8F5E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77e008280f4961" /><Relationship Type="http://schemas.openxmlformats.org/officeDocument/2006/relationships/theme" Target="/xl/theme/theme1.xml" Id="R5003ed1f705e430e" /><Relationship Type="http://schemas.openxmlformats.org/officeDocument/2006/relationships/sharedStrings" Target="/xl/sharedStrings.xml" Id="R672414b58d4f439f" /><Relationship Type="http://schemas.openxmlformats.org/officeDocument/2006/relationships/worksheet" Target="/xl/worksheets/sheet1.xml" Id="R72b0485e34ce4b77" /><Relationship Type="http://schemas.openxmlformats.org/officeDocument/2006/relationships/worksheet" Target="/xl/worksheets/sheet2.xml" Id="R77edf746448a444e" /><Relationship Type="http://schemas.openxmlformats.org/officeDocument/2006/relationships/worksheet" Target="/xl/worksheets/sheet3.xml" Id="R6e77cf142aef415e" /><Relationship Type="http://schemas.openxmlformats.org/officeDocument/2006/relationships/worksheet" Target="/xl/worksheets/sheet4.xml" Id="Ra211e3a3e7b749a4" /><Relationship Type="http://schemas.openxmlformats.org/officeDocument/2006/relationships/worksheet" Target="/xl/worksheets/sheet5.xml" Id="R195097ab205c454d" /><Relationship Type="http://schemas.openxmlformats.org/officeDocument/2006/relationships/worksheet" Target="/xl/worksheets/sheet6.xml" Id="R1e27d86dbaba4bc7" /><Relationship Type="http://schemas.openxmlformats.org/officeDocument/2006/relationships/worksheet" Target="/xl/worksheets/sheet7.xml" Id="Rb9cfe26feb214bf8" /><Relationship Type="http://schemas.openxmlformats.org/officeDocument/2006/relationships/worksheet" Target="/xl/worksheets/sheet8.xml" Id="R03e2b91e9ff04f02" /><Relationship Type="http://schemas.openxmlformats.org/officeDocument/2006/relationships/worksheet" Target="/xl/worksheets/sheet9.xml" Id="Ra78fc327a6314aa6" /><Relationship Type="http://schemas.openxmlformats.org/officeDocument/2006/relationships/worksheet" Target="/xl/worksheets/sheet10.xml" Id="R496d5c0ec7974b0d" /><Relationship Type="http://schemas.openxmlformats.org/officeDocument/2006/relationships/worksheet" Target="/xl/worksheets/sheet11.xml" Id="Rcf43794014604fff" /><Relationship Type="http://schemas.openxmlformats.org/officeDocument/2006/relationships/worksheet" Target="/xl/worksheets/sheet12.xml" Id="R422e8ae070f345fd" /><Relationship Type="http://schemas.openxmlformats.org/officeDocument/2006/relationships/worksheet" Target="/xl/worksheets/sheet13.xml" Id="R9b11588b94774b9a" /><Relationship Type="http://schemas.openxmlformats.org/officeDocument/2006/relationships/worksheet" Target="/xl/worksheets/sheet14.xml" Id="R82d4aafebc9c4e5c" /><Relationship Type="http://schemas.openxmlformats.org/officeDocument/2006/relationships/worksheet" Target="/xl/worksheets/sheet15.xml" Id="R00f5e94c0fb9466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40bcc2fb7384e7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공공데이터 제약 적용 후 거리 변화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B 거리 증분(%)</c:v>
          </c:tx>
          <c:spPr>
            <a:solidFill xmlns:a="http://schemas.openxmlformats.org/drawingml/2006/main">
              <a:srgbClr val="257D76"/>
            </a:solidFill>
          </c:spPr>
          <c:cat>
            <c:strRef>
              <c:f>'요약'!$A$36:$A$45</c:f>
              <c:strCache>
                <c:ptCount val="0"/>
              </c:strCache>
            </c:strRef>
          </c:cat>
          <c:val>
            <c:numRef>
              <c:f>'요약'!$B$36:$B$45</c:f>
              <c:numCache>
                <c:formatCode>0.00"%"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&quot;%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5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40bcc2fb7384e7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c10c8f222f640cc" /></Relationships>
</file>

<file path=xl/worksheets/sheet1.xml><?xml version="1.0" encoding="utf-8"?>
<x:worksheet xmlns:x="http://schemas.openxmlformats.org/spreadsheetml/2006/main">
  <x:sheetPr>
    <x:tabColor rgb="FF173F5F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7" hidden="0" customWidth="1"/>
    <x:col min="2" max="2" width="24" hidden="0" customWidth="1"/>
    <x:col min="3" max="3" width="54" hidden="0" customWidth="1"/>
    <x:col min="4" max="4" width="43" hidden="0" customWidth="1"/>
    <x:col min="5" max="5" width="3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>
      <x:c r="A1" s="67"/>
      <x:c r="B1" s="67"/>
      <x:c r="C1" s="67"/>
      <x:c r="D1" s="67"/>
      <x:c r="E1" s="67"/>
      <x:c r="F1" s="67"/>
      <x:c r="G1" s="67"/>
      <x:c r="H1" s="67"/>
      <x:c r="I1" s="67"/>
      <x:c r="J1" s="67"/>
      <x:c r="K1" s="67"/>
      <x:c r="L1" s="67"/>
      <x:c r="M1" s="67"/>
      <x:c r="N1" s="67"/>
    </x:row>
    <x:row r="2" ht="28" customHeight="1">
      <x:c r="A2" s="271" t="str">
        <x:v>ON:WAY 안양 통합검수 v3</x:v>
      </x:c>
      <x:c r="B2" s="271"/>
      <x:c r="C2" s="271"/>
      <x:c r="D2" s="271"/>
      <x:c r="E2" s="271"/>
      <x:c r="F2" s="271"/>
      <x:c r="G2" s="271"/>
      <x:c r="H2" s="271"/>
      <x:c r="I2" s="67"/>
      <x:c r="J2" s="67"/>
      <x:c r="K2" s="67"/>
      <x:c r="L2" s="67"/>
      <x:c r="M2" s="67"/>
      <x:c r="N2" s="67"/>
    </x:row>
    <x:row r="3" ht="22" customHeight="1">
      <x:c r="A3" s="272" t="str">
        <x:v>판정·경로 구조 수정본 · 2026-09-16 · 사람검수·현장확인 미완료</x:v>
      </x:c>
      <x:c r="B3" s="272"/>
      <x:c r="C3" s="272"/>
      <x:c r="D3" s="272"/>
      <x:c r="E3" s="272"/>
      <x:c r="F3" s="272"/>
      <x:c r="G3" s="272"/>
      <x:c r="H3" s="272"/>
      <x:c r="I3" s="67"/>
      <x:c r="J3" s="67"/>
      <x:c r="K3" s="67"/>
      <x:c r="L3" s="67"/>
      <x:c r="M3" s="67"/>
      <x:c r="N3" s="67"/>
    </x:row>
    <x:row r="4">
      <x:c r="A4" s="273"/>
      <x:c r="B4" s="273"/>
      <x:c r="C4" s="273"/>
      <x:c r="D4" s="273"/>
      <x:c r="E4" s="273"/>
      <x:c r="F4" s="273"/>
      <x:c r="G4" s="273"/>
      <x:c r="H4" s="273"/>
      <x:c r="I4" s="273"/>
      <x:c r="J4" s="273"/>
      <x:c r="K4" s="273"/>
      <x:c r="L4" s="273"/>
      <x:c r="M4" s="273"/>
      <x:c r="N4" s="273"/>
    </x:row>
    <x:row r="5">
      <x:c r="A5" s="67"/>
      <x:c r="B5" s="67"/>
      <x:c r="C5" s="67"/>
      <x:c r="D5" s="67"/>
      <x:c r="E5" s="67"/>
      <x:c r="F5" s="67"/>
      <x:c r="G5" s="67"/>
      <x:c r="H5" s="67"/>
      <x:c r="I5" s="67"/>
      <x:c r="J5" s="67"/>
      <x:c r="K5" s="67"/>
      <x:c r="L5" s="67"/>
      <x:c r="M5" s="67"/>
      <x:c r="N5" s="67"/>
    </x:row>
    <x:row r="6" ht="24" customHeight="1">
      <x:c r="A6" s="136" t="str">
        <x:v>현재 검증 상태</x:v>
      </x:c>
      <x:c r="B6" s="137"/>
      <x:c r="C6" s="274"/>
      <x:c r="D6" s="274"/>
      <x:c r="E6" s="274"/>
      <x:c r="F6" s="274"/>
      <x:c r="G6" s="274"/>
      <x:c r="H6" s="274"/>
      <x:c r="I6" s="67"/>
      <x:c r="J6" s="67"/>
      <x:c r="K6" s="67"/>
      <x:c r="L6" s="67"/>
      <x:c r="M6" s="67"/>
      <x:c r="N6" s="67"/>
    </x:row>
    <x:row r="7" ht="32" customHeight="1">
      <x:c r="A7" s="152" t="str">
        <x:v>지표</x:v>
      </x:c>
      <x:c r="B7" s="153" t="str">
        <x:v>현재값</x:v>
      </x:c>
      <x:c r="C7" s="154" t="str">
        <x:v>정확한 의미</x:v>
      </x:c>
      <x:c r="D7" s="155" t="str">
        <x:v>완료 조건</x:v>
      </x:c>
      <x:c r="E7" s="67"/>
      <x:c r="F7" s="67"/>
      <x:c r="G7" s="67"/>
      <x:c r="H7" s="67"/>
      <x:c r="I7" s="67"/>
      <x:c r="J7" s="67"/>
      <x:c r="K7" s="67"/>
      <x:c r="L7" s="67"/>
      <x:c r="M7" s="67"/>
      <x:c r="N7" s="67"/>
    </x:row>
    <x:row r="8" ht="38" customHeight="1">
      <x:c r="A8" s="160" t="str">
        <x:v>사람 1차 검수</x:v>
      </x:c>
      <x:c r="B8" s="161" t="n">
        <x:f>COUNTIFS('검수 대장'!$S$7:$S$86,"pass")+COUNTIFS('검수 대장'!$S$7:$S$86,"block")+COUNTIFS('검수 대장'!$S$7:$S$86,"unknown")</x:f>
        <x:v>0</x:v>
      </x:c>
      <x:c r="C8" s="109" t="str">
        <x:v>결과 1이 입력된 접근부</x:v>
      </x:c>
      <x:c r="D8" s="162" t="str">
        <x:v>80/80</x:v>
      </x:c>
      <x:c r="E8" s="67"/>
      <x:c r="F8" s="67"/>
      <x:c r="G8" s="67"/>
      <x:c r="H8" s="67"/>
      <x:c r="I8" s="67"/>
      <x:c r="J8" s="67"/>
      <x:c r="K8" s="67"/>
      <x:c r="L8" s="67"/>
      <x:c r="M8" s="67"/>
      <x:c r="N8" s="67"/>
    </x:row>
    <x:row r="9" ht="38" customHeight="1">
      <x:c r="A9" s="160" t="str">
        <x:v>사람 2차 검수</x:v>
      </x:c>
      <x:c r="B9" s="161" t="n">
        <x:f>COUNTIFS('검수 대장'!$Z$7:$Z$86,"pass")+COUNTIFS('검수 대장'!$Z$7:$Z$86,"block")+COUNTIFS('검수 대장'!$Z$7:$Z$86,"unknown")</x:f>
        <x:v>0</x:v>
      </x:c>
      <x:c r="C9" s="109" t="str">
        <x:v>지정 40개 독립 판독</x:v>
      </x:c>
      <x:c r="D9" s="162" t="str">
        <x:v>40/40</x:v>
      </x:c>
      <x:c r="E9" s="67"/>
      <x:c r="F9" s="67"/>
      <x:c r="G9" s="67"/>
      <x:c r="H9" s="67"/>
      <x:c r="I9" s="67"/>
      <x:c r="J9" s="67"/>
      <x:c r="K9" s="67"/>
      <x:c r="L9" s="67"/>
      <x:c r="M9" s="67"/>
      <x:c r="N9" s="67"/>
    </x:row>
    <x:row r="10" ht="38" customHeight="1">
      <x:c r="A10" s="160" t="str">
        <x:v>위치보정 완료</x:v>
      </x:c>
      <x:c r="B10" s="161" t="n">
        <x:f>COUNTIF('위치보정 큐'!$L$7:$L$32,"완료")</x:f>
        <x:v>0</x:v>
      </x:c>
      <x:c r="C10" s="109" t="str">
        <x:v>지오메트리 불일치 후보 26건 중 완료</x:v>
      </x:c>
      <x:c r="D10" s="162" t="str">
        <x:v>26/26</x:v>
      </x:c>
      <x:c r="E10" s="67"/>
      <x:c r="F10" s="67"/>
      <x:c r="G10" s="67"/>
      <x:c r="H10" s="67"/>
      <x:c r="I10" s="67"/>
      <x:c r="J10" s="67"/>
      <x:c r="K10" s="67"/>
      <x:c r="L10" s="67"/>
      <x:c r="M10" s="67"/>
      <x:c r="N10" s="67"/>
    </x:row>
    <x:row r="11" ht="38" customHeight="1">
      <x:c r="A11" s="160" t="str">
        <x:v>네이버 확정 영상</x:v>
      </x:c>
      <x:c r="B11" s="161" t="n">
        <x:f>COUNTIFS('영상 근거'!$C$7:$C$166,"네이버",'영상 근거'!$F$7:$F$166,"&lt;&gt;")</x:f>
        <x:v>0</x:v>
      </x:c>
      <x:c r="C11" s="109" t="str">
        <x:v>좌표 링크는 80개이나 확정 거리뷰 URL·촬영일은 미입력</x:v>
      </x:c>
      <x:c r="D11" s="162" t="str">
        <x:v>80/80</x:v>
      </x:c>
      <x:c r="E11" s="67"/>
      <x:c r="F11" s="67"/>
      <x:c r="G11" s="67"/>
      <x:c r="H11" s="67"/>
      <x:c r="I11" s="67"/>
      <x:c r="J11" s="67"/>
      <x:c r="K11" s="67"/>
      <x:c r="L11" s="67"/>
      <x:c r="M11" s="67"/>
      <x:c r="N11" s="67"/>
    </x:row>
    <x:row r="12" ht="38" customHeight="1">
      <x:c r="A12" s="160" t="str">
        <x:v>현장 확인</x:v>
      </x:c>
      <x:c r="B12" s="161" t="n">
        <x:f>COUNTIF('검수 대장'!$AV$7:$AV$86,"field_verified")</x:f>
        <x:v>0</x:v>
      </x:c>
      <x:c r="C12" s="109" t="str">
        <x:v>층화 현장 파일럿</x:v>
      </x:c>
      <x:c r="D12" s="162" t="str">
        <x:v>최소 10건</x:v>
      </x:c>
      <x:c r="E12" s="67"/>
      <x:c r="F12" s="67"/>
      <x:c r="G12" s="67"/>
      <x:c r="H12" s="67"/>
      <x:c r="I12" s="67"/>
      <x:c r="J12" s="67"/>
      <x:c r="K12" s="67"/>
      <x:c r="L12" s="67"/>
      <x:c r="M12" s="67"/>
      <x:c r="N12" s="67"/>
    </x:row>
    <x:row r="13" ht="38" customHeight="1">
      <x:c r="A13" s="160" t="str">
        <x:v>호계1동 물리 제약 후보</x:v>
      </x:c>
      <x:c r="B13" s="163" t="n">
        <x:v>10</x:v>
      </x:c>
      <x:c r="C13" s="109" t="str">
        <x:v>보도턱낮춤 없음 원자료; 영상·현장 미검증</x:v>
      </x:c>
      <x:c r="D13" s="162" t="str">
        <x:v>우선 3건 확인</x:v>
      </x:c>
      <x:c r="E13" s="67"/>
      <x:c r="F13" s="67"/>
      <x:c r="G13" s="67"/>
      <x:c r="H13" s="67"/>
      <x:c r="I13" s="67"/>
      <x:c r="J13" s="67"/>
      <x:c r="K13" s="67"/>
      <x:c r="L13" s="67"/>
      <x:c r="M13" s="67"/>
      <x:c r="N13" s="67"/>
    </x:row>
    <x:row r="14" ht="38" customHeight="1">
      <x:c r="A14" s="160" t="str">
        <x:v>공식 C 경로</x:v>
      </x:c>
      <x:c r="B14" s="163" t="str">
        <x:v>재계산 대기</x:v>
      </x:c>
      <x:c r="C14" s="109" t="str">
        <x:v>고유 횡단엣지·사람승인 조건 미충족</x:v>
      </x:c>
      <x:c r="D14" s="162" t="str">
        <x:v>모든 Gate 충족</x:v>
      </x:c>
      <x:c r="E14" s="67"/>
      <x:c r="F14" s="67"/>
      <x:c r="G14" s="67"/>
      <x:c r="H14" s="67"/>
      <x:c r="I14" s="67"/>
      <x:c r="J14" s="67"/>
      <x:c r="K14" s="67"/>
      <x:c r="L14" s="67"/>
      <x:c r="M14" s="67"/>
      <x:c r="N14" s="67"/>
    </x:row>
    <x:row r="15">
      <x:c r="A15" s="120"/>
      <x:c r="B15" s="122"/>
      <x:c r="C15" s="67"/>
      <x:c r="D15" s="67"/>
      <x:c r="E15" s="67"/>
      <x:c r="F15" s="67"/>
      <x:c r="G15" s="67"/>
      <x:c r="H15" s="67"/>
      <x:c r="I15" s="67"/>
      <x:c r="J15" s="67"/>
      <x:c r="K15" s="67"/>
      <x:c r="L15" s="67"/>
      <x:c r="M15" s="67"/>
      <x:c r="N15" s="67"/>
    </x:row>
    <x:row r="16" ht="24" customHeight="1">
      <x:c r="A16" s="166" t="str">
        <x:v>이번 수정에서 바로잡은 항목</x:v>
      </x:c>
      <x:c r="B16" s="167"/>
      <x:c r="C16" s="274"/>
      <x:c r="D16" s="274"/>
      <x:c r="E16" s="274"/>
      <x:c r="F16" s="274"/>
      <x:c r="G16" s="274"/>
      <x:c r="H16" s="274"/>
      <x:c r="I16" s="67"/>
      <x:c r="J16" s="67"/>
      <x:c r="K16" s="67"/>
      <x:c r="L16" s="67"/>
      <x:c r="M16" s="67"/>
      <x:c r="N16" s="67"/>
    </x:row>
    <x:row r="17" ht="32" customHeight="1">
      <x:c r="A17" s="176" t="str">
        <x:v>기존 항목</x:v>
      </x:c>
      <x:c r="B17" s="177" t="str">
        <x:v>v3 처리</x:v>
      </x:c>
      <x:c r="C17" s="178" t="str">
        <x:v>제출 가능 표현</x:v>
      </x:c>
      <x:c r="D17" s="179" t="str">
        <x:v>사용 금지 표현</x:v>
      </x:c>
      <x:c r="E17" s="67"/>
      <x:c r="F17" s="67"/>
      <x:c r="G17" s="67"/>
      <x:c r="H17" s="67"/>
      <x:c r="I17" s="67"/>
      <x:c r="J17" s="67"/>
      <x:c r="K17" s="67"/>
      <x:c r="L17" s="67"/>
      <x:c r="M17" s="67"/>
      <x:c r="N17" s="67"/>
    </x:row>
    <x:row r="18" ht="42" customHeight="1">
      <x:c r="A18" s="180" t="str">
        <x:v>점자블록 없음 → 공통 block</x:v>
      </x:c>
      <x:c r="B18" s="183" t="str">
        <x:v>휠체어와 시각장애 후보 분리</x:v>
      </x:c>
      <x:c r="C18" s="109" t="str">
        <x:v>점자 유도 결함 후보</x:v>
      </x:c>
      <x:c r="D18" s="188" t="str">
        <x:v>휠체어 통행불가 확정</x:v>
      </x:c>
      <x:c r="E18" s="67"/>
      <x:c r="F18" s="67"/>
      <x:c r="G18" s="67"/>
      <x:c r="H18" s="67"/>
      <x:c r="I18" s="67"/>
      <x:c r="J18" s="67"/>
      <x:c r="K18" s="67"/>
      <x:c r="L18" s="67"/>
      <x:c r="M18" s="67"/>
      <x:c r="N18" s="67"/>
    </x:row>
    <x:row r="19" ht="42" customHeight="1">
      <x:c r="A19" s="180" t="str">
        <x:v>AI 신뢰도 0.52~0.82</x:v>
      </x:c>
      <x:c r="B19" s="183" t="str">
        <x:v>검수 우선순위 규칙값으로 개명</x:v>
      </x:c>
      <x:c r="C19" s="109" t="str">
        <x:v>규칙 기반 우선순위</x:v>
      </x:c>
      <x:c r="D19" s="188" t="str">
        <x:v>모델 확률·신뢰도</x:v>
      </x:c>
      <x:c r="E19" s="67"/>
      <x:c r="F19" s="67"/>
      <x:c r="G19" s="67"/>
      <x:c r="H19" s="67"/>
      <x:c r="I19" s="67"/>
      <x:c r="J19" s="67"/>
      <x:c r="K19" s="67"/>
      <x:c r="L19" s="67"/>
      <x:c r="M19" s="67"/>
      <x:c r="N19" s="67"/>
    </x:row>
    <x:row r="20" ht="42" customHeight="1">
      <x:c r="A20" s="180" t="str">
        <x:v>κ 0.9065</x:v>
      </x:c>
      <x:c r="B20" s="184" t="str">
        <x:v>동일 AI 절차 재판독 일관성으로 한정</x:v>
      </x:c>
      <x:c r="C20" s="109" t="str">
        <x:v>AI 재판독 일관성</x:v>
      </x:c>
      <x:c r="D20" s="188" t="str">
        <x:v>사람 간 일치도·AI 정확도</x:v>
      </x:c>
      <x:c r="E20" s="67"/>
      <x:c r="F20" s="67"/>
      <x:c r="G20" s="67"/>
      <x:c r="H20" s="67"/>
      <x:c r="I20" s="67"/>
      <x:c r="J20" s="67"/>
      <x:c r="K20" s="67"/>
      <x:c r="L20" s="67"/>
      <x:c r="M20" s="67"/>
      <x:c r="N20" s="67"/>
    </x:row>
    <x:row r="21" ht="42" customHeight="1">
      <x:c r="A21" s="180" t="str">
        <x:v>B 5/10 변경</x:v>
      </x:c>
      <x:c r="B21" s="183" t="str">
        <x:v>구 계산표 사용중지</x:v>
      </x:c>
      <x:c r="C21" s="109" t="str">
        <x:v>공란 가중치 민감도 기록</x:v>
      </x:c>
      <x:c r="D21" s="188" t="str">
        <x:v>공공 장애물 효과</x:v>
      </x:c>
      <x:c r="E21" s="67"/>
      <x:c r="F21" s="67"/>
      <x:c r="G21" s="67"/>
      <x:c r="H21" s="67"/>
      <x:c r="I21" s="67"/>
      <x:c r="J21" s="67"/>
      <x:c r="K21" s="67"/>
      <x:c r="L21" s="67"/>
      <x:c r="M21" s="67"/>
      <x:c r="N21" s="67"/>
    </x:row>
    <x:row r="22" ht="42" customHeight="1">
      <x:c r="A22" s="180" t="str">
        <x:v>C* 최대 44.74%</x:v>
      </x:c>
      <x:c r="B22" s="185" t="str">
        <x:v>구 계산표 사용중지</x:v>
      </x:c>
      <x:c r="C22" s="109" t="str">
        <x:v>구조 오류를 찾은 진단 기록</x:v>
      </x:c>
      <x:c r="D22" s="188" t="str">
        <x:v>접근성 개선 효과</x:v>
      </x:c>
      <x:c r="E22" s="67"/>
      <x:c r="F22" s="67"/>
      <x:c r="G22" s="67"/>
      <x:c r="H22" s="67"/>
      <x:c r="I22" s="67"/>
      <x:c r="J22" s="67"/>
      <x:c r="K22" s="67"/>
      <x:c r="L22" s="67"/>
      <x:c r="M22" s="67"/>
      <x:c r="N22" s="67"/>
    </x:row>
    <x:row r="23" ht="42" customHeight="1">
      <x:c r="A23" s="180" t="str">
        <x:v>OSM 중심선 차단</x:v>
      </x:c>
      <x:c r="B23" s="183" t="str">
        <x:v>고유 횡단엣지 XW_CWxx 설계</x:v>
      </x:c>
      <x:c r="C23" s="109" t="str">
        <x:v>재계산 설계 완료</x:v>
      </x:c>
      <x:c r="D23" s="188" t="str">
        <x:v>안전 경로 구현 완료</x:v>
      </x:c>
      <x:c r="E23" s="67"/>
      <x:c r="F23" s="67"/>
      <x:c r="G23" s="67"/>
      <x:c r="H23" s="67"/>
      <x:c r="I23" s="67"/>
      <x:c r="J23" s="67"/>
      <x:c r="K23" s="67"/>
      <x:c r="L23" s="67"/>
      <x:c r="M23" s="67"/>
      <x:c r="N23" s="67"/>
    </x:row>
    <x:row r="24" ht="42" customHeight="1">
      <x:c r="A24" s="109" t="str">
        <x:v>날짜 일련번호</x:v>
      </x:c>
      <x:c r="B24" s="186" t="str">
        <x:v>yyyy-mm-dd 표시 유지</x:v>
      </x:c>
      <x:c r="C24" s="109" t="str">
        <x:v>정상 날짜 표시</x:v>
      </x:c>
      <x:c r="D24" s="188" t="str">
        <x:v>날짜 데이터 오류</x:v>
      </x:c>
      <x:c r="E24" s="67"/>
      <x:c r="F24" s="67"/>
      <x:c r="G24" s="67"/>
      <x:c r="H24" s="67"/>
      <x:c r="I24" s="67"/>
      <x:c r="J24" s="67"/>
      <x:c r="K24" s="67"/>
      <x:c r="L24" s="67"/>
      <x:c r="M24" s="67"/>
      <x:c r="N24" s="67"/>
    </x:row>
    <x:row r="25">
      <x:c r="A25" s="67"/>
      <x:c r="B25" s="67"/>
      <x:c r="C25" s="67"/>
      <x:c r="D25" s="67"/>
      <x:c r="E25" s="67"/>
      <x:c r="F25" s="67"/>
      <x:c r="G25" s="67"/>
      <x:c r="H25" s="67"/>
      <x:c r="I25" s="67"/>
      <x:c r="J25" s="67"/>
      <x:c r="K25" s="67"/>
      <x:c r="L25" s="67"/>
      <x:c r="M25" s="67"/>
      <x:c r="N25" s="67"/>
    </x:row>
    <x:row r="26" ht="24" customHeight="1">
      <x:c r="A26" s="136" t="str">
        <x:v>제출 판단</x:v>
      </x:c>
      <x:c r="B26" s="190"/>
      <x:c r="C26" s="190"/>
      <x:c r="D26" s="137"/>
      <x:c r="E26" s="274"/>
      <x:c r="F26" s="274"/>
      <x:c r="G26" s="274"/>
      <x:c r="H26" s="274"/>
      <x:c r="I26" s="67"/>
      <x:c r="J26" s="67"/>
      <x:c r="K26" s="67"/>
      <x:c r="L26" s="67"/>
      <x:c r="M26" s="67"/>
      <x:c r="N26" s="67"/>
    </x:row>
    <x:row r="27" ht="32" customHeight="1">
      <x:c r="A27" s="152" t="str">
        <x:v>구분</x:v>
      </x:c>
      <x:c r="B27" s="154" t="str">
        <x:v>상태</x:v>
      </x:c>
      <x:c r="C27" s="154" t="str">
        <x:v>현재 제출 가능 내용</x:v>
      </x:c>
      <x:c r="D27" s="155" t="str">
        <x:v>다음 작업</x:v>
      </x:c>
      <x:c r="E27" s="67"/>
      <x:c r="F27" s="67"/>
      <x:c r="G27" s="67"/>
      <x:c r="H27" s="67"/>
      <x:c r="I27" s="67"/>
      <x:c r="J27" s="67"/>
      <x:c r="K27" s="67"/>
      <x:c r="L27" s="67"/>
      <x:c r="M27" s="67"/>
      <x:c r="N27" s="67"/>
    </x:row>
    <x:row r="28" ht="44" customHeight="1">
      <x:c r="A28" s="127" t="str">
        <x:v>데이터 공백·검수 설계</x:v>
      </x:c>
      <x:c r="B28" s="184" t="str">
        <x:v>사용 가능</x:v>
      </x:c>
      <x:c r="C28" s="127" t="str">
        <x:v>2,728건 품질감사, 40건 표본, 80개 접근부, 승인 절차</x:v>
      </x:c>
      <x:c r="D28" s="127" t="str">
        <x:v>사람검수 결과 추가</x:v>
      </x:c>
      <x:c r="E28" s="67"/>
      <x:c r="F28" s="67"/>
      <x:c r="G28" s="67"/>
      <x:c r="H28" s="67"/>
      <x:c r="I28" s="67"/>
      <x:c r="J28" s="67"/>
      <x:c r="K28" s="67"/>
      <x:c r="L28" s="67"/>
      <x:c r="M28" s="67"/>
      <x:c r="N28" s="67"/>
    </x:row>
    <x:row r="29" ht="44" customHeight="1">
      <x:c r="A29" s="127" t="str">
        <x:v>AI 성능</x:v>
      </x:c>
      <x:c r="B29" s="193" t="str">
        <x:v>증거 부족</x:v>
      </x:c>
      <x:c r="C29" s="127" t="str">
        <x:v>후보 생성·재판독 절차만 설명</x:v>
      </x:c>
      <x:c r="D29" s="127" t="str">
        <x:v>모델·프롬프트 로그와 사람 정답 확보</x:v>
      </x:c>
      <x:c r="E29" s="67"/>
      <x:c r="F29" s="67"/>
      <x:c r="G29" s="67"/>
      <x:c r="H29" s="67"/>
      <x:c r="I29" s="67"/>
      <x:c r="J29" s="67"/>
      <x:c r="K29" s="67"/>
      <x:c r="L29" s="67"/>
      <x:c r="M29" s="67"/>
      <x:c r="N29" s="67"/>
    </x:row>
    <x:row r="30" ht="44" customHeight="1">
      <x:c r="A30" s="127" t="str">
        <x:v>경로 효과</x:v>
      </x:c>
      <x:c r="B30" s="193" t="str">
        <x:v>사용중지</x:v>
      </x:c>
      <x:c r="C30" s="127" t="str">
        <x:v>재설계 필요성과 Gate만 설명</x:v>
      </x:c>
      <x:c r="D30" s="127" t="str">
        <x:v>보도·고유 횡단엣지 그래프 구축 후 재계산</x:v>
      </x:c>
      <x:c r="E30" s="67"/>
      <x:c r="F30" s="67"/>
      <x:c r="G30" s="67"/>
      <x:c r="H30" s="67"/>
      <x:c r="I30" s="67"/>
      <x:c r="J30" s="67"/>
      <x:c r="K30" s="67"/>
      <x:c r="L30" s="67"/>
      <x:c r="M30" s="67"/>
      <x:c r="N30" s="67"/>
    </x:row>
    <x:row r="31">
      <x:c r="A31" s="127"/>
      <x:c r="B31" s="127"/>
      <x:c r="C31" s="127"/>
      <x:c r="D31" s="127"/>
      <x:c r="E31" s="67"/>
      <x:c r="F31" s="67"/>
      <x:c r="G31" s="67"/>
      <x:c r="H31" s="67"/>
      <x:c r="I31" s="67"/>
      <x:c r="J31" s="67"/>
      <x:c r="K31" s="67"/>
      <x:c r="L31" s="67"/>
      <x:c r="M31" s="67"/>
      <x:c r="N31" s="67"/>
    </x:row>
    <x:row r="32">
      <x:c r="A32" s="69" t="str">
        <x:v>작성일</x:v>
      </x:c>
      <x:c r="B32" s="275" t="n">
        <x:v>46281</x:v>
      </x:c>
      <x:c r="C32" s="67"/>
      <x:c r="D32" s="67"/>
      <x:c r="E32" s="67"/>
      <x:c r="F32" s="67"/>
      <x:c r="G32" s="67"/>
      <x:c r="H32" s="67"/>
      <x:c r="I32" s="67"/>
      <x:c r="J32" s="67"/>
      <x:c r="K32" s="67"/>
      <x:c r="L32" s="67"/>
      <x:c r="M32" s="67"/>
      <x:c r="N32" s="67"/>
    </x:row>
    <x:row r="33">
      <x:c r="A33" s="67"/>
      <x:c r="B33" s="67"/>
      <x:c r="C33" s="67"/>
      <x:c r="D33" s="67"/>
      <x:c r="E33" s="67"/>
      <x:c r="F33" s="67"/>
      <x:c r="G33" s="67"/>
      <x:c r="H33" s="67"/>
      <x:c r="I33" s="67"/>
      <x:c r="J33" s="67"/>
      <x:c r="K33" s="67"/>
      <x:c r="L33" s="67"/>
      <x:c r="M33" s="67"/>
      <x:c r="N33" s="67"/>
    </x:row>
    <x:row r="34">
      <x:c r="A34" s="67"/>
      <x:c r="B34" s="67"/>
      <x:c r="C34" s="67"/>
      <x:c r="D34" s="67"/>
      <x:c r="E34" s="67"/>
      <x:c r="F34" s="67"/>
      <x:c r="G34" s="67"/>
      <x:c r="H34" s="67"/>
      <x:c r="I34" s="67"/>
      <x:c r="J34" s="67"/>
      <x:c r="K34" s="67"/>
      <x:c r="L34" s="67"/>
      <x:c r="M34" s="67"/>
      <x:c r="N34" s="67"/>
    </x:row>
    <x:row r="35" ht="30" customHeight="1">
      <x:c r="A35" s="116"/>
      <x:c r="B35" s="117"/>
      <x:c r="C35" s="67"/>
      <x:c r="D35" s="67"/>
      <x:c r="E35" s="67"/>
      <x:c r="F35" s="67"/>
      <x:c r="G35" s="67"/>
      <x:c r="H35" s="67"/>
      <x:c r="I35" s="67"/>
      <x:c r="J35" s="67"/>
      <x:c r="K35" s="67"/>
      <x:c r="L35" s="67"/>
      <x:c r="M35" s="67"/>
      <x:c r="N35" s="67"/>
    </x:row>
    <x:row r="36">
      <x:c r="A36" s="128"/>
      <x:c r="B36" s="129"/>
      <x:c r="C36" s="67"/>
      <x:c r="D36" s="67"/>
      <x:c r="E36" s="67"/>
      <x:c r="F36" s="67"/>
      <x:c r="G36" s="67"/>
      <x:c r="H36" s="67"/>
      <x:c r="I36" s="67"/>
      <x:c r="J36" s="67"/>
      <x:c r="K36" s="67"/>
      <x:c r="L36" s="67"/>
      <x:c r="M36" s="67"/>
      <x:c r="N36" s="67"/>
    </x:row>
    <x:row r="37">
      <x:c r="A37" s="123"/>
      <x:c r="B37" s="124"/>
      <x:c r="C37" s="67"/>
      <x:c r="D37" s="67"/>
      <x:c r="E37" s="67"/>
      <x:c r="F37" s="67"/>
      <x:c r="G37" s="67"/>
      <x:c r="H37" s="67"/>
      <x:c r="I37" s="67"/>
      <x:c r="J37" s="67"/>
      <x:c r="K37" s="67"/>
      <x:c r="L37" s="67"/>
      <x:c r="M37" s="67"/>
      <x:c r="N37" s="67"/>
    </x:row>
    <x:row r="38">
      <x:c r="A38" s="123"/>
      <x:c r="B38" s="124"/>
      <x:c r="C38" s="67"/>
      <x:c r="D38" s="67"/>
      <x:c r="E38" s="67"/>
      <x:c r="F38" s="67"/>
      <x:c r="G38" s="67"/>
      <x:c r="H38" s="67"/>
      <x:c r="I38" s="67"/>
      <x:c r="J38" s="67"/>
      <x:c r="K38" s="67"/>
      <x:c r="L38" s="67"/>
      <x:c r="M38" s="67"/>
      <x:c r="N38" s="67"/>
    </x:row>
    <x:row r="39">
      <x:c r="A39" s="123"/>
      <x:c r="B39" s="124"/>
      <x:c r="C39" s="67"/>
      <x:c r="D39" s="67"/>
      <x:c r="E39" s="67"/>
      <x:c r="F39" s="67"/>
      <x:c r="G39" s="67"/>
      <x:c r="H39" s="67"/>
      <x:c r="I39" s="67"/>
      <x:c r="J39" s="67"/>
      <x:c r="K39" s="67"/>
      <x:c r="L39" s="67"/>
      <x:c r="M39" s="67"/>
      <x:c r="N39" s="67"/>
    </x:row>
    <x:row r="40">
      <x:c r="A40" s="123"/>
      <x:c r="B40" s="124"/>
      <x:c r="C40" s="67"/>
      <x:c r="D40" s="67"/>
      <x:c r="E40" s="67"/>
      <x:c r="F40" s="67"/>
      <x:c r="G40" s="67"/>
      <x:c r="H40" s="67"/>
      <x:c r="I40" s="67"/>
      <x:c r="J40" s="67"/>
      <x:c r="K40" s="67"/>
      <x:c r="L40" s="67"/>
      <x:c r="M40" s="67"/>
      <x:c r="N40" s="67"/>
    </x:row>
    <x:row r="41">
      <x:c r="A41" s="123"/>
      <x:c r="B41" s="124"/>
      <x:c r="C41" s="67"/>
      <x:c r="D41" s="67"/>
      <x:c r="E41" s="67"/>
      <x:c r="F41" s="67"/>
      <x:c r="G41" s="67"/>
      <x:c r="H41" s="67"/>
      <x:c r="I41" s="67"/>
      <x:c r="J41" s="67"/>
      <x:c r="K41" s="67"/>
      <x:c r="L41" s="67"/>
      <x:c r="M41" s="67"/>
      <x:c r="N41" s="67"/>
    </x:row>
    <x:row r="42">
      <x:c r="A42" s="123"/>
      <x:c r="B42" s="124"/>
      <x:c r="C42" s="67"/>
      <x:c r="D42" s="67"/>
      <x:c r="E42" s="67"/>
      <x:c r="F42" s="67"/>
      <x:c r="G42" s="67"/>
      <x:c r="H42" s="67"/>
      <x:c r="I42" s="67"/>
      <x:c r="J42" s="67"/>
      <x:c r="K42" s="67"/>
      <x:c r="L42" s="67"/>
      <x:c r="M42" s="67"/>
      <x:c r="N42" s="67"/>
    </x:row>
    <x:row r="43">
      <x:c r="A43" s="123"/>
      <x:c r="B43" s="124"/>
      <x:c r="C43" s="67"/>
      <x:c r="D43" s="67"/>
      <x:c r="E43" s="67"/>
      <x:c r="F43" s="67"/>
      <x:c r="G43" s="67"/>
      <x:c r="H43" s="67"/>
      <x:c r="I43" s="67"/>
      <x:c r="J43" s="67"/>
      <x:c r="K43" s="67"/>
      <x:c r="L43" s="67"/>
      <x:c r="M43" s="67"/>
      <x:c r="N43" s="67"/>
    </x:row>
    <x:row r="44">
      <x:c r="A44" s="123"/>
      <x:c r="B44" s="124"/>
      <x:c r="C44" s="67"/>
      <x:c r="D44" s="67"/>
      <x:c r="E44" s="67"/>
      <x:c r="F44" s="67"/>
      <x:c r="G44" s="67"/>
      <x:c r="H44" s="67"/>
      <x:c r="I44" s="67"/>
      <x:c r="J44" s="67"/>
      <x:c r="K44" s="67"/>
      <x:c r="L44" s="67"/>
      <x:c r="M44" s="67"/>
      <x:c r="N44" s="67"/>
    </x:row>
    <x:row r="45">
      <x:c r="A45" s="123"/>
      <x:c r="B45" s="124"/>
      <x:c r="C45" s="67"/>
      <x:c r="D45" s="67"/>
      <x:c r="E45" s="67"/>
      <x:c r="F45" s="67"/>
      <x:c r="G45" s="67"/>
      <x:c r="H45" s="67"/>
      <x:c r="I45" s="67"/>
      <x:c r="J45" s="67"/>
      <x:c r="K45" s="67"/>
      <x:c r="L45" s="67"/>
      <x:c r="M45" s="67"/>
      <x:c r="N45" s="67"/>
    </x:row>
    <x:row r="46">
      <x:c r="A46" s="67"/>
      <x:c r="B46" s="67"/>
      <x:c r="C46" s="67"/>
      <x:c r="D46" s="67"/>
      <x:c r="E46" s="67"/>
      <x:c r="F46" s="67"/>
      <x:c r="G46" s="67"/>
      <x:c r="H46" s="67"/>
      <x:c r="I46" s="67"/>
      <x:c r="J46" s="67"/>
      <x:c r="K46" s="67"/>
      <x:c r="L46" s="67"/>
      <x:c r="M46" s="67"/>
      <x:c r="N46" s="67"/>
    </x:row>
    <x:row r="47">
      <x:c r="A47" s="67"/>
      <x:c r="B47" s="67"/>
      <x:c r="C47" s="67"/>
      <x:c r="D47" s="67"/>
      <x:c r="E47" s="67"/>
      <x:c r="F47" s="67"/>
      <x:c r="G47" s="67"/>
      <x:c r="H47" s="67"/>
      <x:c r="I47" s="67"/>
      <x:c r="J47" s="67"/>
      <x:c r="K47" s="67"/>
      <x:c r="L47" s="67"/>
      <x:c r="M47" s="67"/>
      <x:c r="N47" s="67"/>
    </x:row>
    <x:row r="48">
      <x:c r="A48" s="276"/>
      <x:c r="B48" s="276"/>
      <x:c r="C48" s="276"/>
      <x:c r="D48" s="276"/>
      <x:c r="E48" s="67"/>
      <x:c r="F48" s="67"/>
      <x:c r="G48" s="67"/>
      <x:c r="H48" s="67"/>
      <x:c r="I48" s="67"/>
      <x:c r="J48" s="67"/>
      <x:c r="K48" s="67"/>
      <x:c r="L48" s="67"/>
      <x:c r="M48" s="67"/>
      <x:c r="N48" s="67"/>
    </x:row>
    <x:row r="49" ht="26" customHeight="1">
      <x:c r="A49" s="130"/>
      <x:c r="B49" s="130"/>
      <x:c r="C49" s="130"/>
      <x:c r="D49" s="130"/>
      <x:c r="E49" s="67"/>
      <x:c r="F49" s="67"/>
      <x:c r="G49" s="67"/>
      <x:c r="H49" s="67"/>
      <x:c r="I49" s="67"/>
      <x:c r="J49" s="67"/>
      <x:c r="K49" s="67"/>
      <x:c r="L49" s="67"/>
      <x:c r="M49" s="67"/>
      <x:c r="N49" s="67"/>
    </x:row>
    <x:row r="50" ht="34" customHeight="1">
      <x:c r="A50" s="109"/>
      <x:c r="B50" s="111"/>
      <x:c r="C50" s="109"/>
      <x:c r="D50" s="109"/>
      <x:c r="E50" s="67"/>
      <x:c r="F50" s="67"/>
      <x:c r="G50" s="67"/>
      <x:c r="H50" s="67"/>
      <x:c r="I50" s="67"/>
      <x:c r="J50" s="67"/>
      <x:c r="K50" s="67"/>
      <x:c r="L50" s="67"/>
      <x:c r="M50" s="67"/>
      <x:c r="N50" s="67"/>
    </x:row>
    <x:row r="51" ht="34" customHeight="1">
      <x:c r="A51" s="109"/>
      <x:c r="B51" s="111"/>
      <x:c r="C51" s="109"/>
      <x:c r="D51" s="109"/>
      <x:c r="E51" s="67"/>
      <x:c r="F51" s="67"/>
      <x:c r="G51" s="67"/>
      <x:c r="H51" s="67"/>
      <x:c r="I51" s="67"/>
      <x:c r="J51" s="67"/>
      <x:c r="K51" s="67"/>
      <x:c r="L51" s="67"/>
      <x:c r="M51" s="67"/>
      <x:c r="N51" s="67"/>
    </x:row>
    <x:row r="52" ht="34" customHeight="1">
      <x:c r="A52" s="109"/>
      <x:c r="B52" s="111"/>
      <x:c r="C52" s="109"/>
      <x:c r="D52" s="109"/>
      <x:c r="E52" s="67"/>
      <x:c r="F52" s="67"/>
      <x:c r="G52" s="67"/>
      <x:c r="H52" s="67"/>
      <x:c r="I52" s="67"/>
      <x:c r="J52" s="67"/>
      <x:c r="K52" s="67"/>
      <x:c r="L52" s="67"/>
      <x:c r="M52" s="67"/>
      <x:c r="N52" s="67"/>
    </x:row>
    <x:row r="53" ht="34" customHeight="1">
      <x:c r="A53" s="109"/>
      <x:c r="B53" s="111"/>
      <x:c r="C53" s="109"/>
      <x:c r="D53" s="109"/>
      <x:c r="E53" s="67"/>
      <x:c r="F53" s="67"/>
      <x:c r="G53" s="67"/>
      <x:c r="H53" s="67"/>
      <x:c r="I53" s="67"/>
      <x:c r="J53" s="67"/>
      <x:c r="K53" s="67"/>
      <x:c r="L53" s="67"/>
      <x:c r="M53" s="67"/>
      <x:c r="N53" s="67"/>
    </x:row>
    <x:row r="54" ht="34" customHeight="1">
      <x:c r="A54" s="109"/>
      <x:c r="B54" s="111"/>
      <x:c r="C54" s="109"/>
      <x:c r="D54" s="109"/>
      <x:c r="E54" s="67"/>
      <x:c r="F54" s="67"/>
      <x:c r="G54" s="67"/>
      <x:c r="H54" s="67"/>
      <x:c r="I54" s="67"/>
      <x:c r="J54" s="67"/>
      <x:c r="K54" s="67"/>
      <x:c r="L54" s="67"/>
      <x:c r="M54" s="67"/>
      <x:c r="N54" s="67"/>
    </x:row>
    <x:row r="55" ht="34" customHeight="1">
      <x:c r="A55" s="109"/>
      <x:c r="B55" s="111"/>
      <x:c r="C55" s="109"/>
      <x:c r="D55" s="109"/>
      <x:c r="E55" s="67"/>
      <x:c r="F55" s="67"/>
      <x:c r="G55" s="67"/>
      <x:c r="H55" s="67"/>
      <x:c r="I55" s="67"/>
      <x:c r="J55" s="67"/>
      <x:c r="K55" s="67"/>
      <x:c r="L55" s="67"/>
      <x:c r="M55" s="67"/>
      <x:c r="N55" s="67"/>
    </x:row>
    <x:row r="56" ht="34" customHeight="1">
      <x:c r="A56" s="109"/>
      <x:c r="B56" s="111"/>
      <x:c r="C56" s="109"/>
      <x:c r="D56" s="109"/>
      <x:c r="E56" s="67"/>
      <x:c r="F56" s="67"/>
      <x:c r="G56" s="67"/>
      <x:c r="H56" s="67"/>
      <x:c r="I56" s="67"/>
      <x:c r="J56" s="67"/>
      <x:c r="K56" s="67"/>
      <x:c r="L56" s="67"/>
      <x:c r="M56" s="67"/>
      <x:c r="N56" s="67"/>
    </x:row>
    <x:row r="57" ht="34" customHeight="1">
      <x:c r="A57" s="109"/>
      <x:c r="B57" s="112"/>
      <x:c r="C57" s="109"/>
      <x:c r="D57" s="109"/>
      <x:c r="E57" s="67"/>
      <x:c r="F57" s="67"/>
      <x:c r="G57" s="67"/>
      <x:c r="H57" s="67"/>
      <x:c r="I57" s="67"/>
      <x:c r="J57" s="67"/>
      <x:c r="K57" s="67"/>
      <x:c r="L57" s="67"/>
      <x:c r="M57" s="67"/>
      <x:c r="N57" s="67"/>
    </x:row>
    <x:row r="58">
      <x:c r="A58" s="67"/>
      <x:c r="B58" s="67"/>
      <x:c r="C58" s="67"/>
      <x:c r="D58" s="67"/>
      <x:c r="E58" s="67"/>
      <x:c r="F58" s="67"/>
      <x:c r="G58" s="67"/>
      <x:c r="H58" s="67"/>
      <x:c r="I58" s="67"/>
      <x:c r="J58" s="67"/>
      <x:c r="K58" s="67"/>
      <x:c r="L58" s="67"/>
      <x:c r="M58" s="67"/>
      <x:c r="N58" s="67"/>
    </x:row>
    <x:row r="59">
      <x:c r="A59" s="67"/>
      <x:c r="B59" s="67"/>
      <x:c r="C59" s="67"/>
      <x:c r="D59" s="67"/>
      <x:c r="E59" s="67"/>
      <x:c r="F59" s="67"/>
      <x:c r="G59" s="67"/>
      <x:c r="H59" s="67"/>
      <x:c r="I59" s="67"/>
      <x:c r="J59" s="67"/>
      <x:c r="K59" s="67"/>
      <x:c r="L59" s="67"/>
      <x:c r="M59" s="67"/>
      <x:c r="N59" s="67"/>
    </x:row>
    <x:row r="60">
      <x:c r="A60" s="67"/>
      <x:c r="B60" s="67"/>
      <x:c r="C60" s="67"/>
      <x:c r="D60" s="67"/>
      <x:c r="E60" s="67"/>
      <x:c r="F60" s="67"/>
      <x:c r="G60" s="67"/>
      <x:c r="H60" s="67"/>
      <x:c r="I60" s="67"/>
      <x:c r="J60" s="67"/>
      <x:c r="K60" s="67"/>
      <x:c r="L60" s="67"/>
      <x:c r="M60" s="67"/>
      <x:c r="N60" s="67"/>
    </x:row>
    <x:row r="61">
      <x:c r="A61" s="67"/>
      <x:c r="B61" s="67"/>
      <x:c r="C61" s="67"/>
      <x:c r="D61" s="67"/>
      <x:c r="E61" s="67"/>
      <x:c r="F61" s="67"/>
      <x:c r="G61" s="67"/>
      <x:c r="H61" s="67"/>
      <x:c r="I61" s="67"/>
      <x:c r="J61" s="67"/>
      <x:c r="K61" s="67"/>
      <x:c r="L61" s="67"/>
      <x:c r="M61" s="67"/>
      <x:c r="N61" s="67"/>
    </x:row>
    <x:row r="62">
      <x:c r="A62" s="67"/>
      <x:c r="B62" s="67"/>
      <x:c r="C62" s="67"/>
      <x:c r="D62" s="67"/>
      <x:c r="E62" s="67"/>
      <x:c r="F62" s="67"/>
      <x:c r="G62" s="67"/>
      <x:c r="H62" s="67"/>
      <x:c r="I62" s="67"/>
      <x:c r="J62" s="67"/>
      <x:c r="K62" s="67"/>
      <x:c r="L62" s="67"/>
      <x:c r="M62" s="67"/>
      <x:c r="N62" s="67"/>
    </x:row>
    <x:row r="63">
      <x:c r="A63" s="67"/>
      <x:c r="B63" s="67"/>
      <x:c r="C63" s="67"/>
      <x:c r="D63" s="67"/>
      <x:c r="E63" s="67"/>
      <x:c r="F63" s="67"/>
      <x:c r="G63" s="67"/>
      <x:c r="H63" s="67"/>
      <x:c r="I63" s="67"/>
      <x:c r="J63" s="67"/>
      <x:c r="K63" s="67"/>
      <x:c r="L63" s="67"/>
      <x:c r="M63" s="67"/>
      <x:c r="N63" s="67"/>
    </x:row>
    <x:row r="64">
      <x:c r="A64" s="67"/>
      <x:c r="B64" s="67"/>
      <x:c r="C64" s="67"/>
      <x:c r="D64" s="67"/>
      <x:c r="E64" s="67"/>
      <x:c r="F64" s="67"/>
      <x:c r="G64" s="67"/>
      <x:c r="H64" s="67"/>
      <x:c r="I64" s="67"/>
      <x:c r="J64" s="67"/>
      <x:c r="K64" s="67"/>
      <x:c r="L64" s="67"/>
      <x:c r="M64" s="67"/>
      <x:c r="N64" s="67"/>
    </x:row>
    <x:row r="65">
      <x:c r="A65" s="67"/>
      <x:c r="B65" s="67"/>
      <x:c r="C65" s="67"/>
      <x:c r="D65" s="67"/>
      <x:c r="E65" s="67"/>
      <x:c r="F65" s="67"/>
      <x:c r="G65" s="67"/>
      <x:c r="H65" s="67"/>
      <x:c r="I65" s="67"/>
      <x:c r="J65" s="67"/>
      <x:c r="K65" s="67"/>
      <x:c r="L65" s="67"/>
      <x:c r="M65" s="67"/>
      <x:c r="N65" s="67"/>
    </x:row>
    <x:row r="66">
      <x:c r="A66" s="67"/>
      <x:c r="B66" s="67"/>
      <x:c r="C66" s="67"/>
      <x:c r="D66" s="67"/>
      <x:c r="E66" s="67"/>
      <x:c r="F66" s="67"/>
      <x:c r="G66" s="67"/>
      <x:c r="H66" s="67"/>
      <x:c r="I66" s="67"/>
      <x:c r="J66" s="67"/>
      <x:c r="K66" s="67"/>
      <x:c r="L66" s="67"/>
      <x:c r="M66" s="67"/>
      <x:c r="N66" s="67"/>
    </x:row>
    <x:row r="67">
      <x:c r="A67" s="67"/>
      <x:c r="B67" s="67"/>
      <x:c r="C67" s="67"/>
      <x:c r="D67" s="67"/>
      <x:c r="E67" s="67"/>
      <x:c r="F67" s="67"/>
      <x:c r="G67" s="67"/>
      <x:c r="H67" s="67"/>
      <x:c r="I67" s="67"/>
      <x:c r="J67" s="67"/>
      <x:c r="K67" s="67"/>
      <x:c r="L67" s="67"/>
      <x:c r="M67" s="67"/>
      <x:c r="N67" s="67"/>
    </x:row>
    <x:row r="68">
      <x:c r="A68" s="67"/>
      <x:c r="B68" s="67"/>
      <x:c r="C68" s="67"/>
      <x:c r="D68" s="67"/>
      <x:c r="E68" s="67"/>
      <x:c r="F68" s="67"/>
      <x:c r="G68" s="67"/>
      <x:c r="H68" s="67"/>
      <x:c r="I68" s="67"/>
      <x:c r="J68" s="67"/>
      <x:c r="K68" s="67"/>
      <x:c r="L68" s="67"/>
      <x:c r="M68" s="67"/>
      <x:c r="N68" s="67"/>
    </x:row>
    <x:row r="69">
      <x:c r="A69" s="67"/>
      <x:c r="B69" s="67"/>
      <x:c r="C69" s="67"/>
      <x:c r="D69" s="67"/>
      <x:c r="E69" s="67"/>
      <x:c r="F69" s="67"/>
      <x:c r="G69" s="67"/>
      <x:c r="H69" s="67"/>
      <x:c r="I69" s="67"/>
      <x:c r="J69" s="67"/>
      <x:c r="K69" s="67"/>
      <x:c r="L69" s="67"/>
      <x:c r="M69" s="67"/>
      <x:c r="N69" s="67"/>
    </x:row>
    <x:row r="70">
      <x:c r="A70" s="67"/>
      <x:c r="B70" s="67"/>
      <x:c r="C70" s="67"/>
      <x:c r="D70" s="67"/>
      <x:c r="E70" s="67"/>
      <x:c r="F70" s="67"/>
      <x:c r="G70" s="67"/>
      <x:c r="H70" s="67"/>
      <x:c r="I70" s="67"/>
      <x:c r="J70" s="67"/>
      <x:c r="K70" s="67"/>
      <x:c r="L70" s="67"/>
      <x:c r="M70" s="67"/>
      <x:c r="N70" s="67"/>
    </x:row>
    <x:row r="71">
      <x:c r="A71" s="67"/>
      <x:c r="B71" s="67"/>
      <x:c r="C71" s="67"/>
      <x:c r="D71" s="67"/>
      <x:c r="E71" s="67"/>
      <x:c r="F71" s="67"/>
      <x:c r="G71" s="67"/>
      <x:c r="H71" s="67"/>
      <x:c r="I71" s="67"/>
      <x:c r="J71" s="67"/>
      <x:c r="K71" s="67"/>
      <x:c r="L71" s="67"/>
      <x:c r="M71" s="67"/>
      <x:c r="N71" s="67"/>
    </x:row>
    <x:row r="72">
      <x:c r="A72" s="67"/>
      <x:c r="B72" s="67"/>
      <x:c r="C72" s="67"/>
      <x:c r="D72" s="67"/>
      <x:c r="E72" s="67"/>
      <x:c r="F72" s="67"/>
      <x:c r="G72" s="67"/>
      <x:c r="H72" s="67"/>
      <x:c r="I72" s="67"/>
      <x:c r="J72" s="67"/>
      <x:c r="K72" s="67"/>
      <x:c r="L72" s="67"/>
      <x:c r="M72" s="67"/>
      <x:c r="N72" s="67"/>
    </x:row>
    <x:row r="73">
      <x:c r="A73" s="67"/>
      <x:c r="B73" s="67"/>
      <x:c r="C73" s="67"/>
      <x:c r="D73" s="67"/>
      <x:c r="E73" s="67"/>
      <x:c r="F73" s="67"/>
      <x:c r="G73" s="67"/>
      <x:c r="H73" s="67"/>
      <x:c r="I73" s="67"/>
      <x:c r="J73" s="67"/>
      <x:c r="K73" s="67"/>
      <x:c r="L73" s="67"/>
      <x:c r="M73" s="67"/>
      <x:c r="N73" s="67"/>
    </x:row>
    <x:row r="74">
      <x:c r="A74" s="67"/>
      <x:c r="B74" s="67"/>
      <x:c r="C74" s="67"/>
      <x:c r="D74" s="67"/>
      <x:c r="E74" s="67"/>
      <x:c r="F74" s="67"/>
      <x:c r="G74" s="67"/>
      <x:c r="H74" s="67"/>
      <x:c r="I74" s="67"/>
      <x:c r="J74" s="67"/>
      <x:c r="K74" s="67"/>
      <x:c r="L74" s="67"/>
      <x:c r="M74" s="67"/>
      <x:c r="N74" s="67"/>
    </x:row>
    <x:row r="75">
      <x:c r="A75" s="67"/>
      <x:c r="B75" s="67"/>
      <x:c r="C75" s="67"/>
      <x:c r="D75" s="67"/>
      <x:c r="E75" s="67"/>
      <x:c r="F75" s="67"/>
      <x:c r="G75" s="67"/>
      <x:c r="H75" s="67"/>
      <x:c r="I75" s="67"/>
      <x:c r="J75" s="67"/>
      <x:c r="K75" s="67"/>
      <x:c r="L75" s="67"/>
      <x:c r="M75" s="67"/>
      <x:c r="N75" s="67"/>
    </x:row>
    <x:row r="76">
      <x:c r="A76" s="67"/>
      <x:c r="B76" s="67"/>
      <x:c r="C76" s="67"/>
      <x:c r="D76" s="67"/>
      <x:c r="E76" s="67"/>
      <x:c r="F76" s="67"/>
      <x:c r="G76" s="67"/>
      <x:c r="H76" s="67"/>
      <x:c r="I76" s="67"/>
      <x:c r="J76" s="67"/>
      <x:c r="K76" s="67"/>
      <x:c r="L76" s="67"/>
      <x:c r="M76" s="67"/>
      <x:c r="N76" s="67"/>
    </x:row>
    <x:row r="77">
      <x:c r="A77" s="67"/>
      <x:c r="B77" s="67"/>
      <x:c r="C77" s="67"/>
      <x:c r="D77" s="67"/>
      <x:c r="E77" s="67"/>
      <x:c r="F77" s="67"/>
      <x:c r="G77" s="67"/>
      <x:c r="H77" s="67"/>
      <x:c r="I77" s="67"/>
      <x:c r="J77" s="67"/>
      <x:c r="K77" s="67"/>
      <x:c r="L77" s="67"/>
      <x:c r="M77" s="67"/>
      <x:c r="N77" s="67"/>
    </x:row>
    <x:row r="78">
      <x:c r="A78" s="67"/>
      <x:c r="B78" s="67"/>
      <x:c r="C78" s="67"/>
      <x:c r="D78" s="67"/>
      <x:c r="E78" s="67"/>
      <x:c r="F78" s="67"/>
      <x:c r="G78" s="67"/>
      <x:c r="H78" s="67"/>
      <x:c r="I78" s="67"/>
      <x:c r="J78" s="67"/>
      <x:c r="K78" s="67"/>
      <x:c r="L78" s="67"/>
      <x:c r="M78" s="67"/>
      <x:c r="N78" s="67"/>
    </x:row>
    <x:row r="79">
      <x:c r="A79" s="67"/>
      <x:c r="B79" s="67"/>
      <x:c r="C79" s="67"/>
      <x:c r="D79" s="67"/>
      <x:c r="E79" s="67"/>
      <x:c r="F79" s="67"/>
      <x:c r="G79" s="67"/>
      <x:c r="H79" s="67"/>
      <x:c r="I79" s="67"/>
      <x:c r="J79" s="67"/>
      <x:c r="K79" s="67"/>
      <x:c r="L79" s="67"/>
      <x:c r="M79" s="67"/>
      <x:c r="N79" s="67"/>
    </x:row>
    <x:row r="80">
      <x:c r="A80" s="67"/>
      <x:c r="B80" s="67"/>
      <x:c r="C80" s="67"/>
      <x:c r="D80" s="67"/>
      <x:c r="E80" s="67"/>
      <x:c r="F80" s="67"/>
      <x:c r="G80" s="67"/>
      <x:c r="H80" s="67"/>
      <x:c r="I80" s="67"/>
      <x:c r="J80" s="67"/>
      <x:c r="K80" s="67"/>
      <x:c r="L80" s="67"/>
      <x:c r="M80" s="67"/>
      <x:c r="N80" s="67"/>
    </x:row>
  </x:sheetData>
  <x:conditionalFormatting sqref="B17:B19">
    <x:cfRule type="cellIs" dxfId="0" priority="1" operator="equal">
      <x:formula>0</x:formula>
    </x:cfRule>
  </x:conditionalFormatting>
  <x:conditionalFormatting sqref="B13:B13">
    <x:cfRule type="cellIs" dxfId="1" priority="2" operator="greaterThan">
      <x:formula>0</x:formula>
    </x:cfRule>
  </x:conditionalFormatting>
  <x:conditionalFormatting sqref="C29:C31">
    <x:cfRule type="containsText" dxfId="2" priority="3" operator="containsText" text="0/"/>
  </x:conditionalFormatting>
  <x:pageMargins left="0.7" right="0.7" top="0.75" bottom="0.75" header="0.3" footer="0.3"/>
  <x:drawing xmlns:r="http://schemas.openxmlformats.org/officeDocument/2006/relationships" r:id="R1c10c8f222f640cc"/>
</x:worksheet>
</file>

<file path=xl/worksheets/sheet2.xml><?xml version="1.0" encoding="utf-8"?>
<x:worksheet xmlns:x="http://schemas.openxmlformats.org/spreadsheetml/2006/main">
  <x:sheetPr>
    <x:tabColor rgb="FF6B4EFF"/>
  </x:sheetPr>
  <x:sheetViews>
    <x:sheetView showGridLines="0" workbookViewId="0">
      <x:pane xSplit="4" ySplit="6" topLeftCell="E7" activePane="bottomRight" state="frozen"/>
    </x:sheetView>
  </x:sheetViews>
  <x:sheetFormatPr defaultRowHeight="15"/>
  <x:cols>
    <x:col min="1" max="1" width="15" hidden="0" customWidth="1"/>
    <x:col min="2" max="2" width="10" hidden="0" customWidth="1"/>
    <x:col min="3" max="3" width="7" hidden="0" customWidth="1"/>
    <x:col min="4" max="4" width="13" hidden="0" customWidth="1"/>
    <x:col min="5" max="5" width="20" hidden="0" customWidth="1"/>
    <x:col min="6" max="6" width="15" hidden="0" customWidth="1"/>
    <x:col min="7" max="7" width="48" hidden="0" customWidth="1"/>
    <x:col min="8" max="8" width="55" hidden="0" customWidth="1"/>
    <x:col min="9" max="9" width="22" hidden="0" customWidth="1"/>
    <x:col min="10" max="10" width="12" hidden="0" customWidth="1"/>
    <x:col min="11" max="11" width="12" hidden="0" customWidth="1"/>
    <x:col min="12" max="12" width="13" hidden="0" customWidth="1"/>
    <x:col min="13" max="13" width="18" hidden="0" customWidth="1"/>
    <x:col min="14" max="14" width="20" hidden="0" customWidth="1"/>
    <x:col min="15" max="15" width="42" hidden="0" customWidth="1"/>
    <x:col min="16" max="16" width="22" hidden="0" customWidth="1"/>
    <x:col min="17" max="17" width="12" hidden="0" customWidth="1"/>
    <x:col min="18" max="18" width="12" hidden="0" customWidth="1"/>
    <x:col min="19" max="19" width="13" hidden="0" customWidth="1"/>
    <x:col min="20" max="20" width="18" hidden="0" customWidth="1"/>
    <x:col min="21" max="21" width="20" hidden="0" customWidth="1"/>
    <x:col min="22" max="22" width="42" hidden="0" customWidth="1"/>
    <x:col min="23" max="23" width="13" hidden="0" customWidth="1"/>
    <x:col min="24" max="24" width="14" hidden="0" customWidth="1"/>
    <x:col min="25" max="25" width="20" hidden="0" customWidth="1"/>
    <x:col min="26" max="26" width="23" hidden="0" customWidth="1"/>
    <x:col min="27" max="27" width="45" hidden="0" customWidth="1"/>
    <x:col min="28" max="28" width="30" hidden="0" customWidth="1"/>
    <x:col min="29" max="29" width="18" hidden="0" customWidth="1"/>
    <x:col min="30" max="30" width="13" hidden="0" customWidth="1"/>
    <x:col min="31" max="31" width="13" hidden="0" customWidth="1"/>
    <x:col min="32" max="32" width="22" hidden="0" customWidth="1"/>
    <x:col min="33" max="33" width="23" hidden="0" customWidth="1"/>
    <x:col min="34" max="34" width="23" hidden="0" customWidth="1"/>
    <x:col min="35" max="35" width="16" hidden="0" customWidth="1"/>
    <x:col min="36" max="36" width="16" hidden="0" customWidth="1"/>
    <x:col min="37" max="37" width="28" hidden="0" customWidth="1"/>
    <x:col min="38" max="38" width="50" hidden="0" customWidth="1"/>
  </x:cols>
  <x:sheetData>
    <x:row r="1">
      <x:c r="A1" s="39"/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  <x:c r="AA1" s="39"/>
      <x:c r="AB1" s="39"/>
      <x:c r="AC1" s="39"/>
      <x:c r="AD1" s="39"/>
      <x:c r="AE1" s="39"/>
      <x:c r="AF1" s="39"/>
    </x:row>
    <x:row r="2" ht="22" customHeight="1">
      <x:c r="A2" s="1" t="str">
        <x:v>AI 사전판독 원기록 + 프로필별 수정 판정</x:v>
      </x:c>
    </x:row>
    <x:row r="3" ht="22" customHeight="1">
      <x:c r="A3" s="2" t="str">
        <x:v>A:AF는 기존 원기록입니다. 기존 결합 pass/block은 경로에 사용하지 않으며, AG:AL의 프로필별 후보를 사용합니다.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  <x:c r="AA4" s="3"/>
      <x:c r="AB4" s="3"/>
      <x:c r="AC4" s="3"/>
      <x:c r="AD4" s="3"/>
      <x:c r="AE4" s="3"/>
      <x:c r="AF4" s="3"/>
    </x:row>
    <x:row r="5">
      <x:c r="A5" s="2" t="str">
        <x:v>수정 규칙: 점자블록 부재는 휠체어 하드차단이 아님 · 공사 후보는 시간제 · 위치/가림/시야 문제는 unknown 유지 · 사람 승인 전 경로 미반영</x:v>
      </x:c>
    </x:row>
    <x:row r="6" ht="32" customHeight="1">
      <x:c r="A6" s="12" t="str">
        <x:v>접근부 ID</x:v>
      </x:c>
      <x:c r="B6" s="34" t="str">
        <x:v>표본 ID</x:v>
      </x:c>
      <x:c r="C6" s="34" t="str">
        <x:v>측면</x:v>
      </x:c>
      <x:c r="D6" s="34" t="str">
        <x:v>반복판독 대상</x:v>
      </x:c>
      <x:c r="E6" s="34" t="str">
        <x:v>촬영일시</x:v>
      </x:c>
      <x:c r="F6" s="34" t="str">
        <x:v>촬영점 거리(m)</x:v>
      </x:c>
      <x:c r="G6" s="34" t="str">
        <x:v>로드뷰 링크</x:v>
      </x:c>
      <x:c r="H6" s="34" t="str">
        <x:v>해결된 로드뷰 URL</x:v>
      </x:c>
      <x:c r="I6" s="34" t="str">
        <x:v>AI 판독자 1</x:v>
      </x:c>
      <x:c r="J6" s="34" t="str">
        <x:v>판독일 1</x:v>
      </x:c>
      <x:c r="K6" s="34" t="str">
        <x:v>보도턱 1</x:v>
      </x:c>
      <x:c r="L6" s="34" t="str">
        <x:v>점자블록 1</x:v>
      </x:c>
      <x:c r="M6" s="34" t="str">
        <x:v>장애물 1</x:v>
      </x:c>
      <x:c r="N6" s="34" t="str">
        <x:v>기존 결합 결과 1(사용중지)</x:v>
      </x:c>
      <x:c r="O6" s="34" t="str">
        <x:v>메모 1</x:v>
      </x:c>
      <x:c r="P6" s="34" t="str">
        <x:v>AI 판독자 2</x:v>
      </x:c>
      <x:c r="Q6" s="34" t="str">
        <x:v>판독일 2</x:v>
      </x:c>
      <x:c r="R6" s="34" t="str">
        <x:v>보도턱 2</x:v>
      </x:c>
      <x:c r="S6" s="34" t="str">
        <x:v>점자블록 2</x:v>
      </x:c>
      <x:c r="T6" s="34" t="str">
        <x:v>장애물 2</x:v>
      </x:c>
      <x:c r="U6" s="34" t="str">
        <x:v>기존 결합 결과 2(사용중지)</x:v>
      </x:c>
      <x:c r="V6" s="34" t="str">
        <x:v>메모 2</x:v>
      </x:c>
      <x:c r="W6" s="34" t="str">
        <x:v>최종 보도턱</x:v>
      </x:c>
      <x:c r="X6" s="34" t="str">
        <x:v>최종 점자블록</x:v>
      </x:c>
      <x:c r="Y6" s="34" t="str">
        <x:v>최종 장애물</x:v>
      </x:c>
      <x:c r="Z6" s="34" t="str">
        <x:v>기존 결합 최종결과(사용중지)</x:v>
      </x:c>
      <x:c r="AA6" s="34" t="str">
        <x:v>최종 메모</x:v>
      </x:c>
      <x:c r="AB6" s="34" t="str">
        <x:v>AI 후보 라벨</x:v>
      </x:c>
      <x:c r="AC6" s="201" t="str">
        <x:v>검수 우선순위 점수(규칙값)</x:v>
      </x:c>
      <x:c r="AD6" s="34" t="str">
        <x:v>사람검수 필요</x:v>
      </x:c>
      <x:c r="AE6" s="34" t="str">
        <x:v>AI 사람승인</x:v>
      </x:c>
      <x:c r="AF6" s="13" t="str">
        <x:v>공식 C 반영</x:v>
      </x:c>
      <x:c r="AG6" s="197" t="str">
        <x:v>휠체어 판정 후보</x:v>
      </x:c>
      <x:c r="AH6" s="198" t="str">
        <x:v>시각장애 판정 후보</x:v>
      </x:c>
      <x:c r="AI6" s="198" t="str">
        <x:v>하드차단 가능</x:v>
      </x:c>
      <x:c r="AJ6" s="198" t="str">
        <x:v>시간성</x:v>
      </x:c>
      <x:c r="AK6" s="198" t="str">
        <x:v>제출 사용</x:v>
      </x:c>
      <x:c r="AL6" s="199" t="str">
        <x:v>수정 근거</x:v>
      </x:c>
    </x:row>
    <x:row r="7" ht="34" customHeight="1">
      <x:c r="A7" s="36" t="str">
        <x:v>CW01-A</x:v>
      </x:c>
      <x:c r="B7" s="36" t="str">
        <x:v>CW01</x:v>
      </x:c>
      <x:c r="C7" s="36" t="str">
        <x:v>A</x:v>
      </x:c>
      <x:c r="D7" s="36" t="str">
        <x:v>Y</x:v>
      </x:c>
      <x:c r="E7" s="36" t="str">
        <x:v>2025-11-17 14:28:24</x:v>
      </x:c>
      <x:c r="F7" s="41" t="n">
        <x:v>12.5</x:v>
      </x:c>
      <x:c r="G7" s="36" t="str">
        <x:v>https://map.kakao.com/link/roadview/37.4024015,126.9226461</x:v>
      </x:c>
      <x:c r="H7" s="36" t="str">
        <x:v>https://map.kakao.com/?panoid=1202971200&amp;pan=327.8&amp;zoom=0&amp;map_type=TYPE_MAP&amp;map_attribute=ROADVIEW&amp;urlX=482904.0&amp;urlY=1084204.0</x:v>
      </x:c>
      <x:c r="I7" s="36" t="str">
        <x:v>Codex_AI_precheck_1</x:v>
      </x:c>
      <x:c r="J7" s="36" t="str">
        <x:v>2026-09-15</x:v>
      </x:c>
      <x:c r="K7" s="36" t="str">
        <x:v>있음</x:v>
      </x:c>
      <x:c r="L7" s="36" t="str">
        <x:v>없음</x:v>
      </x:c>
      <x:c r="M7" s="36" t="str">
        <x:v>없음</x:v>
      </x:c>
      <x:c r="N7" s="36" t="str">
        <x:v>block</x:v>
      </x:c>
      <x:c r="O7" s="36" t="str">
        <x:v>횡단 지점은 보이지만 점자블록이 보이지 않음</x:v>
      </x:c>
      <x:c r="P7" s="36" t="str">
        <x:v>Codex_AI_precheck_2</x:v>
      </x:c>
      <x:c r="Q7" s="36" t="str">
        <x:v>2026-09-15</x:v>
      </x:c>
      <x:c r="R7" s="36" t="str">
        <x:v>있음</x:v>
      </x:c>
      <x:c r="S7" s="36" t="str">
        <x:v>없음</x:v>
      </x:c>
      <x:c r="T7" s="36" t="str">
        <x:v>없음</x:v>
      </x:c>
      <x:c r="U7" s="36" t="str">
        <x:v>block</x:v>
      </x:c>
      <x:c r="V7" s="36" t="str">
        <x:v>역순·착지부 중심 재판독에서도 점자블록 부재 후보</x:v>
      </x:c>
      <x:c r="W7" s="36" t="str">
        <x:v>있음</x:v>
      </x:c>
      <x:c r="X7" s="36" t="str">
        <x:v>없음</x:v>
      </x:c>
      <x:c r="Y7" s="36" t="str">
        <x:v>없음</x:v>
      </x:c>
      <x:c r="Z7" s="204" t="str">
        <x:v>block</x:v>
      </x:c>
      <x:c r="AA7" s="36" t="str">
        <x:v>횡단 지점은 보이지만 점자블록이 보이지 않음</x:v>
      </x:c>
      <x:c r="AB7" s="36" t="str">
        <x:v>tactile_absent_candidate</x:v>
      </x:c>
      <x:c r="AC7" s="202" t="n">
        <x:v>0.76</x:v>
      </x:c>
      <x:c r="AD7" s="36" t="str">
        <x:v>Y</x:v>
      </x:c>
      <x:c r="AE7" s="43" t="str"/>
      <x:c r="AF7" s="36" t="str">
        <x:v>미반영(사람 승인 전)</x:v>
      </x:c>
      <x:c r="AG7" s="109" t="str">
        <x:v>점자 사유 차단 아님</x:v>
      </x:c>
      <x:c r="AH7" s="109" t="str">
        <x:v>점자 유도 결함 후보</x:v>
      </x:c>
      <x:c r="AI7" s="109" t="str">
        <x:v>N</x:v>
      </x:c>
      <x:c r="AJ7" s="109" t="str">
        <x:v>정적 후보</x:v>
      </x:c>
      <x:c r="AK7" s="109" t="str">
        <x:v>사람검수 전 후보</x:v>
      </x:c>
      <x:c r="AL7" s="109" t="str">
        <x:v>점자블록 부재는 휠체어 하드차단 기준이 아님</x:v>
      </x:c>
    </x:row>
    <x:row r="8" ht="34" customHeight="1">
      <x:c r="A8" s="37" t="str">
        <x:v>CW01-B</x:v>
      </x:c>
      <x:c r="B8" s="37" t="str">
        <x:v>CW01</x:v>
      </x:c>
      <x:c r="C8" s="37" t="str">
        <x:v>B</x:v>
      </x:c>
      <x:c r="D8" s="37" t="str">
        <x:v>Y</x:v>
      </x:c>
      <x:c r="E8" s="37" t="str">
        <x:v>2025-11-17 14:28:24</x:v>
      </x:c>
      <x:c r="F8" s="42" t="n">
        <x:v>3.44</x:v>
      </x:c>
      <x:c r="G8" s="37" t="str">
        <x:v>https://map.kakao.com/link/roadview/37.4024484,126.9227305</x:v>
      </x:c>
      <x:c r="H8" s="37" t="str">
        <x:v>https://map.kakao.com/?panoid=1202971200&amp;pan=327.8&amp;zoom=0&amp;map_type=TYPE_MAP&amp;map_attribute=ROADVIEW&amp;urlX=482904.0&amp;urlY=1084204.0</x:v>
      </x:c>
      <x:c r="I8" s="37" t="str">
        <x:v>Codex_AI_precheck_1</x:v>
      </x:c>
      <x:c r="J8" s="37" t="str">
        <x:v>2026-09-15</x:v>
      </x:c>
      <x:c r="K8" s="37" t="str">
        <x:v>판독불가</x:v>
      </x:c>
      <x:c r="L8" s="37" t="str">
        <x:v>판독불가</x:v>
      </x:c>
      <x:c r="M8" s="37" t="str">
        <x:v>시야불충분</x:v>
      </x:c>
      <x:c r="N8" s="37" t="str">
        <x:v>unknown</x:v>
      </x:c>
      <x:c r="O8" s="37" t="str">
        <x:v>착지부가 카메라 직하부·화면 밖에 있어 핵심 시설을 확인할 수 없음</x:v>
      </x:c>
      <x:c r="P8" s="37" t="str">
        <x:v>Codex_AI_precheck_2</x:v>
      </x:c>
      <x:c r="Q8" s="37" t="str">
        <x:v>2026-09-15</x:v>
      </x:c>
      <x:c r="R8" s="37" t="str">
        <x:v>판독불가</x:v>
      </x:c>
      <x:c r="S8" s="37" t="str">
        <x:v>판독불가</x:v>
      </x:c>
      <x:c r="T8" s="37" t="str">
        <x:v>시야불충분</x:v>
      </x:c>
      <x:c r="U8" s="37" t="str">
        <x:v>unknown</x:v>
      </x:c>
      <x:c r="V8" s="37" t="str">
        <x:v>착지부가 카메라 직하부·화면 밖에 있어 핵심 시설을 확인할 수 없음</x:v>
      </x:c>
      <x:c r="W8" s="37" t="str">
        <x:v>판독불가</x:v>
      </x:c>
      <x:c r="X8" s="37" t="str">
        <x:v>판독불가</x:v>
      </x:c>
      <x:c r="Y8" s="37" t="str">
        <x:v>시야불충분</x:v>
      </x:c>
      <x:c r="Z8" s="205" t="str">
        <x:v>unknown</x:v>
      </x:c>
      <x:c r="AA8" s="37" t="str">
        <x:v>착지부가 카메라 직하부·화면 밖에 있어 핵심 시설을 확인할 수 없음</x:v>
      </x:c>
      <x:c r="AB8" s="37" t="str">
        <x:v>visibility_review_needed</x:v>
      </x:c>
      <x:c r="AC8" s="203" t="n">
        <x:v>0.52</x:v>
      </x:c>
      <x:c r="AD8" s="37" t="str">
        <x:v>Y</x:v>
      </x:c>
      <x:c r="AE8" s="44" t="str"/>
      <x:c r="AF8" s="37" t="str">
        <x:v>미반영(사람 승인 전)</x:v>
      </x:c>
      <x:c r="AG8" s="109" t="str">
        <x:v>시야 부족·판독보류</x:v>
      </x:c>
      <x:c r="AH8" s="109" t="str">
        <x:v>시야 부족·판독보류</x:v>
      </x:c>
      <x:c r="AI8" s="109" t="str">
        <x:v>N</x:v>
      </x:c>
      <x:c r="AJ8" s="109" t="str">
        <x:v>재관측 필요</x:v>
      </x:c>
      <x:c r="AK8" s="109" t="str">
        <x:v>사람검수 전 후보</x:v>
      </x:c>
      <x:c r="AL8" s="109" t="str">
        <x:v>식별 불가를 차단 또는 통과로 치환하지 않음</x:v>
      </x:c>
    </x:row>
    <x:row r="9" ht="34" customHeight="1">
      <x:c r="A9" s="37" t="str">
        <x:v>CW02-A</x:v>
      </x:c>
      <x:c r="B9" s="37" t="str">
        <x:v>CW02</x:v>
      </x:c>
      <x:c r="C9" s="37" t="str">
        <x:v>A</x:v>
      </x:c>
      <x:c r="D9" s="37" t="str">
        <x:v>N</x:v>
      </x:c>
      <x:c r="E9" s="37" t="str">
        <x:v>2025-12-01 13:09:30</x:v>
      </x:c>
      <x:c r="F9" s="42" t="n">
        <x:v>18.01</x:v>
      </x:c>
      <x:c r="G9" s="37" t="str">
        <x:v>https://map.kakao.com/link/roadview/37.4022411,126.9216533</x:v>
      </x:c>
      <x:c r="H9" s="37" t="str">
        <x:v>https://map.kakao.com/?panoid=1203476225&amp;pan=326.4&amp;zoom=0&amp;map_type=TYPE_MAP&amp;map_attribute=ROADVIEW&amp;urlX=482616.0&amp;urlY=1084126.0</x:v>
      </x:c>
      <x:c r="I9" s="37" t="str">
        <x:v>Codex_AI_precheck_1</x:v>
      </x:c>
      <x:c r="J9" s="37" t="str">
        <x:v>2026-09-15</x:v>
      </x:c>
      <x:c r="K9" s="37" t="str">
        <x:v>판독불가</x:v>
      </x:c>
      <x:c r="L9" s="37" t="str">
        <x:v>판독불가</x:v>
      </x:c>
      <x:c r="M9" s="37" t="str">
        <x:v>지오메트리불일치</x:v>
      </x:c>
      <x:c r="N9" s="37" t="str">
        <x:v>unknown</x:v>
      </x:c>
      <x:c r="O9" s="37" t="str">
        <x:v>접근부 추정점과 영상의 실제 횡단 착지부가 정합하지 않음</x:v>
      </x:c>
      <x:c r="P9" s="37" t="str"/>
      <x:c r="Q9" s="37" t="str"/>
      <x:c r="R9" s="37" t="str"/>
      <x:c r="S9" s="37" t="str"/>
      <x:c r="T9" s="37" t="str"/>
      <x:c r="U9" s="37" t="str"/>
      <x:c r="V9" s="37" t="str"/>
      <x:c r="W9" s="37" t="str">
        <x:v>판독불가</x:v>
      </x:c>
      <x:c r="X9" s="37" t="str">
        <x:v>판독불가</x:v>
      </x:c>
      <x:c r="Y9" s="37" t="str">
        <x:v>지오메트리불일치</x:v>
      </x:c>
      <x:c r="Z9" s="205" t="str">
        <x:v>unknown</x:v>
      </x:c>
      <x:c r="AA9" s="37" t="str">
        <x:v>접근부 추정점과 영상의 실제 횡단 착지부가 정합하지 않음</x:v>
      </x:c>
      <x:c r="AB9" s="37" t="str">
        <x:v>geometry_mismatch_candidate</x:v>
      </x:c>
      <x:c r="AC9" s="203" t="n">
        <x:v>0.58</x:v>
      </x:c>
      <x:c r="AD9" s="37" t="str">
        <x:v>Y</x:v>
      </x:c>
      <x:c r="AE9" s="44" t="str"/>
      <x:c r="AF9" s="37" t="str">
        <x:v>미반영(사람 승인 전)</x:v>
      </x:c>
      <x:c r="AG9" s="109" t="str">
        <x:v>위치 불일치·판독보류</x:v>
      </x:c>
      <x:c r="AH9" s="109" t="str">
        <x:v>위치 불일치·판독보류</x:v>
      </x:c>
      <x:c r="AI9" s="109" t="str">
        <x:v>N</x:v>
      </x:c>
      <x:c r="AJ9" s="109" t="str">
        <x:v>위치보정 필요</x:v>
      </x:c>
      <x:c r="AK9" s="109" t="str">
        <x:v>위치보정 전 사용 금지</x:v>
      </x:c>
      <x:c r="AL9" s="109" t="str">
        <x:v>추정 접근부와 실제 착지부 정합성 재설정 필요</x:v>
      </x:c>
    </x:row>
    <x:row r="10" ht="34" customHeight="1">
      <x:c r="A10" s="37" t="str">
        <x:v>CW02-B</x:v>
      </x:c>
      <x:c r="B10" s="37" t="str">
        <x:v>CW02</x:v>
      </x:c>
      <x:c r="C10" s="37" t="str">
        <x:v>B</x:v>
      </x:c>
      <x:c r="D10" s="37" t="str">
        <x:v>N</x:v>
      </x:c>
      <x:c r="E10" s="37" t="str">
        <x:v>2025-12-01 13:09:30</x:v>
      </x:c>
      <x:c r="F10" s="42" t="n">
        <x:v>14.06</x:v>
      </x:c>
      <x:c r="G10" s="37" t="str">
        <x:v>https://map.kakao.com/link/roadview/37.4022677,126.9215795</x:v>
      </x:c>
      <x:c r="H10" s="37" t="str">
        <x:v>https://map.kakao.com/?panoid=1203476225&amp;pan=326.4&amp;zoom=0&amp;map_type=TYPE_MAP&amp;map_attribute=ROADVIEW&amp;urlX=482616.0&amp;urlY=1084126.0</x:v>
      </x:c>
      <x:c r="I10" s="37" t="str">
        <x:v>Codex_AI_precheck_1</x:v>
      </x:c>
      <x:c r="J10" s="37" t="str">
        <x:v>2026-09-15</x:v>
      </x:c>
      <x:c r="K10" s="37" t="str">
        <x:v>판독불가</x:v>
      </x:c>
      <x:c r="L10" s="37" t="str">
        <x:v>판독불가</x:v>
      </x:c>
      <x:c r="M10" s="37" t="str">
        <x:v>지오메트리불일치</x:v>
      </x:c>
      <x:c r="N10" s="37" t="str">
        <x:v>unknown</x:v>
      </x:c>
      <x:c r="O10" s="37" t="str">
        <x:v>접근부 추정점과 영상의 실제 횡단 착지부가 정합하지 않음</x:v>
      </x:c>
      <x:c r="P10" s="37" t="str"/>
      <x:c r="Q10" s="37" t="str"/>
      <x:c r="R10" s="37" t="str"/>
      <x:c r="S10" s="37" t="str"/>
      <x:c r="T10" s="37" t="str"/>
      <x:c r="U10" s="37" t="str"/>
      <x:c r="V10" s="37" t="str"/>
      <x:c r="W10" s="37" t="str">
        <x:v>판독불가</x:v>
      </x:c>
      <x:c r="X10" s="37" t="str">
        <x:v>판독불가</x:v>
      </x:c>
      <x:c r="Y10" s="37" t="str">
        <x:v>지오메트리불일치</x:v>
      </x:c>
      <x:c r="Z10" s="205" t="str">
        <x:v>unknown</x:v>
      </x:c>
      <x:c r="AA10" s="37" t="str">
        <x:v>접근부 추정점과 영상의 실제 횡단 착지부가 정합하지 않음</x:v>
      </x:c>
      <x:c r="AB10" s="37" t="str">
        <x:v>geometry_mismatch_candidate</x:v>
      </x:c>
      <x:c r="AC10" s="203" t="n">
        <x:v>0.58</x:v>
      </x:c>
      <x:c r="AD10" s="37" t="str">
        <x:v>Y</x:v>
      </x:c>
      <x:c r="AE10" s="44" t="str"/>
      <x:c r="AF10" s="37" t="str">
        <x:v>미반영(사람 승인 전)</x:v>
      </x:c>
      <x:c r="AG10" s="109" t="str">
        <x:v>위치 불일치·판독보류</x:v>
      </x:c>
      <x:c r="AH10" s="109" t="str">
        <x:v>위치 불일치·판독보류</x:v>
      </x:c>
      <x:c r="AI10" s="109" t="str">
        <x:v>N</x:v>
      </x:c>
      <x:c r="AJ10" s="109" t="str">
        <x:v>위치보정 필요</x:v>
      </x:c>
      <x:c r="AK10" s="109" t="str">
        <x:v>위치보정 전 사용 금지</x:v>
      </x:c>
      <x:c r="AL10" s="109" t="str">
        <x:v>추정 접근부와 실제 착지부 정합성 재설정 필요</x:v>
      </x:c>
    </x:row>
    <x:row r="11" ht="34" customHeight="1">
      <x:c r="A11" s="37" t="str">
        <x:v>CW03-A</x:v>
      </x:c>
      <x:c r="B11" s="37" t="str">
        <x:v>CW03</x:v>
      </x:c>
      <x:c r="C11" s="37" t="str">
        <x:v>A</x:v>
      </x:c>
      <x:c r="D11" s="37" t="str">
        <x:v>Y</x:v>
      </x:c>
      <x:c r="E11" s="37" t="str">
        <x:v>2025-11-17 14:28:34</x:v>
      </x:c>
      <x:c r="F11" s="42" t="n">
        <x:v>7.59</x:v>
      </x:c>
      <x:c r="G11" s="37" t="str">
        <x:v>https://map.kakao.com/link/roadview/37.4030023,126.9222590</x:v>
      </x:c>
      <x:c r="H11" s="37" t="str">
        <x:v>https://map.kakao.com/?panoid=1202971207&amp;pan=327.3&amp;zoom=0&amp;map_type=TYPE_MAP&amp;map_attribute=ROADVIEW&amp;urlX=482811.0&amp;urlY=1084352.0</x:v>
      </x:c>
      <x:c r="I11" s="37" t="str">
        <x:v>Codex_AI_precheck_1</x:v>
      </x:c>
      <x:c r="J11" s="37" t="str">
        <x:v>2026-09-15</x:v>
      </x:c>
      <x:c r="K11" s="37" t="str">
        <x:v>판독불가</x:v>
      </x:c>
      <x:c r="L11" s="37" t="str">
        <x:v>판독불가</x:v>
      </x:c>
      <x:c r="M11" s="37" t="str">
        <x:v>차량/적치물가림</x:v>
      </x:c>
      <x:c r="N11" s="37" t="str">
        <x:v>unknown</x:v>
      </x:c>
      <x:c r="O11" s="37" t="str">
        <x:v>차량·적치물 또는 공사물로 핵심 시설이 가려짐</x:v>
      </x:c>
      <x:c r="P11" s="37" t="str">
        <x:v>Codex_AI_precheck_2</x:v>
      </x:c>
      <x:c r="Q11" s="37" t="str">
        <x:v>2026-09-15</x:v>
      </x:c>
      <x:c r="R11" s="37" t="str">
        <x:v>판독불가</x:v>
      </x:c>
      <x:c r="S11" s="37" t="str">
        <x:v>판독불가</x:v>
      </x:c>
      <x:c r="T11" s="37" t="str">
        <x:v>차량/적치물가림</x:v>
      </x:c>
      <x:c r="U11" s="37" t="str">
        <x:v>unknown</x:v>
      </x:c>
      <x:c r="V11" s="37" t="str">
        <x:v>차량·적치물 또는 공사물로 핵심 시설이 가려짐</x:v>
      </x:c>
      <x:c r="W11" s="37" t="str">
        <x:v>판독불가</x:v>
      </x:c>
      <x:c r="X11" s="37" t="str">
        <x:v>판독불가</x:v>
      </x:c>
      <x:c r="Y11" s="37" t="str">
        <x:v>차량/적치물가림</x:v>
      </x:c>
      <x:c r="Z11" s="205" t="str">
        <x:v>unknown</x:v>
      </x:c>
      <x:c r="AA11" s="37" t="str">
        <x:v>차량·적치물 또는 공사물로 핵심 시설이 가려짐</x:v>
      </x:c>
      <x:c r="AB11" s="37" t="str">
        <x:v>occlusion_review_needed</x:v>
      </x:c>
      <x:c r="AC11" s="203" t="n">
        <x:v>0.52</x:v>
      </x:c>
      <x:c r="AD11" s="37" t="str">
        <x:v>Y</x:v>
      </x:c>
      <x:c r="AE11" s="44" t="str"/>
      <x:c r="AF11" s="37" t="str">
        <x:v>미반영(사람 승인 전)</x:v>
      </x:c>
      <x:c r="AG11" s="109" t="str">
        <x:v>가림·판독보류</x:v>
      </x:c>
      <x:c r="AH11" s="109" t="str">
        <x:v>가림·판독보류</x:v>
      </x:c>
      <x:c r="AI11" s="109" t="str">
        <x:v>N</x:v>
      </x:c>
      <x:c r="AJ11" s="109" t="str">
        <x:v>재관측 필요</x:v>
      </x:c>
      <x:c r="AK11" s="109" t="str">
        <x:v>사람검수 전 후보</x:v>
      </x:c>
      <x:c r="AL11" s="109" t="str">
        <x:v>가림 상태는 접근성 결론이 아님</x:v>
      </x:c>
    </x:row>
    <x:row r="12" ht="34" customHeight="1">
      <x:c r="A12" s="37" t="str">
        <x:v>CW03-B</x:v>
      </x:c>
      <x:c r="B12" s="37" t="str">
        <x:v>CW03</x:v>
      </x:c>
      <x:c r="C12" s="37" t="str">
        <x:v>B</x:v>
      </x:c>
      <x:c r="D12" s="37" t="str">
        <x:v>Y</x:v>
      </x:c>
      <x:c r="E12" s="37" t="str">
        <x:v>2025-11-17 14:28:34</x:v>
      </x:c>
      <x:c r="F12" s="42" t="n">
        <x:v>5.11</x:v>
      </x:c>
      <x:c r="G12" s="37" t="str">
        <x:v>https://map.kakao.com/link/roadview/37.4030385,126.9223242</x:v>
      </x:c>
      <x:c r="H12" s="37" t="str">
        <x:v>https://map.kakao.com/?panoid=1202971207&amp;pan=327.3&amp;zoom=0&amp;map_type=TYPE_MAP&amp;map_attribute=ROADVIEW&amp;urlX=482811.0&amp;urlY=1084352.0</x:v>
      </x:c>
      <x:c r="I12" s="37" t="str">
        <x:v>Codex_AI_precheck_1</x:v>
      </x:c>
      <x:c r="J12" s="37" t="str">
        <x:v>2026-09-15</x:v>
      </x:c>
      <x:c r="K12" s="37" t="str">
        <x:v>판독불가</x:v>
      </x:c>
      <x:c r="L12" s="37" t="str">
        <x:v>판독불가</x:v>
      </x:c>
      <x:c r="M12" s="37" t="str">
        <x:v>지오메트리불일치</x:v>
      </x:c>
      <x:c r="N12" s="37" t="str">
        <x:v>unknown</x:v>
      </x:c>
      <x:c r="O12" s="37" t="str">
        <x:v>접근부 추정점과 영상의 실제 횡단 착지부가 정합하지 않음</x:v>
      </x:c>
      <x:c r="P12" s="37" t="str">
        <x:v>Codex_AI_precheck_2</x:v>
      </x:c>
      <x:c r="Q12" s="37" t="str">
        <x:v>2026-09-15</x:v>
      </x:c>
      <x:c r="R12" s="37" t="str">
        <x:v>판독불가</x:v>
      </x:c>
      <x:c r="S12" s="37" t="str">
        <x:v>판독불가</x:v>
      </x:c>
      <x:c r="T12" s="37" t="str">
        <x:v>지오메트리불일치</x:v>
      </x:c>
      <x:c r="U12" s="37" t="str">
        <x:v>unknown</x:v>
      </x:c>
      <x:c r="V12" s="37" t="str">
        <x:v>접근부 추정점과 영상의 실제 횡단 착지부가 정합하지 않음</x:v>
      </x:c>
      <x:c r="W12" s="37" t="str">
        <x:v>판독불가</x:v>
      </x:c>
      <x:c r="X12" s="37" t="str">
        <x:v>판독불가</x:v>
      </x:c>
      <x:c r="Y12" s="37" t="str">
        <x:v>지오메트리불일치</x:v>
      </x:c>
      <x:c r="Z12" s="205" t="str">
        <x:v>unknown</x:v>
      </x:c>
      <x:c r="AA12" s="37" t="str">
        <x:v>접근부 추정점과 영상의 실제 횡단 착지부가 정합하지 않음</x:v>
      </x:c>
      <x:c r="AB12" s="37" t="str">
        <x:v>geometry_mismatch_candidate</x:v>
      </x:c>
      <x:c r="AC12" s="203" t="n">
        <x:v>0.58</x:v>
      </x:c>
      <x:c r="AD12" s="37" t="str">
        <x:v>Y</x:v>
      </x:c>
      <x:c r="AE12" s="44" t="str"/>
      <x:c r="AF12" s="37" t="str">
        <x:v>미반영(사람 승인 전)</x:v>
      </x:c>
      <x:c r="AG12" s="109" t="str">
        <x:v>위치 불일치·판독보류</x:v>
      </x:c>
      <x:c r="AH12" s="109" t="str">
        <x:v>위치 불일치·판독보류</x:v>
      </x:c>
      <x:c r="AI12" s="109" t="str">
        <x:v>N</x:v>
      </x:c>
      <x:c r="AJ12" s="109" t="str">
        <x:v>위치보정 필요</x:v>
      </x:c>
      <x:c r="AK12" s="109" t="str">
        <x:v>위치보정 전 사용 금지</x:v>
      </x:c>
      <x:c r="AL12" s="109" t="str">
        <x:v>추정 접근부와 실제 착지부 정합성 재설정 필요</x:v>
      </x:c>
    </x:row>
    <x:row r="13" ht="34" customHeight="1">
      <x:c r="A13" s="37" t="str">
        <x:v>CW04-A</x:v>
      </x:c>
      <x:c r="B13" s="37" t="str">
        <x:v>CW04</x:v>
      </x:c>
      <x:c r="C13" s="37" t="str">
        <x:v>A</x:v>
      </x:c>
      <x:c r="D13" s="37" t="str">
        <x:v>N</x:v>
      </x:c>
      <x:c r="E13" s="37" t="str">
        <x:v>2025-12-01 13:09:31</x:v>
      </x:c>
      <x:c r="F13" s="42" t="n">
        <x:v>6.44</x:v>
      </x:c>
      <x:c r="G13" s="37" t="str">
        <x:v>https://map.kakao.com/link/roadview/37.4022197,126.9213442</x:v>
      </x:c>
      <x:c r="H13" s="37" t="str">
        <x:v>https://map.kakao.com/?panoid=1203476229&amp;pan=326.3&amp;zoom=0&amp;map_type=TYPE_MAP&amp;map_attribute=ROADVIEW&amp;urlX=482602.0&amp;urlY=1084147.0</x:v>
      </x:c>
      <x:c r="I13" s="37" t="str">
        <x:v>Codex_AI_precheck_1</x:v>
      </x:c>
      <x:c r="J13" s="37" t="str">
        <x:v>2026-09-15</x:v>
      </x:c>
      <x:c r="K13" s="37" t="str">
        <x:v>판독불가</x:v>
      </x:c>
      <x:c r="L13" s="37" t="str">
        <x:v>판독불가</x:v>
      </x:c>
      <x:c r="M13" s="37" t="str">
        <x:v>공사</x:v>
      </x:c>
      <x:c r="N13" s="37" t="str">
        <x:v>block</x:v>
      </x:c>
      <x:c r="O13" s="37" t="str">
        <x:v>횡단 진행 방향이 공사 가림막으로 막힌 후보</x:v>
      </x:c>
      <x:c r="P13" s="37" t="str"/>
      <x:c r="Q13" s="37" t="str"/>
      <x:c r="R13" s="37" t="str"/>
      <x:c r="S13" s="37" t="str"/>
      <x:c r="T13" s="37" t="str"/>
      <x:c r="U13" s="37" t="str"/>
      <x:c r="V13" s="37" t="str"/>
      <x:c r="W13" s="37" t="str">
        <x:v>판독불가</x:v>
      </x:c>
      <x:c r="X13" s="37" t="str">
        <x:v>판독불가</x:v>
      </x:c>
      <x:c r="Y13" s="37" t="str">
        <x:v>공사</x:v>
      </x:c>
      <x:c r="Z13" s="205" t="str">
        <x:v>block</x:v>
      </x:c>
      <x:c r="AA13" s="37" t="str">
        <x:v>횡단 진행 방향이 공사 가림막으로 막힌 후보</x:v>
      </x:c>
      <x:c r="AB13" s="37" t="str">
        <x:v>construction_block_candidate</x:v>
      </x:c>
      <x:c r="AC13" s="203" t="n">
        <x:v>0.82</x:v>
      </x:c>
      <x:c r="AD13" s="37" t="str">
        <x:v>Y</x:v>
      </x:c>
      <x:c r="AE13" s="44" t="str"/>
      <x:c r="AF13" s="37" t="str">
        <x:v>미반영(사람 승인 전)</x:v>
      </x:c>
      <x:c r="AG13" s="109" t="str">
        <x:v>임시 차단 후보</x:v>
      </x:c>
      <x:c r="AH13" s="109" t="str">
        <x:v>임시 차단 후보</x:v>
      </x:c>
      <x:c r="AI13" s="109" t="str">
        <x:v>조건부</x:v>
      </x:c>
      <x:c r="AJ13" s="109" t="str">
        <x:v>시간제</x:v>
      </x:c>
      <x:c r="AK13" s="109" t="str">
        <x:v>최신 영상·현장 재확인 전 미반영</x:v>
      </x:c>
      <x:c r="AL13" s="109" t="str">
        <x:v>2025-12-01 13:09:31 공사 관측은 영구 차단으로 사용 금지</x:v>
      </x:c>
    </x:row>
    <x:row r="14" ht="34" customHeight="1">
      <x:c r="A14" s="37" t="str">
        <x:v>CW04-B</x:v>
      </x:c>
      <x:c r="B14" s="37" t="str">
        <x:v>CW04</x:v>
      </x:c>
      <x:c r="C14" s="37" t="str">
        <x:v>B</x:v>
      </x:c>
      <x:c r="D14" s="37" t="str">
        <x:v>N</x:v>
      </x:c>
      <x:c r="E14" s="37" t="str">
        <x:v>2025-12-01 13:09:31</x:v>
      </x:c>
      <x:c r="F14" s="42" t="n">
        <x:v>8.52</x:v>
      </x:c>
      <x:c r="G14" s="37" t="str">
        <x:v>https://map.kakao.com/link/roadview/37.4022967,126.9214828</x:v>
      </x:c>
      <x:c r="H14" s="37" t="str">
        <x:v>https://map.kakao.com/?panoid=1203476229&amp;pan=326.3&amp;zoom=0&amp;map_type=TYPE_MAP&amp;map_attribute=ROADVIEW&amp;urlX=482602.0&amp;urlY=1084147.0</x:v>
      </x:c>
      <x:c r="I14" s="37" t="str">
        <x:v>Codex_AI_precheck_1</x:v>
      </x:c>
      <x:c r="J14" s="37" t="str">
        <x:v>2026-09-15</x:v>
      </x:c>
      <x:c r="K14" s="37" t="str">
        <x:v>있음</x:v>
      </x:c>
      <x:c r="L14" s="37" t="str">
        <x:v>있음</x:v>
      </x:c>
      <x:c r="M14" s="37" t="str">
        <x:v>없음</x:v>
      </x:c>
      <x:c r="N14" s="37" t="str">
        <x:v>pass</x:v>
      </x:c>
      <x:c r="O14" s="37" t="str">
        <x:v>경사로와 점자블록이 보이고 통행공간이 열려 있음</x:v>
      </x:c>
      <x:c r="P14" s="37" t="str"/>
      <x:c r="Q14" s="37" t="str"/>
      <x:c r="R14" s="37" t="str"/>
      <x:c r="S14" s="37" t="str"/>
      <x:c r="T14" s="37" t="str"/>
      <x:c r="U14" s="37" t="str"/>
      <x:c r="V14" s="37" t="str"/>
      <x:c r="W14" s="37" t="str">
        <x:v>있음</x:v>
      </x:c>
      <x:c r="X14" s="37" t="str">
        <x:v>있음</x:v>
      </x:c>
      <x:c r="Y14" s="37" t="str">
        <x:v>없음</x:v>
      </x:c>
      <x:c r="Z14" s="205" t="str">
        <x:v>pass</x:v>
      </x:c>
      <x:c r="AA14" s="37" t="str">
        <x:v>경사로와 점자블록이 보이고 통행공간이 열려 있음</x:v>
      </x:c>
      <x:c r="AB14" s="37" t="str">
        <x:v>likely_accessible_candidate</x:v>
      </x:c>
      <x:c r="AC14" s="203" t="n">
        <x:v>0.82</x:v>
      </x:c>
      <x:c r="AD14" s="37" t="str">
        <x:v>Y</x:v>
      </x:c>
      <x:c r="AE14" s="44" t="str"/>
      <x:c r="AF14" s="37" t="str">
        <x:v>미반영(사람 승인 전)</x:v>
      </x:c>
      <x:c r="AG14" s="109" t="str">
        <x:v>통과 가능 후보</x:v>
      </x:c>
      <x:c r="AH14" s="109" t="str">
        <x:v>안내시설 양호 후보</x:v>
      </x:c>
      <x:c r="AI14" s="109" t="str">
        <x:v>N</x:v>
      </x:c>
      <x:c r="AJ14" s="109" t="str">
        <x:v>정적 후보</x:v>
      </x:c>
      <x:c r="AK14" s="109" t="str">
        <x:v>사람검수 전 후보</x:v>
      </x:c>
      <x:c r="AL14" s="109" t="str">
        <x:v>영상 관찰 후보이며 verified pass가 아님</x:v>
      </x:c>
    </x:row>
    <x:row r="15" ht="34" customHeight="1">
      <x:c r="A15" s="37" t="str">
        <x:v>CW05-A</x:v>
      </x:c>
      <x:c r="B15" s="37" t="str">
        <x:v>CW05</x:v>
      </x:c>
      <x:c r="C15" s="37" t="str">
        <x:v>A</x:v>
      </x:c>
      <x:c r="D15" s="37" t="str">
        <x:v>Y</x:v>
      </x:c>
      <x:c r="E15" s="37" t="str">
        <x:v>2025-11-17 14:28:18</x:v>
      </x:c>
      <x:c r="F15" s="42" t="n">
        <x:v>7.78</x:v>
      </x:c>
      <x:c r="G15" s="37" t="str">
        <x:v>https://map.kakao.com/link/roadview/37.4021576,126.9229168</x:v>
      </x:c>
      <x:c r="H15" s="37" t="str">
        <x:v>https://map.kakao.com/?panoid=1202971196&amp;pan=327.5&amp;zoom=0&amp;map_type=TYPE_MAP&amp;map_attribute=ROADVIEW&amp;urlX=482957.0&amp;urlY=1084120.0</x:v>
      </x:c>
      <x:c r="I15" s="37" t="str">
        <x:v>Codex_AI_precheck_1</x:v>
      </x:c>
      <x:c r="J15" s="37" t="str">
        <x:v>2026-09-15</x:v>
      </x:c>
      <x:c r="K15" s="37" t="str">
        <x:v>있음</x:v>
      </x:c>
      <x:c r="L15" s="37" t="str">
        <x:v>있음</x:v>
      </x:c>
      <x:c r="M15" s="37" t="str">
        <x:v>없음</x:v>
      </x:c>
      <x:c r="N15" s="37" t="str">
        <x:v>pass</x:v>
      </x:c>
      <x:c r="O15" s="37" t="str">
        <x:v>경사로와 점자블록이 보이고 통행공간이 열려 있음</x:v>
      </x:c>
      <x:c r="P15" s="37" t="str">
        <x:v>Codex_AI_precheck_2</x:v>
      </x:c>
      <x:c r="Q15" s="37" t="str">
        <x:v>2026-09-15</x:v>
      </x:c>
      <x:c r="R15" s="37" t="str">
        <x:v>있음</x:v>
      </x:c>
      <x:c r="S15" s="37" t="str">
        <x:v>있음</x:v>
      </x:c>
      <x:c r="T15" s="37" t="str">
        <x:v>없음</x:v>
      </x:c>
      <x:c r="U15" s="37" t="str">
        <x:v>pass</x:v>
      </x:c>
      <x:c r="V15" s="37" t="str">
        <x:v>역순·착지부 중심 재판독에서 경사로와 점자블록을 확인</x:v>
      </x:c>
      <x:c r="W15" s="37" t="str">
        <x:v>있음</x:v>
      </x:c>
      <x:c r="X15" s="37" t="str">
        <x:v>있음</x:v>
      </x:c>
      <x:c r="Y15" s="37" t="str">
        <x:v>없음</x:v>
      </x:c>
      <x:c r="Z15" s="205" t="str">
        <x:v>pass</x:v>
      </x:c>
      <x:c r="AA15" s="37" t="str">
        <x:v>경사로와 점자블록이 보이고 통행공간이 열려 있음</x:v>
      </x:c>
      <x:c r="AB15" s="37" t="str">
        <x:v>likely_accessible_candidate</x:v>
      </x:c>
      <x:c r="AC15" s="203" t="n">
        <x:v>0.82</x:v>
      </x:c>
      <x:c r="AD15" s="37" t="str">
        <x:v>Y</x:v>
      </x:c>
      <x:c r="AE15" s="44" t="str"/>
      <x:c r="AF15" s="37" t="str">
        <x:v>미반영(사람 승인 전)</x:v>
      </x:c>
      <x:c r="AG15" s="109" t="str">
        <x:v>통과 가능 후보</x:v>
      </x:c>
      <x:c r="AH15" s="109" t="str">
        <x:v>안내시설 양호 후보</x:v>
      </x:c>
      <x:c r="AI15" s="109" t="str">
        <x:v>N</x:v>
      </x:c>
      <x:c r="AJ15" s="109" t="str">
        <x:v>정적 후보</x:v>
      </x:c>
      <x:c r="AK15" s="109" t="str">
        <x:v>사람검수 전 후보</x:v>
      </x:c>
      <x:c r="AL15" s="109" t="str">
        <x:v>영상 관찰 후보이며 verified pass가 아님</x:v>
      </x:c>
    </x:row>
    <x:row r="16" ht="34" customHeight="1">
      <x:c r="A16" s="37" t="str">
        <x:v>CW05-B</x:v>
      </x:c>
      <x:c r="B16" s="37" t="str">
        <x:v>CW05</x:v>
      </x:c>
      <x:c r="C16" s="37" t="str">
        <x:v>B</x:v>
      </x:c>
      <x:c r="D16" s="37" t="str">
        <x:v>Y</x:v>
      </x:c>
      <x:c r="E16" s="37" t="str">
        <x:v>2025-11-17 14:28:18</x:v>
      </x:c>
      <x:c r="F16" s="42" t="n">
        <x:v>4.33</x:v>
      </x:c>
      <x:c r="G16" s="37" t="str">
        <x:v>https://map.kakao.com/link/roadview/37.4021979,126.9229954</x:v>
      </x:c>
      <x:c r="H16" s="37" t="str">
        <x:v>https://map.kakao.com/?panoid=1202971196&amp;pan=327.5&amp;zoom=0&amp;map_type=TYPE_MAP&amp;map_attribute=ROADVIEW&amp;urlX=482957.0&amp;urlY=1084120.0</x:v>
      </x:c>
      <x:c r="I16" s="37" t="str">
        <x:v>Codex_AI_precheck_1</x:v>
      </x:c>
      <x:c r="J16" s="37" t="str">
        <x:v>2026-09-15</x:v>
      </x:c>
      <x:c r="K16" s="37" t="str">
        <x:v>판독불가</x:v>
      </x:c>
      <x:c r="L16" s="37" t="str">
        <x:v>판독불가</x:v>
      </x:c>
      <x:c r="M16" s="37" t="str">
        <x:v>시야불충분</x:v>
      </x:c>
      <x:c r="N16" s="37" t="str">
        <x:v>unknown</x:v>
      </x:c>
      <x:c r="O16" s="37" t="str">
        <x:v>착지부가 카메라 직하부·화면 밖에 있어 핵심 시설을 확인할 수 없음</x:v>
      </x:c>
      <x:c r="P16" s="37" t="str">
        <x:v>Codex_AI_precheck_2</x:v>
      </x:c>
      <x:c r="Q16" s="37" t="str">
        <x:v>2026-09-15</x:v>
      </x:c>
      <x:c r="R16" s="37" t="str">
        <x:v>판독불가</x:v>
      </x:c>
      <x:c r="S16" s="37" t="str">
        <x:v>판독불가</x:v>
      </x:c>
      <x:c r="T16" s="37" t="str">
        <x:v>시야불충분</x:v>
      </x:c>
      <x:c r="U16" s="37" t="str">
        <x:v>unknown</x:v>
      </x:c>
      <x:c r="V16" s="37" t="str">
        <x:v>착지부가 카메라 직하부·화면 밖에 있어 핵심 시설을 확인할 수 없음</x:v>
      </x:c>
      <x:c r="W16" s="37" t="str">
        <x:v>판독불가</x:v>
      </x:c>
      <x:c r="X16" s="37" t="str">
        <x:v>판독불가</x:v>
      </x:c>
      <x:c r="Y16" s="37" t="str">
        <x:v>시야불충분</x:v>
      </x:c>
      <x:c r="Z16" s="205" t="str">
        <x:v>unknown</x:v>
      </x:c>
      <x:c r="AA16" s="37" t="str">
        <x:v>착지부가 카메라 직하부·화면 밖에 있어 핵심 시설을 확인할 수 없음</x:v>
      </x:c>
      <x:c r="AB16" s="37" t="str">
        <x:v>visibility_review_needed</x:v>
      </x:c>
      <x:c r="AC16" s="203" t="n">
        <x:v>0.52</x:v>
      </x:c>
      <x:c r="AD16" s="37" t="str">
        <x:v>Y</x:v>
      </x:c>
      <x:c r="AE16" s="44" t="str"/>
      <x:c r="AF16" s="37" t="str">
        <x:v>미반영(사람 승인 전)</x:v>
      </x:c>
      <x:c r="AG16" s="109" t="str">
        <x:v>시야 부족·판독보류</x:v>
      </x:c>
      <x:c r="AH16" s="109" t="str">
        <x:v>시야 부족·판독보류</x:v>
      </x:c>
      <x:c r="AI16" s="109" t="str">
        <x:v>N</x:v>
      </x:c>
      <x:c r="AJ16" s="109" t="str">
        <x:v>재관측 필요</x:v>
      </x:c>
      <x:c r="AK16" s="109" t="str">
        <x:v>사람검수 전 후보</x:v>
      </x:c>
      <x:c r="AL16" s="109" t="str">
        <x:v>식별 불가를 차단 또는 통과로 치환하지 않음</x:v>
      </x:c>
    </x:row>
    <x:row r="17" ht="34" customHeight="1">
      <x:c r="A17" s="37" t="str">
        <x:v>CW06-A</x:v>
      </x:c>
      <x:c r="B17" s="37" t="str">
        <x:v>CW06</x:v>
      </x:c>
      <x:c r="C17" s="37" t="str">
        <x:v>A</x:v>
      </x:c>
      <x:c r="D17" s="37" t="str">
        <x:v>N</x:v>
      </x:c>
      <x:c r="E17" s="37" t="str">
        <x:v>2025-12-01 14:54:27</x:v>
      </x:c>
      <x:c r="F17" s="42" t="n">
        <x:v>7.79</x:v>
      </x:c>
      <x:c r="G17" s="37" t="str">
        <x:v>https://map.kakao.com/link/roadview/37.4017671,126.9216657</x:v>
      </x:c>
      <x:c r="H17" s="37" t="str">
        <x:v>https://map.kakao.com/?panoid=1203482543&amp;pan=57.9&amp;zoom=0&amp;map_type=TYPE_MAP&amp;map_attribute=ROADVIEW&amp;urlX=482642.0&amp;urlY=1084005.0</x:v>
      </x:c>
      <x:c r="I17" s="37" t="str">
        <x:v>Codex_AI_precheck_1</x:v>
      </x:c>
      <x:c r="J17" s="37" t="str">
        <x:v>2026-09-15</x:v>
      </x:c>
      <x:c r="K17" s="37" t="str">
        <x:v>판독불가</x:v>
      </x:c>
      <x:c r="L17" s="37" t="str">
        <x:v>판독불가</x:v>
      </x:c>
      <x:c r="M17" s="37" t="str">
        <x:v>차량/적치물가림</x:v>
      </x:c>
      <x:c r="N17" s="37" t="str">
        <x:v>unknown</x:v>
      </x:c>
      <x:c r="O17" s="37" t="str">
        <x:v>차량·적치물 또는 공사물로 핵심 시설이 가려짐</x:v>
      </x:c>
      <x:c r="P17" s="37" t="str"/>
      <x:c r="Q17" s="37" t="str"/>
      <x:c r="R17" s="37" t="str"/>
      <x:c r="S17" s="37" t="str"/>
      <x:c r="T17" s="37" t="str"/>
      <x:c r="U17" s="37" t="str"/>
      <x:c r="V17" s="37" t="str"/>
      <x:c r="W17" s="37" t="str">
        <x:v>판독불가</x:v>
      </x:c>
      <x:c r="X17" s="37" t="str">
        <x:v>판독불가</x:v>
      </x:c>
      <x:c r="Y17" s="37" t="str">
        <x:v>차량/적치물가림</x:v>
      </x:c>
      <x:c r="Z17" s="205" t="str">
        <x:v>unknown</x:v>
      </x:c>
      <x:c r="AA17" s="37" t="str">
        <x:v>차량·적치물 또는 공사물로 핵심 시설이 가려짐</x:v>
      </x:c>
      <x:c r="AB17" s="37" t="str">
        <x:v>occlusion_review_needed</x:v>
      </x:c>
      <x:c r="AC17" s="203" t="n">
        <x:v>0.52</x:v>
      </x:c>
      <x:c r="AD17" s="37" t="str">
        <x:v>Y</x:v>
      </x:c>
      <x:c r="AE17" s="44" t="str"/>
      <x:c r="AF17" s="37" t="str">
        <x:v>미반영(사람 승인 전)</x:v>
      </x:c>
      <x:c r="AG17" s="109" t="str">
        <x:v>가림·판독보류</x:v>
      </x:c>
      <x:c r="AH17" s="109" t="str">
        <x:v>가림·판독보류</x:v>
      </x:c>
      <x:c r="AI17" s="109" t="str">
        <x:v>N</x:v>
      </x:c>
      <x:c r="AJ17" s="109" t="str">
        <x:v>재관측 필요</x:v>
      </x:c>
      <x:c r="AK17" s="109" t="str">
        <x:v>사람검수 전 후보</x:v>
      </x:c>
      <x:c r="AL17" s="109" t="str">
        <x:v>가림 상태는 접근성 결론이 아님</x:v>
      </x:c>
    </x:row>
    <x:row r="18" ht="34" customHeight="1">
      <x:c r="A18" s="37" t="str">
        <x:v>CW06-B</x:v>
      </x:c>
      <x:c r="B18" s="37" t="str">
        <x:v>CW06</x:v>
      </x:c>
      <x:c r="C18" s="37" t="str">
        <x:v>B</x:v>
      </x:c>
      <x:c r="D18" s="37" t="str">
        <x:v>N</x:v>
      </x:c>
      <x:c r="E18" s="37" t="str">
        <x:v>2025-12-01 14:54:27</x:v>
      </x:c>
      <x:c r="F18" s="42" t="n">
        <x:v>11.18</x:v>
      </x:c>
      <x:c r="G18" s="37" t="str">
        <x:v>https://map.kakao.com/link/roadview/37.4018449,126.9215863</x:v>
      </x:c>
      <x:c r="H18" s="37" t="str">
        <x:v>https://map.kakao.com/?panoid=1203482543&amp;pan=57.9&amp;zoom=0&amp;map_type=TYPE_MAP&amp;map_attribute=ROADVIEW&amp;urlX=482642.0&amp;urlY=1084005.0</x:v>
      </x:c>
      <x:c r="I18" s="37" t="str">
        <x:v>Codex_AI_precheck_1</x:v>
      </x:c>
      <x:c r="J18" s="37" t="str">
        <x:v>2026-09-15</x:v>
      </x:c>
      <x:c r="K18" s="37" t="str">
        <x:v>판독불가</x:v>
      </x:c>
      <x:c r="L18" s="37" t="str">
        <x:v>판독불가</x:v>
      </x:c>
      <x:c r="M18" s="37" t="str">
        <x:v>차량/적치물가림</x:v>
      </x:c>
      <x:c r="N18" s="37" t="str">
        <x:v>unknown</x:v>
      </x:c>
      <x:c r="O18" s="37" t="str">
        <x:v>차량·적치물 또는 공사물로 핵심 시설이 가려짐</x:v>
      </x:c>
      <x:c r="P18" s="37" t="str"/>
      <x:c r="Q18" s="37" t="str"/>
      <x:c r="R18" s="37" t="str"/>
      <x:c r="S18" s="37" t="str"/>
      <x:c r="T18" s="37" t="str"/>
      <x:c r="U18" s="37" t="str"/>
      <x:c r="V18" s="37" t="str"/>
      <x:c r="W18" s="37" t="str">
        <x:v>판독불가</x:v>
      </x:c>
      <x:c r="X18" s="37" t="str">
        <x:v>판독불가</x:v>
      </x:c>
      <x:c r="Y18" s="37" t="str">
        <x:v>차량/적치물가림</x:v>
      </x:c>
      <x:c r="Z18" s="205" t="str">
        <x:v>unknown</x:v>
      </x:c>
      <x:c r="AA18" s="37" t="str">
        <x:v>차량·적치물 또는 공사물로 핵심 시설이 가려짐</x:v>
      </x:c>
      <x:c r="AB18" s="37" t="str">
        <x:v>occlusion_review_needed</x:v>
      </x:c>
      <x:c r="AC18" s="203" t="n">
        <x:v>0.52</x:v>
      </x:c>
      <x:c r="AD18" s="37" t="str">
        <x:v>Y</x:v>
      </x:c>
      <x:c r="AE18" s="44" t="str"/>
      <x:c r="AF18" s="37" t="str">
        <x:v>미반영(사람 승인 전)</x:v>
      </x:c>
      <x:c r="AG18" s="109" t="str">
        <x:v>가림·판독보류</x:v>
      </x:c>
      <x:c r="AH18" s="109" t="str">
        <x:v>가림·판독보류</x:v>
      </x:c>
      <x:c r="AI18" s="109" t="str">
        <x:v>N</x:v>
      </x:c>
      <x:c r="AJ18" s="109" t="str">
        <x:v>재관측 필요</x:v>
      </x:c>
      <x:c r="AK18" s="109" t="str">
        <x:v>사람검수 전 후보</x:v>
      </x:c>
      <x:c r="AL18" s="109" t="str">
        <x:v>가림 상태는 접근성 결론이 아님</x:v>
      </x:c>
    </x:row>
    <x:row r="19" ht="34" customHeight="1">
      <x:c r="A19" s="37" t="str">
        <x:v>CW07-A</x:v>
      </x:c>
      <x:c r="B19" s="37" t="str">
        <x:v>CW07</x:v>
      </x:c>
      <x:c r="C19" s="37" t="str">
        <x:v>A</x:v>
      </x:c>
      <x:c r="D19" s="37" t="str">
        <x:v>Y</x:v>
      </x:c>
      <x:c r="E19" s="37" t="str">
        <x:v>2025-12-01 13:09:25</x:v>
      </x:c>
      <x:c r="F19" s="42" t="n">
        <x:v>10.14</x:v>
      </x:c>
      <x:c r="G19" s="37" t="str">
        <x:v>https://map.kakao.com/link/roadview/37.4017233,126.9217302</x:v>
      </x:c>
      <x:c r="H19" s="37" t="str">
        <x:v>https://map.kakao.com/?panoid=1203476201&amp;pan=325.8&amp;zoom=0&amp;map_type=TYPE_MAP&amp;map_attribute=ROADVIEW&amp;urlX=482700.0&amp;urlY=1084002.0</x:v>
      </x:c>
      <x:c r="I19" s="37" t="str">
        <x:v>Codex_AI_precheck_1</x:v>
      </x:c>
      <x:c r="J19" s="37" t="str">
        <x:v>2026-09-15</x:v>
      </x:c>
      <x:c r="K19" s="37" t="str">
        <x:v>판독불가</x:v>
      </x:c>
      <x:c r="L19" s="37" t="str">
        <x:v>판독불가</x:v>
      </x:c>
      <x:c r="M19" s="37" t="str">
        <x:v>지오메트리불일치</x:v>
      </x:c>
      <x:c r="N19" s="37" t="str">
        <x:v>unknown</x:v>
      </x:c>
      <x:c r="O19" s="37" t="str">
        <x:v>접근부 추정점과 영상의 실제 횡단 착지부가 정합하지 않음</x:v>
      </x:c>
      <x:c r="P19" s="37" t="str">
        <x:v>Codex_AI_precheck_2</x:v>
      </x:c>
      <x:c r="Q19" s="37" t="str">
        <x:v>2026-09-15</x:v>
      </x:c>
      <x:c r="R19" s="37" t="str">
        <x:v>판독불가</x:v>
      </x:c>
      <x:c r="S19" s="37" t="str">
        <x:v>판독불가</x:v>
      </x:c>
      <x:c r="T19" s="37" t="str">
        <x:v>지오메트리불일치</x:v>
      </x:c>
      <x:c r="U19" s="37" t="str">
        <x:v>unknown</x:v>
      </x:c>
      <x:c r="V19" s="37" t="str">
        <x:v>접근부 추정점과 영상의 실제 횡단 착지부가 정합하지 않음</x:v>
      </x:c>
      <x:c r="W19" s="37" t="str">
        <x:v>판독불가</x:v>
      </x:c>
      <x:c r="X19" s="37" t="str">
        <x:v>판독불가</x:v>
      </x:c>
      <x:c r="Y19" s="37" t="str">
        <x:v>지오메트리불일치</x:v>
      </x:c>
      <x:c r="Z19" s="205" t="str">
        <x:v>unknown</x:v>
      </x:c>
      <x:c r="AA19" s="37" t="str">
        <x:v>접근부 추정점과 영상의 실제 횡단 착지부가 정합하지 않음</x:v>
      </x:c>
      <x:c r="AB19" s="37" t="str">
        <x:v>geometry_mismatch_candidate</x:v>
      </x:c>
      <x:c r="AC19" s="203" t="n">
        <x:v>0.58</x:v>
      </x:c>
      <x:c r="AD19" s="37" t="str">
        <x:v>Y</x:v>
      </x:c>
      <x:c r="AE19" s="44" t="str"/>
      <x:c r="AF19" s="37" t="str">
        <x:v>미반영(사람 승인 전)</x:v>
      </x:c>
      <x:c r="AG19" s="109" t="str">
        <x:v>위치 불일치·판독보류</x:v>
      </x:c>
      <x:c r="AH19" s="109" t="str">
        <x:v>위치 불일치·판독보류</x:v>
      </x:c>
      <x:c r="AI19" s="109" t="str">
        <x:v>N</x:v>
      </x:c>
      <x:c r="AJ19" s="109" t="str">
        <x:v>위치보정 필요</x:v>
      </x:c>
      <x:c r="AK19" s="109" t="str">
        <x:v>위치보정 전 사용 금지</x:v>
      </x:c>
      <x:c r="AL19" s="109" t="str">
        <x:v>추정 접근부와 실제 착지부 정합성 재설정 필요</x:v>
      </x:c>
    </x:row>
    <x:row r="20" ht="34" customHeight="1">
      <x:c r="A20" s="37" t="str">
        <x:v>CW07-B</x:v>
      </x:c>
      <x:c r="B20" s="37" t="str">
        <x:v>CW07</x:v>
      </x:c>
      <x:c r="C20" s="37" t="str">
        <x:v>B</x:v>
      </x:c>
      <x:c r="D20" s="37" t="str">
        <x:v>Y</x:v>
      </x:c>
      <x:c r="E20" s="37" t="str">
        <x:v>2025-12-01 13:09:25</x:v>
      </x:c>
      <x:c r="F20" s="42" t="n">
        <x:v>4.46</x:v>
      </x:c>
      <x:c r="G20" s="37" t="str">
        <x:v>https://map.kakao.com/link/roadview/37.4017508,126.9217986</x:v>
      </x:c>
      <x:c r="H20" s="37" t="str">
        <x:v>https://map.kakao.com/?panoid=1203476201&amp;pan=325.8&amp;zoom=0&amp;map_type=TYPE_MAP&amp;map_attribute=ROADVIEW&amp;urlX=482700.0&amp;urlY=1084002.0</x:v>
      </x:c>
      <x:c r="I20" s="37" t="str">
        <x:v>Codex_AI_precheck_1</x:v>
      </x:c>
      <x:c r="J20" s="37" t="str">
        <x:v>2026-09-15</x:v>
      </x:c>
      <x:c r="K20" s="37" t="str">
        <x:v>판독불가</x:v>
      </x:c>
      <x:c r="L20" s="37" t="str">
        <x:v>판독불가</x:v>
      </x:c>
      <x:c r="M20" s="37" t="str">
        <x:v>지오메트리불일치</x:v>
      </x:c>
      <x:c r="N20" s="37" t="str">
        <x:v>unknown</x:v>
      </x:c>
      <x:c r="O20" s="37" t="str">
        <x:v>접근부 추정점과 영상의 실제 횡단 착지부가 정합하지 않음</x:v>
      </x:c>
      <x:c r="P20" s="37" t="str">
        <x:v>Codex_AI_precheck_2</x:v>
      </x:c>
      <x:c r="Q20" s="37" t="str">
        <x:v>2026-09-15</x:v>
      </x:c>
      <x:c r="R20" s="37" t="str">
        <x:v>판독불가</x:v>
      </x:c>
      <x:c r="S20" s="37" t="str">
        <x:v>판독불가</x:v>
      </x:c>
      <x:c r="T20" s="37" t="str">
        <x:v>지오메트리불일치</x:v>
      </x:c>
      <x:c r="U20" s="37" t="str">
        <x:v>unknown</x:v>
      </x:c>
      <x:c r="V20" s="37" t="str">
        <x:v>접근부 추정점과 영상의 실제 횡단 착지부가 정합하지 않음</x:v>
      </x:c>
      <x:c r="W20" s="37" t="str">
        <x:v>판독불가</x:v>
      </x:c>
      <x:c r="X20" s="37" t="str">
        <x:v>판독불가</x:v>
      </x:c>
      <x:c r="Y20" s="37" t="str">
        <x:v>지오메트리불일치</x:v>
      </x:c>
      <x:c r="Z20" s="205" t="str">
        <x:v>unknown</x:v>
      </x:c>
      <x:c r="AA20" s="37" t="str">
        <x:v>접근부 추정점과 영상의 실제 횡단 착지부가 정합하지 않음</x:v>
      </x:c>
      <x:c r="AB20" s="37" t="str">
        <x:v>geometry_mismatch_candidate</x:v>
      </x:c>
      <x:c r="AC20" s="203" t="n">
        <x:v>0.58</x:v>
      </x:c>
      <x:c r="AD20" s="37" t="str">
        <x:v>Y</x:v>
      </x:c>
      <x:c r="AE20" s="44" t="str"/>
      <x:c r="AF20" s="37" t="str">
        <x:v>미반영(사람 승인 전)</x:v>
      </x:c>
      <x:c r="AG20" s="109" t="str">
        <x:v>위치 불일치·판독보류</x:v>
      </x:c>
      <x:c r="AH20" s="109" t="str">
        <x:v>위치 불일치·판독보류</x:v>
      </x:c>
      <x:c r="AI20" s="109" t="str">
        <x:v>N</x:v>
      </x:c>
      <x:c r="AJ20" s="109" t="str">
        <x:v>위치보정 필요</x:v>
      </x:c>
      <x:c r="AK20" s="109" t="str">
        <x:v>위치보정 전 사용 금지</x:v>
      </x:c>
      <x:c r="AL20" s="109" t="str">
        <x:v>추정 접근부와 실제 착지부 정합성 재설정 필요</x:v>
      </x:c>
    </x:row>
    <x:row r="21" ht="34" customHeight="1">
      <x:c r="A21" s="37" t="str">
        <x:v>CW08-A</x:v>
      </x:c>
      <x:c r="B21" s="37" t="str">
        <x:v>CW08</x:v>
      </x:c>
      <x:c r="C21" s="37" t="str">
        <x:v>A</x:v>
      </x:c>
      <x:c r="D21" s="37" t="str">
        <x:v>N</x:v>
      </x:c>
      <x:c r="E21" s="37" t="str">
        <x:v>2025-11-17 14:28:06</x:v>
      </x:c>
      <x:c r="F21" s="42" t="n">
        <x:v>5.99</x:v>
      </x:c>
      <x:c r="G21" s="37" t="str">
        <x:v>https://map.kakao.com/link/roadview/37.4015163,126.9234502</x:v>
      </x:c>
      <x:c r="H21" s="37" t="str">
        <x:v>https://map.kakao.com/?panoid=1202971188&amp;pan=326.1&amp;zoom=0&amp;map_type=TYPE_MAP&amp;map_attribute=ROADVIEW&amp;urlX=483066.0&amp;urlY=1083952.0</x:v>
      </x:c>
      <x:c r="I21" s="37" t="str">
        <x:v>Codex_AI_precheck_1</x:v>
      </x:c>
      <x:c r="J21" s="37" t="str">
        <x:v>2026-09-15</x:v>
      </x:c>
      <x:c r="K21" s="37" t="str">
        <x:v>판독불가</x:v>
      </x:c>
      <x:c r="L21" s="37" t="str">
        <x:v>판독불가</x:v>
      </x:c>
      <x:c r="M21" s="37" t="str">
        <x:v>차량/적치물가림</x:v>
      </x:c>
      <x:c r="N21" s="37" t="str">
        <x:v>unknown</x:v>
      </x:c>
      <x:c r="O21" s="37" t="str">
        <x:v>차량·적치물 또는 공사물로 핵심 시설이 가려짐</x:v>
      </x:c>
      <x:c r="P21" s="37" t="str"/>
      <x:c r="Q21" s="37" t="str"/>
      <x:c r="R21" s="37" t="str"/>
      <x:c r="S21" s="37" t="str"/>
      <x:c r="T21" s="37" t="str"/>
      <x:c r="U21" s="37" t="str"/>
      <x:c r="V21" s="37" t="str"/>
      <x:c r="W21" s="37" t="str">
        <x:v>판독불가</x:v>
      </x:c>
      <x:c r="X21" s="37" t="str">
        <x:v>판독불가</x:v>
      </x:c>
      <x:c r="Y21" s="37" t="str">
        <x:v>차량/적치물가림</x:v>
      </x:c>
      <x:c r="Z21" s="205" t="str">
        <x:v>unknown</x:v>
      </x:c>
      <x:c r="AA21" s="37" t="str">
        <x:v>차량·적치물 또는 공사물로 핵심 시설이 가려짐</x:v>
      </x:c>
      <x:c r="AB21" s="37" t="str">
        <x:v>occlusion_review_needed</x:v>
      </x:c>
      <x:c r="AC21" s="203" t="n">
        <x:v>0.52</x:v>
      </x:c>
      <x:c r="AD21" s="37" t="str">
        <x:v>Y</x:v>
      </x:c>
      <x:c r="AE21" s="44" t="str"/>
      <x:c r="AF21" s="37" t="str">
        <x:v>미반영(사람 승인 전)</x:v>
      </x:c>
      <x:c r="AG21" s="109" t="str">
        <x:v>가림·판독보류</x:v>
      </x:c>
      <x:c r="AH21" s="109" t="str">
        <x:v>가림·판독보류</x:v>
      </x:c>
      <x:c r="AI21" s="109" t="str">
        <x:v>N</x:v>
      </x:c>
      <x:c r="AJ21" s="109" t="str">
        <x:v>재관측 필요</x:v>
      </x:c>
      <x:c r="AK21" s="109" t="str">
        <x:v>사람검수 전 후보</x:v>
      </x:c>
      <x:c r="AL21" s="109" t="str">
        <x:v>가림 상태는 접근성 결론이 아님</x:v>
      </x:c>
    </x:row>
    <x:row r="22" ht="34" customHeight="1">
      <x:c r="A22" s="37" t="str">
        <x:v>CW08-B</x:v>
      </x:c>
      <x:c r="B22" s="37" t="str">
        <x:v>CW08</x:v>
      </x:c>
      <x:c r="C22" s="37" t="str">
        <x:v>B</x:v>
      </x:c>
      <x:c r="D22" s="37" t="str">
        <x:v>N</x:v>
      </x:c>
      <x:c r="E22" s="37" t="str">
        <x:v>2025-11-17 14:28:06</x:v>
      </x:c>
      <x:c r="F22" s="42" t="n">
        <x:v>1.9</x:v>
      </x:c>
      <x:c r="G22" s="37" t="str">
        <x:v>https://map.kakao.com/link/roadview/37.4015517,126.9235192</x:v>
      </x:c>
      <x:c r="H22" s="37" t="str">
        <x:v>https://map.kakao.com/?panoid=1202971188&amp;pan=326.1&amp;zoom=0&amp;map_type=TYPE_MAP&amp;map_attribute=ROADVIEW&amp;urlX=483066.0&amp;urlY=1083952.0</x:v>
      </x:c>
      <x:c r="I22" s="37" t="str">
        <x:v>Codex_AI_precheck_1</x:v>
      </x:c>
      <x:c r="J22" s="37" t="str">
        <x:v>2026-09-15</x:v>
      </x:c>
      <x:c r="K22" s="37" t="str">
        <x:v>판독불가</x:v>
      </x:c>
      <x:c r="L22" s="37" t="str">
        <x:v>판독불가</x:v>
      </x:c>
      <x:c r="M22" s="37" t="str">
        <x:v>시야불충분</x:v>
      </x:c>
      <x:c r="N22" s="37" t="str">
        <x:v>unknown</x:v>
      </x:c>
      <x:c r="O22" s="37" t="str">
        <x:v>착지부가 카메라 직하부·화면 밖에 있어 핵심 시설을 확인할 수 없음</x:v>
      </x:c>
      <x:c r="P22" s="37" t="str"/>
      <x:c r="Q22" s="37" t="str"/>
      <x:c r="R22" s="37" t="str"/>
      <x:c r="S22" s="37" t="str"/>
      <x:c r="T22" s="37" t="str"/>
      <x:c r="U22" s="37" t="str"/>
      <x:c r="V22" s="37" t="str"/>
      <x:c r="W22" s="37" t="str">
        <x:v>판독불가</x:v>
      </x:c>
      <x:c r="X22" s="37" t="str">
        <x:v>판독불가</x:v>
      </x:c>
      <x:c r="Y22" s="37" t="str">
        <x:v>시야불충분</x:v>
      </x:c>
      <x:c r="Z22" s="205" t="str">
        <x:v>unknown</x:v>
      </x:c>
      <x:c r="AA22" s="37" t="str">
        <x:v>착지부가 카메라 직하부·화면 밖에 있어 핵심 시설을 확인할 수 없음</x:v>
      </x:c>
      <x:c r="AB22" s="37" t="str">
        <x:v>visibility_review_needed</x:v>
      </x:c>
      <x:c r="AC22" s="203" t="n">
        <x:v>0.52</x:v>
      </x:c>
      <x:c r="AD22" s="37" t="str">
        <x:v>Y</x:v>
      </x:c>
      <x:c r="AE22" s="44" t="str"/>
      <x:c r="AF22" s="37" t="str">
        <x:v>미반영(사람 승인 전)</x:v>
      </x:c>
      <x:c r="AG22" s="109" t="str">
        <x:v>시야 부족·판독보류</x:v>
      </x:c>
      <x:c r="AH22" s="109" t="str">
        <x:v>시야 부족·판독보류</x:v>
      </x:c>
      <x:c r="AI22" s="109" t="str">
        <x:v>N</x:v>
      </x:c>
      <x:c r="AJ22" s="109" t="str">
        <x:v>재관측 필요</x:v>
      </x:c>
      <x:c r="AK22" s="109" t="str">
        <x:v>사람검수 전 후보</x:v>
      </x:c>
      <x:c r="AL22" s="109" t="str">
        <x:v>식별 불가를 차단 또는 통과로 치환하지 않음</x:v>
      </x:c>
    </x:row>
    <x:row r="23" ht="34" customHeight="1">
      <x:c r="A23" s="37" t="str">
        <x:v>CW09-A</x:v>
      </x:c>
      <x:c r="B23" s="37" t="str">
        <x:v>CW09</x:v>
      </x:c>
      <x:c r="C23" s="37" t="str">
        <x:v>A</x:v>
      </x:c>
      <x:c r="D23" s="37" t="str">
        <x:v>Y</x:v>
      </x:c>
      <x:c r="E23" s="37" t="str">
        <x:v>2025-11-18 11:48:15</x:v>
      </x:c>
      <x:c r="F23" s="42" t="n">
        <x:v>5.53</x:v>
      </x:c>
      <x:c r="G23" s="37" t="str">
        <x:v>https://map.kakao.com/link/roadview/37.4012456,126.9222473</x:v>
      </x:c>
      <x:c r="H23" s="37" t="str">
        <x:v>https://map.kakao.com/?panoid=1202871501&amp;pan=287.0&amp;zoom=0&amp;map_type=TYPE_MAP&amp;map_attribute=ROADVIEW&amp;urlX=482792.0&amp;urlY=1083853.0</x:v>
      </x:c>
      <x:c r="I23" s="37" t="str">
        <x:v>Codex_AI_precheck_1</x:v>
      </x:c>
      <x:c r="J23" s="37" t="str">
        <x:v>2026-09-15</x:v>
      </x:c>
      <x:c r="K23" s="37" t="str">
        <x:v>판독불가</x:v>
      </x:c>
      <x:c r="L23" s="37" t="str">
        <x:v>판독불가</x:v>
      </x:c>
      <x:c r="M23" s="37" t="str">
        <x:v>지오메트리불일치</x:v>
      </x:c>
      <x:c r="N23" s="37" t="str">
        <x:v>unknown</x:v>
      </x:c>
      <x:c r="O23" s="37" t="str">
        <x:v>접근부 추정점과 영상의 실제 횡단 착지부가 정합하지 않음</x:v>
      </x:c>
      <x:c r="P23" s="37" t="str">
        <x:v>Codex_AI_precheck_2</x:v>
      </x:c>
      <x:c r="Q23" s="37" t="str">
        <x:v>2026-09-15</x:v>
      </x:c>
      <x:c r="R23" s="37" t="str">
        <x:v>판독불가</x:v>
      </x:c>
      <x:c r="S23" s="37" t="str">
        <x:v>판독불가</x:v>
      </x:c>
      <x:c r="T23" s="37" t="str">
        <x:v>지오메트리불일치</x:v>
      </x:c>
      <x:c r="U23" s="37" t="str">
        <x:v>unknown</x:v>
      </x:c>
      <x:c r="V23" s="37" t="str">
        <x:v>접근부 추정점과 영상의 실제 횡단 착지부가 정합하지 않음</x:v>
      </x:c>
      <x:c r="W23" s="37" t="str">
        <x:v>판독불가</x:v>
      </x:c>
      <x:c r="X23" s="37" t="str">
        <x:v>판독불가</x:v>
      </x:c>
      <x:c r="Y23" s="37" t="str">
        <x:v>지오메트리불일치</x:v>
      </x:c>
      <x:c r="Z23" s="205" t="str">
        <x:v>unknown</x:v>
      </x:c>
      <x:c r="AA23" s="37" t="str">
        <x:v>접근부 추정점과 영상의 실제 횡단 착지부가 정합하지 않음</x:v>
      </x:c>
      <x:c r="AB23" s="37" t="str">
        <x:v>geometry_mismatch_candidate</x:v>
      </x:c>
      <x:c r="AC23" s="203" t="n">
        <x:v>0.58</x:v>
      </x:c>
      <x:c r="AD23" s="37" t="str">
        <x:v>Y</x:v>
      </x:c>
      <x:c r="AE23" s="44" t="str"/>
      <x:c r="AF23" s="37" t="str">
        <x:v>미반영(사람 승인 전)</x:v>
      </x:c>
      <x:c r="AG23" s="109" t="str">
        <x:v>위치 불일치·판독보류</x:v>
      </x:c>
      <x:c r="AH23" s="109" t="str">
        <x:v>위치 불일치·판독보류</x:v>
      </x:c>
      <x:c r="AI23" s="109" t="str">
        <x:v>N</x:v>
      </x:c>
      <x:c r="AJ23" s="109" t="str">
        <x:v>위치보정 필요</x:v>
      </x:c>
      <x:c r="AK23" s="109" t="str">
        <x:v>위치보정 전 사용 금지</x:v>
      </x:c>
      <x:c r="AL23" s="109" t="str">
        <x:v>추정 접근부와 실제 착지부 정합성 재설정 필요</x:v>
      </x:c>
    </x:row>
    <x:row r="24" ht="34" customHeight="1">
      <x:c r="A24" s="37" t="str">
        <x:v>CW09-B</x:v>
      </x:c>
      <x:c r="B24" s="37" t="str">
        <x:v>CW09</x:v>
      </x:c>
      <x:c r="C24" s="37" t="str">
        <x:v>B</x:v>
      </x:c>
      <x:c r="D24" s="37" t="str">
        <x:v>Y</x:v>
      </x:c>
      <x:c r="E24" s="37" t="str">
        <x:v>2025-12-01 13:09:18</x:v>
      </x:c>
      <x:c r="F24" s="42" t="n">
        <x:v>6.57</x:v>
      </x:c>
      <x:c r="G24" s="37" t="str">
        <x:v>https://map.kakao.com/link/roadview/37.4012922,126.9223251</x:v>
      </x:c>
      <x:c r="H24" s="37" t="str">
        <x:v>https://map.kakao.com/?panoid=1203476172&amp;pan=320.5&amp;zoom=0&amp;map_type=TYPE_MAP&amp;map_attribute=ROADVIEW&amp;urlX=482806.0&amp;urlY=1083863.0</x:v>
      </x:c>
      <x:c r="I24" s="37" t="str">
        <x:v>Codex_AI_precheck_1</x:v>
      </x:c>
      <x:c r="J24" s="37" t="str">
        <x:v>2026-09-15</x:v>
      </x:c>
      <x:c r="K24" s="37" t="str">
        <x:v>판독불가</x:v>
      </x:c>
      <x:c r="L24" s="37" t="str">
        <x:v>판독불가</x:v>
      </x:c>
      <x:c r="M24" s="37" t="str">
        <x:v>지오메트리불일치</x:v>
      </x:c>
      <x:c r="N24" s="37" t="str">
        <x:v>unknown</x:v>
      </x:c>
      <x:c r="O24" s="37" t="str">
        <x:v>접근부 추정점과 영상의 실제 횡단 착지부가 정합하지 않음</x:v>
      </x:c>
      <x:c r="P24" s="37" t="str">
        <x:v>Codex_AI_precheck_2</x:v>
      </x:c>
      <x:c r="Q24" s="37" t="str">
        <x:v>2026-09-15</x:v>
      </x:c>
      <x:c r="R24" s="37" t="str">
        <x:v>판독불가</x:v>
      </x:c>
      <x:c r="S24" s="37" t="str">
        <x:v>판독불가</x:v>
      </x:c>
      <x:c r="T24" s="37" t="str">
        <x:v>지오메트리불일치</x:v>
      </x:c>
      <x:c r="U24" s="37" t="str">
        <x:v>unknown</x:v>
      </x:c>
      <x:c r="V24" s="37" t="str">
        <x:v>접근부 추정점과 영상의 실제 횡단 착지부가 정합하지 않음</x:v>
      </x:c>
      <x:c r="W24" s="37" t="str">
        <x:v>판독불가</x:v>
      </x:c>
      <x:c r="X24" s="37" t="str">
        <x:v>판독불가</x:v>
      </x:c>
      <x:c r="Y24" s="37" t="str">
        <x:v>지오메트리불일치</x:v>
      </x:c>
      <x:c r="Z24" s="205" t="str">
        <x:v>unknown</x:v>
      </x:c>
      <x:c r="AA24" s="37" t="str">
        <x:v>접근부 추정점과 영상의 실제 횡단 착지부가 정합하지 않음</x:v>
      </x:c>
      <x:c r="AB24" s="37" t="str">
        <x:v>geometry_mismatch_candidate</x:v>
      </x:c>
      <x:c r="AC24" s="203" t="n">
        <x:v>0.58</x:v>
      </x:c>
      <x:c r="AD24" s="37" t="str">
        <x:v>Y</x:v>
      </x:c>
      <x:c r="AE24" s="44" t="str"/>
      <x:c r="AF24" s="37" t="str">
        <x:v>미반영(사람 승인 전)</x:v>
      </x:c>
      <x:c r="AG24" s="109" t="str">
        <x:v>위치 불일치·판독보류</x:v>
      </x:c>
      <x:c r="AH24" s="109" t="str">
        <x:v>위치 불일치·판독보류</x:v>
      </x:c>
      <x:c r="AI24" s="109" t="str">
        <x:v>N</x:v>
      </x:c>
      <x:c r="AJ24" s="109" t="str">
        <x:v>위치보정 필요</x:v>
      </x:c>
      <x:c r="AK24" s="109" t="str">
        <x:v>위치보정 전 사용 금지</x:v>
      </x:c>
      <x:c r="AL24" s="109" t="str">
        <x:v>추정 접근부와 실제 착지부 정합성 재설정 필요</x:v>
      </x:c>
    </x:row>
    <x:row r="25" ht="34" customHeight="1">
      <x:c r="A25" s="37" t="str">
        <x:v>CW10-A</x:v>
      </x:c>
      <x:c r="B25" s="37" t="str">
        <x:v>CW10</x:v>
      </x:c>
      <x:c r="C25" s="37" t="str">
        <x:v>A</x:v>
      </x:c>
      <x:c r="D25" s="37" t="str">
        <x:v>N</x:v>
      </x:c>
      <x:c r="E25" s="37" t="str">
        <x:v>2025-11-17 14:28:00</x:v>
      </x:c>
      <x:c r="F25" s="42" t="n">
        <x:v>5.56</x:v>
      </x:c>
      <x:c r="G25" s="37" t="str">
        <x:v>https://map.kakao.com/link/roadview/37.4012278,126.9236803</x:v>
      </x:c>
      <x:c r="H25" s="37" t="str">
        <x:v>https://map.kakao.com/?panoid=1202971184&amp;pan=327.6&amp;zoom=0&amp;map_type=TYPE_MAP&amp;map_attribute=ROADVIEW&amp;urlX=483119.0&amp;urlY=1083867.0</x:v>
      </x:c>
      <x:c r="I25" s="37" t="str">
        <x:v>Codex_AI_precheck_1</x:v>
      </x:c>
      <x:c r="J25" s="37" t="str">
        <x:v>2026-09-15</x:v>
      </x:c>
      <x:c r="K25" s="37" t="str">
        <x:v>판독불가</x:v>
      </x:c>
      <x:c r="L25" s="37" t="str">
        <x:v>판독불가</x:v>
      </x:c>
      <x:c r="M25" s="37" t="str">
        <x:v>차량/적치물가림</x:v>
      </x:c>
      <x:c r="N25" s="37" t="str">
        <x:v>unknown</x:v>
      </x:c>
      <x:c r="O25" s="37" t="str">
        <x:v>차량·적치물 또는 공사물로 핵심 시설이 가려짐</x:v>
      </x:c>
      <x:c r="P25" s="37" t="str"/>
      <x:c r="Q25" s="37" t="str"/>
      <x:c r="R25" s="37" t="str"/>
      <x:c r="S25" s="37" t="str"/>
      <x:c r="T25" s="37" t="str"/>
      <x:c r="U25" s="37" t="str"/>
      <x:c r="V25" s="37" t="str"/>
      <x:c r="W25" s="37" t="str">
        <x:v>판독불가</x:v>
      </x:c>
      <x:c r="X25" s="37" t="str">
        <x:v>판독불가</x:v>
      </x:c>
      <x:c r="Y25" s="37" t="str">
        <x:v>차량/적치물가림</x:v>
      </x:c>
      <x:c r="Z25" s="205" t="str">
        <x:v>unknown</x:v>
      </x:c>
      <x:c r="AA25" s="37" t="str">
        <x:v>차량·적치물 또는 공사물로 핵심 시설이 가려짐</x:v>
      </x:c>
      <x:c r="AB25" s="37" t="str">
        <x:v>occlusion_review_needed</x:v>
      </x:c>
      <x:c r="AC25" s="203" t="n">
        <x:v>0.52</x:v>
      </x:c>
      <x:c r="AD25" s="37" t="str">
        <x:v>Y</x:v>
      </x:c>
      <x:c r="AE25" s="44" t="str"/>
      <x:c r="AF25" s="37" t="str">
        <x:v>미반영(사람 승인 전)</x:v>
      </x:c>
      <x:c r="AG25" s="109" t="str">
        <x:v>가림·판독보류</x:v>
      </x:c>
      <x:c r="AH25" s="109" t="str">
        <x:v>가림·판독보류</x:v>
      </x:c>
      <x:c r="AI25" s="109" t="str">
        <x:v>N</x:v>
      </x:c>
      <x:c r="AJ25" s="109" t="str">
        <x:v>재관측 필요</x:v>
      </x:c>
      <x:c r="AK25" s="109" t="str">
        <x:v>사람검수 전 후보</x:v>
      </x:c>
      <x:c r="AL25" s="109" t="str">
        <x:v>가림 상태는 접근성 결론이 아님</x:v>
      </x:c>
    </x:row>
    <x:row r="26" ht="34" customHeight="1">
      <x:c r="A26" s="37" t="str">
        <x:v>CW10-B</x:v>
      </x:c>
      <x:c r="B26" s="37" t="str">
        <x:v>CW10</x:v>
      </x:c>
      <x:c r="C26" s="37" t="str">
        <x:v>B</x:v>
      </x:c>
      <x:c r="D26" s="37" t="str">
        <x:v>N</x:v>
      </x:c>
      <x:c r="E26" s="37" t="str">
        <x:v>2025-11-17 14:28:00</x:v>
      </x:c>
      <x:c r="F26" s="42" t="n">
        <x:v>4.13</x:v>
      </x:c>
      <x:c r="G26" s="37" t="str">
        <x:v>https://map.kakao.com/link/roadview/37.4012772,126.9237673</x:v>
      </x:c>
      <x:c r="H26" s="37" t="str">
        <x:v>https://map.kakao.com/?panoid=1202971184&amp;pan=327.6&amp;zoom=0&amp;map_type=TYPE_MAP&amp;map_attribute=ROADVIEW&amp;urlX=483119.0&amp;urlY=1083867.0</x:v>
      </x:c>
      <x:c r="I26" s="37" t="str">
        <x:v>Codex_AI_precheck_1</x:v>
      </x:c>
      <x:c r="J26" s="37" t="str">
        <x:v>2026-09-15</x:v>
      </x:c>
      <x:c r="K26" s="37" t="str">
        <x:v>있음</x:v>
      </x:c>
      <x:c r="L26" s="37" t="str">
        <x:v>없음</x:v>
      </x:c>
      <x:c r="M26" s="37" t="str">
        <x:v>없음</x:v>
      </x:c>
      <x:c r="N26" s="37" t="str">
        <x:v>block</x:v>
      </x:c>
      <x:c r="O26" s="37" t="str">
        <x:v>횡단 지점은 보이지만 점자블록이 보이지 않음</x:v>
      </x:c>
      <x:c r="P26" s="37" t="str"/>
      <x:c r="Q26" s="37" t="str"/>
      <x:c r="R26" s="37" t="str"/>
      <x:c r="S26" s="37" t="str"/>
      <x:c r="T26" s="37" t="str"/>
      <x:c r="U26" s="37" t="str"/>
      <x:c r="V26" s="37" t="str"/>
      <x:c r="W26" s="37" t="str">
        <x:v>있음</x:v>
      </x:c>
      <x:c r="X26" s="37" t="str">
        <x:v>없음</x:v>
      </x:c>
      <x:c r="Y26" s="37" t="str">
        <x:v>없음</x:v>
      </x:c>
      <x:c r="Z26" s="205" t="str">
        <x:v>block</x:v>
      </x:c>
      <x:c r="AA26" s="37" t="str">
        <x:v>횡단 지점은 보이지만 점자블록이 보이지 않음</x:v>
      </x:c>
      <x:c r="AB26" s="37" t="str">
        <x:v>tactile_absent_candidate</x:v>
      </x:c>
      <x:c r="AC26" s="203" t="n">
        <x:v>0.76</x:v>
      </x:c>
      <x:c r="AD26" s="37" t="str">
        <x:v>Y</x:v>
      </x:c>
      <x:c r="AE26" s="44" t="str"/>
      <x:c r="AF26" s="37" t="str">
        <x:v>미반영(사람 승인 전)</x:v>
      </x:c>
      <x:c r="AG26" s="109" t="str">
        <x:v>점자 사유 차단 아님</x:v>
      </x:c>
      <x:c r="AH26" s="109" t="str">
        <x:v>점자 유도 결함 후보</x:v>
      </x:c>
      <x:c r="AI26" s="109" t="str">
        <x:v>N</x:v>
      </x:c>
      <x:c r="AJ26" s="109" t="str">
        <x:v>정적 후보</x:v>
      </x:c>
      <x:c r="AK26" s="109" t="str">
        <x:v>사람검수 전 후보</x:v>
      </x:c>
      <x:c r="AL26" s="109" t="str">
        <x:v>점자블록 부재는 휠체어 하드차단 기준이 아님</x:v>
      </x:c>
    </x:row>
    <x:row r="27" ht="34" customHeight="1">
      <x:c r="A27" s="37" t="str">
        <x:v>CW11-A</x:v>
      </x:c>
      <x:c r="B27" s="37" t="str">
        <x:v>CW11</x:v>
      </x:c>
      <x:c r="C27" s="37" t="str">
        <x:v>A</x:v>
      </x:c>
      <x:c r="D27" s="37" t="str">
        <x:v>N</x:v>
      </x:c>
      <x:c r="E27" s="37" t="str">
        <x:v>2025-11-18 14:46:16</x:v>
      </x:c>
      <x:c r="F27" s="42" t="n">
        <x:v>13.98</x:v>
      </x:c>
      <x:c r="G27" s="37" t="str">
        <x:v>https://map.kakao.com/link/roadview/37.4010194,126.9226935</x:v>
      </x:c>
      <x:c r="H27" s="37" t="str">
        <x:v>https://map.kakao.com/?panoid=1202874755&amp;pan=320.5&amp;zoom=0&amp;map_type=TYPE_MAP&amp;map_attribute=ROADVIEW&amp;urlX=482856.0&amp;urlY=1083789.0</x:v>
      </x:c>
      <x:c r="I27" s="37" t="str">
        <x:v>Codex_AI_precheck_1</x:v>
      </x:c>
      <x:c r="J27" s="37" t="str">
        <x:v>2026-09-15</x:v>
      </x:c>
      <x:c r="K27" s="37" t="str">
        <x:v>판독불가</x:v>
      </x:c>
      <x:c r="L27" s="37" t="str">
        <x:v>판독불가</x:v>
      </x:c>
      <x:c r="M27" s="37" t="str">
        <x:v>지오메트리불일치</x:v>
      </x:c>
      <x:c r="N27" s="37" t="str">
        <x:v>unknown</x:v>
      </x:c>
      <x:c r="O27" s="37" t="str">
        <x:v>접근부 추정점과 영상의 실제 횡단 착지부가 정합하지 않음</x:v>
      </x:c>
      <x:c r="P27" s="37" t="str"/>
      <x:c r="Q27" s="37" t="str"/>
      <x:c r="R27" s="37" t="str"/>
      <x:c r="S27" s="37" t="str"/>
      <x:c r="T27" s="37" t="str"/>
      <x:c r="U27" s="37" t="str"/>
      <x:c r="V27" s="37" t="str"/>
      <x:c r="W27" s="37" t="str">
        <x:v>판독불가</x:v>
      </x:c>
      <x:c r="X27" s="37" t="str">
        <x:v>판독불가</x:v>
      </x:c>
      <x:c r="Y27" s="37" t="str">
        <x:v>지오메트리불일치</x:v>
      </x:c>
      <x:c r="Z27" s="205" t="str">
        <x:v>unknown</x:v>
      </x:c>
      <x:c r="AA27" s="37" t="str">
        <x:v>접근부 추정점과 영상의 실제 횡단 착지부가 정합하지 않음</x:v>
      </x:c>
      <x:c r="AB27" s="37" t="str">
        <x:v>geometry_mismatch_candidate</x:v>
      </x:c>
      <x:c r="AC27" s="203" t="n">
        <x:v>0.58</x:v>
      </x:c>
      <x:c r="AD27" s="37" t="str">
        <x:v>Y</x:v>
      </x:c>
      <x:c r="AE27" s="44" t="str"/>
      <x:c r="AF27" s="37" t="str">
        <x:v>미반영(사람 승인 전)</x:v>
      </x:c>
      <x:c r="AG27" s="109" t="str">
        <x:v>위치 불일치·판독보류</x:v>
      </x:c>
      <x:c r="AH27" s="109" t="str">
        <x:v>위치 불일치·판독보류</x:v>
      </x:c>
      <x:c r="AI27" s="109" t="str">
        <x:v>N</x:v>
      </x:c>
      <x:c r="AJ27" s="109" t="str">
        <x:v>위치보정 필요</x:v>
      </x:c>
      <x:c r="AK27" s="109" t="str">
        <x:v>위치보정 전 사용 금지</x:v>
      </x:c>
      <x:c r="AL27" s="109" t="str">
        <x:v>추정 접근부와 실제 착지부 정합성 재설정 필요</x:v>
      </x:c>
    </x:row>
    <x:row r="28" ht="34" customHeight="1">
      <x:c r="A28" s="37" t="str">
        <x:v>CW11-B</x:v>
      </x:c>
      <x:c r="B28" s="37" t="str">
        <x:v>CW11</x:v>
      </x:c>
      <x:c r="C28" s="37" t="str">
        <x:v>B</x:v>
      </x:c>
      <x:c r="D28" s="37" t="str">
        <x:v>N</x:v>
      </x:c>
      <x:c r="E28" s="37" t="str">
        <x:v>2025-11-18 14:46:16</x:v>
      </x:c>
      <x:c r="F28" s="42" t="n">
        <x:v>18.48</x:v>
      </x:c>
      <x:c r="G28" s="37" t="str">
        <x:v>https://map.kakao.com/link/roadview/37.4010441,126.9227349</x:v>
      </x:c>
      <x:c r="H28" s="37" t="str">
        <x:v>https://map.kakao.com/?panoid=1202874755&amp;pan=320.5&amp;zoom=0&amp;map_type=TYPE_MAP&amp;map_attribute=ROADVIEW&amp;urlX=482856.0&amp;urlY=1083789.0</x:v>
      </x:c>
      <x:c r="I28" s="37" t="str">
        <x:v>Codex_AI_precheck_1</x:v>
      </x:c>
      <x:c r="J28" s="37" t="str">
        <x:v>2026-09-15</x:v>
      </x:c>
      <x:c r="K28" s="37" t="str">
        <x:v>판독불가</x:v>
      </x:c>
      <x:c r="L28" s="37" t="str">
        <x:v>판독불가</x:v>
      </x:c>
      <x:c r="M28" s="37" t="str">
        <x:v>지오메트리불일치</x:v>
      </x:c>
      <x:c r="N28" s="37" t="str">
        <x:v>unknown</x:v>
      </x:c>
      <x:c r="O28" s="37" t="str">
        <x:v>접근부 추정점과 영상의 실제 횡단 착지부가 정합하지 않음</x:v>
      </x:c>
      <x:c r="P28" s="37" t="str"/>
      <x:c r="Q28" s="37" t="str"/>
      <x:c r="R28" s="37" t="str"/>
      <x:c r="S28" s="37" t="str"/>
      <x:c r="T28" s="37" t="str"/>
      <x:c r="U28" s="37" t="str"/>
      <x:c r="V28" s="37" t="str"/>
      <x:c r="W28" s="37" t="str">
        <x:v>판독불가</x:v>
      </x:c>
      <x:c r="X28" s="37" t="str">
        <x:v>판독불가</x:v>
      </x:c>
      <x:c r="Y28" s="37" t="str">
        <x:v>지오메트리불일치</x:v>
      </x:c>
      <x:c r="Z28" s="205" t="str">
        <x:v>unknown</x:v>
      </x:c>
      <x:c r="AA28" s="37" t="str">
        <x:v>접근부 추정점과 영상의 실제 횡단 착지부가 정합하지 않음</x:v>
      </x:c>
      <x:c r="AB28" s="37" t="str">
        <x:v>geometry_mismatch_candidate</x:v>
      </x:c>
      <x:c r="AC28" s="203" t="n">
        <x:v>0.58</x:v>
      </x:c>
      <x:c r="AD28" s="37" t="str">
        <x:v>Y</x:v>
      </x:c>
      <x:c r="AE28" s="44" t="str"/>
      <x:c r="AF28" s="37" t="str">
        <x:v>미반영(사람 승인 전)</x:v>
      </x:c>
      <x:c r="AG28" s="109" t="str">
        <x:v>위치 불일치·판독보류</x:v>
      </x:c>
      <x:c r="AH28" s="109" t="str">
        <x:v>위치 불일치·판독보류</x:v>
      </x:c>
      <x:c r="AI28" s="109" t="str">
        <x:v>N</x:v>
      </x:c>
      <x:c r="AJ28" s="109" t="str">
        <x:v>위치보정 필요</x:v>
      </x:c>
      <x:c r="AK28" s="109" t="str">
        <x:v>위치보정 전 사용 금지</x:v>
      </x:c>
      <x:c r="AL28" s="109" t="str">
        <x:v>추정 접근부와 실제 착지부 정합성 재설정 필요</x:v>
      </x:c>
    </x:row>
    <x:row r="29" ht="34" customHeight="1">
      <x:c r="A29" s="37" t="str">
        <x:v>CW12-A</x:v>
      </x:c>
      <x:c r="B29" s="37" t="str">
        <x:v>CW12</x:v>
      </x:c>
      <x:c r="C29" s="37" t="str">
        <x:v>A</x:v>
      </x:c>
      <x:c r="D29" s="37" t="str">
        <x:v>Y</x:v>
      </x:c>
      <x:c r="E29" s="37" t="str">
        <x:v>2025-11-18 14:46:16</x:v>
      </x:c>
      <x:c r="F29" s="42" t="n">
        <x:v>8.94</x:v>
      </x:c>
      <x:c r="G29" s="37" t="str">
        <x:v>https://map.kakao.com/link/roadview/37.4009933,126.9226452</x:v>
      </x:c>
      <x:c r="H29" s="37" t="str">
        <x:v>https://map.kakao.com/?panoid=1202874755&amp;pan=320.5&amp;zoom=0&amp;map_type=TYPE_MAP&amp;map_attribute=ROADVIEW&amp;urlX=482856.0&amp;urlY=1083789.0</x:v>
      </x:c>
      <x:c r="I29" s="37" t="str">
        <x:v>Codex_AI_precheck_1</x:v>
      </x:c>
      <x:c r="J29" s="37" t="str">
        <x:v>2026-09-15</x:v>
      </x:c>
      <x:c r="K29" s="37" t="str">
        <x:v>판독불가</x:v>
      </x:c>
      <x:c r="L29" s="37" t="str">
        <x:v>판독불가</x:v>
      </x:c>
      <x:c r="M29" s="37" t="str">
        <x:v>지오메트리불일치</x:v>
      </x:c>
      <x:c r="N29" s="37" t="str">
        <x:v>unknown</x:v>
      </x:c>
      <x:c r="O29" s="37" t="str">
        <x:v>접근부 추정점과 영상의 실제 횡단 착지부가 정합하지 않음</x:v>
      </x:c>
      <x:c r="P29" s="37" t="str">
        <x:v>Codex_AI_precheck_2</x:v>
      </x:c>
      <x:c r="Q29" s="37" t="str">
        <x:v>2026-09-15</x:v>
      </x:c>
      <x:c r="R29" s="37" t="str">
        <x:v>판독불가</x:v>
      </x:c>
      <x:c r="S29" s="37" t="str">
        <x:v>판독불가</x:v>
      </x:c>
      <x:c r="T29" s="37" t="str">
        <x:v>지오메트리불일치</x:v>
      </x:c>
      <x:c r="U29" s="37" t="str">
        <x:v>unknown</x:v>
      </x:c>
      <x:c r="V29" s="37" t="str">
        <x:v>접근부 추정점과 영상의 실제 횡단 착지부가 정합하지 않음</x:v>
      </x:c>
      <x:c r="W29" s="37" t="str">
        <x:v>판독불가</x:v>
      </x:c>
      <x:c r="X29" s="37" t="str">
        <x:v>판독불가</x:v>
      </x:c>
      <x:c r="Y29" s="37" t="str">
        <x:v>지오메트리불일치</x:v>
      </x:c>
      <x:c r="Z29" s="205" t="str">
        <x:v>unknown</x:v>
      </x:c>
      <x:c r="AA29" s="37" t="str">
        <x:v>접근부 추정점과 영상의 실제 횡단 착지부가 정합하지 않음</x:v>
      </x:c>
      <x:c r="AB29" s="37" t="str">
        <x:v>geometry_mismatch_candidate</x:v>
      </x:c>
      <x:c r="AC29" s="203" t="n">
        <x:v>0.58</x:v>
      </x:c>
      <x:c r="AD29" s="37" t="str">
        <x:v>Y</x:v>
      </x:c>
      <x:c r="AE29" s="44" t="str"/>
      <x:c r="AF29" s="37" t="str">
        <x:v>미반영(사람 승인 전)</x:v>
      </x:c>
      <x:c r="AG29" s="109" t="str">
        <x:v>위치 불일치·판독보류</x:v>
      </x:c>
      <x:c r="AH29" s="109" t="str">
        <x:v>위치 불일치·판독보류</x:v>
      </x:c>
      <x:c r="AI29" s="109" t="str">
        <x:v>N</x:v>
      </x:c>
      <x:c r="AJ29" s="109" t="str">
        <x:v>위치보정 필요</x:v>
      </x:c>
      <x:c r="AK29" s="109" t="str">
        <x:v>위치보정 전 사용 금지</x:v>
      </x:c>
      <x:c r="AL29" s="109" t="str">
        <x:v>추정 접근부와 실제 착지부 정합성 재설정 필요</x:v>
      </x:c>
    </x:row>
    <x:row r="30" ht="34" customHeight="1">
      <x:c r="A30" s="37" t="str">
        <x:v>CW12-B</x:v>
      </x:c>
      <x:c r="B30" s="37" t="str">
        <x:v>CW12</x:v>
      </x:c>
      <x:c r="C30" s="37" t="str">
        <x:v>B</x:v>
      </x:c>
      <x:c r="D30" s="37" t="str">
        <x:v>Y</x:v>
      </x:c>
      <x:c r="E30" s="37" t="str">
        <x:v>2025-11-18 14:46:16</x:v>
      </x:c>
      <x:c r="F30" s="42" t="n">
        <x:v>12.22</x:v>
      </x:c>
      <x:c r="G30" s="37" t="str">
        <x:v>https://map.kakao.com/link/roadview/37.4010116,126.9226760</x:v>
      </x:c>
      <x:c r="H30" s="37" t="str">
        <x:v>https://map.kakao.com/?panoid=1202874755&amp;pan=320.5&amp;zoom=0&amp;map_type=TYPE_MAP&amp;map_attribute=ROADVIEW&amp;urlX=482856.0&amp;urlY=1083789.0</x:v>
      </x:c>
      <x:c r="I30" s="37" t="str">
        <x:v>Codex_AI_precheck_1</x:v>
      </x:c>
      <x:c r="J30" s="37" t="str">
        <x:v>2026-09-15</x:v>
      </x:c>
      <x:c r="K30" s="37" t="str">
        <x:v>판독불가</x:v>
      </x:c>
      <x:c r="L30" s="37" t="str">
        <x:v>판독불가</x:v>
      </x:c>
      <x:c r="M30" s="37" t="str">
        <x:v>지오메트리불일치</x:v>
      </x:c>
      <x:c r="N30" s="37" t="str">
        <x:v>unknown</x:v>
      </x:c>
      <x:c r="O30" s="37" t="str">
        <x:v>접근부 추정점과 영상의 실제 횡단 착지부가 정합하지 않음</x:v>
      </x:c>
      <x:c r="P30" s="37" t="str">
        <x:v>Codex_AI_precheck_2</x:v>
      </x:c>
      <x:c r="Q30" s="37" t="str">
        <x:v>2026-09-15</x:v>
      </x:c>
      <x:c r="R30" s="37" t="str">
        <x:v>판독불가</x:v>
      </x:c>
      <x:c r="S30" s="37" t="str">
        <x:v>판독불가</x:v>
      </x:c>
      <x:c r="T30" s="37" t="str">
        <x:v>지오메트리불일치</x:v>
      </x:c>
      <x:c r="U30" s="37" t="str">
        <x:v>unknown</x:v>
      </x:c>
      <x:c r="V30" s="37" t="str">
        <x:v>접근부 추정점과 영상의 실제 횡단 착지부가 정합하지 않음</x:v>
      </x:c>
      <x:c r="W30" s="37" t="str">
        <x:v>판독불가</x:v>
      </x:c>
      <x:c r="X30" s="37" t="str">
        <x:v>판독불가</x:v>
      </x:c>
      <x:c r="Y30" s="37" t="str">
        <x:v>지오메트리불일치</x:v>
      </x:c>
      <x:c r="Z30" s="205" t="str">
        <x:v>unknown</x:v>
      </x:c>
      <x:c r="AA30" s="37" t="str">
        <x:v>접근부 추정점과 영상의 실제 횡단 착지부가 정합하지 않음</x:v>
      </x:c>
      <x:c r="AB30" s="37" t="str">
        <x:v>geometry_mismatch_candidate</x:v>
      </x:c>
      <x:c r="AC30" s="203" t="n">
        <x:v>0.58</x:v>
      </x:c>
      <x:c r="AD30" s="37" t="str">
        <x:v>Y</x:v>
      </x:c>
      <x:c r="AE30" s="44" t="str"/>
      <x:c r="AF30" s="37" t="str">
        <x:v>미반영(사람 승인 전)</x:v>
      </x:c>
      <x:c r="AG30" s="109" t="str">
        <x:v>위치 불일치·판독보류</x:v>
      </x:c>
      <x:c r="AH30" s="109" t="str">
        <x:v>위치 불일치·판독보류</x:v>
      </x:c>
      <x:c r="AI30" s="109" t="str">
        <x:v>N</x:v>
      </x:c>
      <x:c r="AJ30" s="109" t="str">
        <x:v>위치보정 필요</x:v>
      </x:c>
      <x:c r="AK30" s="109" t="str">
        <x:v>위치보정 전 사용 금지</x:v>
      </x:c>
      <x:c r="AL30" s="109" t="str">
        <x:v>추정 접근부와 실제 착지부 정합성 재설정 필요</x:v>
      </x:c>
    </x:row>
    <x:row r="31" ht="34" customHeight="1">
      <x:c r="A31" s="37" t="str">
        <x:v>CW13-A</x:v>
      </x:c>
      <x:c r="B31" s="37" t="str">
        <x:v>CW13</x:v>
      </x:c>
      <x:c r="C31" s="37" t="str">
        <x:v>A</x:v>
      </x:c>
      <x:c r="D31" s="37" t="str">
        <x:v>N</x:v>
      </x:c>
      <x:c r="E31" s="37" t="str">
        <x:v>2025-11-18 15:01:57</x:v>
      </x:c>
      <x:c r="F31" s="42" t="n">
        <x:v>5.85</x:v>
      </x:c>
      <x:c r="G31" s="37" t="str">
        <x:v>https://map.kakao.com/link/roadview/37.4008374,126.9219404</x:v>
      </x:c>
      <x:c r="H31" s="37" t="str">
        <x:v>https://map.kakao.com/?panoid=1202874946&amp;pan=70.6&amp;zoom=0&amp;map_type=TYPE_MAP&amp;map_attribute=ROADVIEW&amp;urlX=482731.0&amp;urlY=1083764.0</x:v>
      </x:c>
      <x:c r="I31" s="37" t="str">
        <x:v>Codex_AI_precheck_1</x:v>
      </x:c>
      <x:c r="J31" s="37" t="str">
        <x:v>2026-09-15</x:v>
      </x:c>
      <x:c r="K31" s="37" t="str">
        <x:v>판독불가</x:v>
      </x:c>
      <x:c r="L31" s="37" t="str">
        <x:v>판독불가</x:v>
      </x:c>
      <x:c r="M31" s="37" t="str">
        <x:v>지오메트리불일치</x:v>
      </x:c>
      <x:c r="N31" s="37" t="str">
        <x:v>unknown</x:v>
      </x:c>
      <x:c r="O31" s="37" t="str">
        <x:v>접근부 추정점과 영상의 실제 횡단 착지부가 정합하지 않음</x:v>
      </x:c>
      <x:c r="P31" s="37" t="str"/>
      <x:c r="Q31" s="37" t="str"/>
      <x:c r="R31" s="37" t="str"/>
      <x:c r="S31" s="37" t="str"/>
      <x:c r="T31" s="37" t="str"/>
      <x:c r="U31" s="37" t="str"/>
      <x:c r="V31" s="37" t="str"/>
      <x:c r="W31" s="37" t="str">
        <x:v>판독불가</x:v>
      </x:c>
      <x:c r="X31" s="37" t="str">
        <x:v>판독불가</x:v>
      </x:c>
      <x:c r="Y31" s="37" t="str">
        <x:v>지오메트리불일치</x:v>
      </x:c>
      <x:c r="Z31" s="205" t="str">
        <x:v>unknown</x:v>
      </x:c>
      <x:c r="AA31" s="37" t="str">
        <x:v>접근부 추정점과 영상의 실제 횡단 착지부가 정합하지 않음</x:v>
      </x:c>
      <x:c r="AB31" s="37" t="str">
        <x:v>geometry_mismatch_candidate</x:v>
      </x:c>
      <x:c r="AC31" s="203" t="n">
        <x:v>0.58</x:v>
      </x:c>
      <x:c r="AD31" s="37" t="str">
        <x:v>Y</x:v>
      </x:c>
      <x:c r="AE31" s="44" t="str"/>
      <x:c r="AF31" s="37" t="str">
        <x:v>미반영(사람 승인 전)</x:v>
      </x:c>
      <x:c r="AG31" s="109" t="str">
        <x:v>위치 불일치·판독보류</x:v>
      </x:c>
      <x:c r="AH31" s="109" t="str">
        <x:v>위치 불일치·판독보류</x:v>
      </x:c>
      <x:c r="AI31" s="109" t="str">
        <x:v>N</x:v>
      </x:c>
      <x:c r="AJ31" s="109" t="str">
        <x:v>위치보정 필요</x:v>
      </x:c>
      <x:c r="AK31" s="109" t="str">
        <x:v>위치보정 전 사용 금지</x:v>
      </x:c>
      <x:c r="AL31" s="109" t="str">
        <x:v>추정 접근부와 실제 착지부 정합성 재설정 필요</x:v>
      </x:c>
    </x:row>
    <x:row r="32" ht="34" customHeight="1">
      <x:c r="A32" s="37" t="str">
        <x:v>CW13-B</x:v>
      </x:c>
      <x:c r="B32" s="37" t="str">
        <x:v>CW13</x:v>
      </x:c>
      <x:c r="C32" s="37" t="str">
        <x:v>B</x:v>
      </x:c>
      <x:c r="D32" s="37" t="str">
        <x:v>N</x:v>
      </x:c>
      <x:c r="E32" s="37" t="str">
        <x:v>2025-11-18 11:52:27</x:v>
      </x:c>
      <x:c r="F32" s="42" t="n">
        <x:v>4.31</x:v>
      </x:c>
      <x:c r="G32" s="37" t="str">
        <x:v>https://map.kakao.com/link/roadview/37.4008946,126.9218134</x:v>
      </x:c>
      <x:c r="H32" s="37" t="str">
        <x:v>https://map.kakao.com/?panoid=1202871529&amp;pan=231.4&amp;zoom=0&amp;map_type=TYPE_MAP&amp;map_attribute=ROADVIEW&amp;urlX=482700.0&amp;urlY=1083761.0</x:v>
      </x:c>
      <x:c r="I32" s="37" t="str">
        <x:v>Codex_AI_precheck_1</x:v>
      </x:c>
      <x:c r="J32" s="37" t="str">
        <x:v>2026-09-15</x:v>
      </x:c>
      <x:c r="K32" s="37" t="str">
        <x:v>있음</x:v>
      </x:c>
      <x:c r="L32" s="37" t="str">
        <x:v>없음</x:v>
      </x:c>
      <x:c r="M32" s="37" t="str">
        <x:v>없음</x:v>
      </x:c>
      <x:c r="N32" s="37" t="str">
        <x:v>block</x:v>
      </x:c>
      <x:c r="O32" s="37" t="str">
        <x:v>경사로는 보이나 점자블록이 보이지 않음</x:v>
      </x:c>
      <x:c r="P32" s="37" t="str"/>
      <x:c r="Q32" s="37" t="str"/>
      <x:c r="R32" s="37" t="str"/>
      <x:c r="S32" s="37" t="str"/>
      <x:c r="T32" s="37" t="str"/>
      <x:c r="U32" s="37" t="str"/>
      <x:c r="V32" s="37" t="str"/>
      <x:c r="W32" s="37" t="str">
        <x:v>있음</x:v>
      </x:c>
      <x:c r="X32" s="37" t="str">
        <x:v>없음</x:v>
      </x:c>
      <x:c r="Y32" s="37" t="str">
        <x:v>없음</x:v>
      </x:c>
      <x:c r="Z32" s="205" t="str">
        <x:v>block</x:v>
      </x:c>
      <x:c r="AA32" s="37" t="str">
        <x:v>경사로는 보이나 점자블록이 보이지 않음</x:v>
      </x:c>
      <x:c r="AB32" s="37" t="str">
        <x:v>tactile_absent_candidate</x:v>
      </x:c>
      <x:c r="AC32" s="203" t="n">
        <x:v>0.76</x:v>
      </x:c>
      <x:c r="AD32" s="37" t="str">
        <x:v>Y</x:v>
      </x:c>
      <x:c r="AE32" s="44" t="str"/>
      <x:c r="AF32" s="37" t="str">
        <x:v>미반영(사람 승인 전)</x:v>
      </x:c>
      <x:c r="AG32" s="109" t="str">
        <x:v>점자 사유 차단 아님</x:v>
      </x:c>
      <x:c r="AH32" s="109" t="str">
        <x:v>점자 유도 결함 후보</x:v>
      </x:c>
      <x:c r="AI32" s="109" t="str">
        <x:v>N</x:v>
      </x:c>
      <x:c r="AJ32" s="109" t="str">
        <x:v>정적 후보</x:v>
      </x:c>
      <x:c r="AK32" s="109" t="str">
        <x:v>사람검수 전 후보</x:v>
      </x:c>
      <x:c r="AL32" s="109" t="str">
        <x:v>점자블록 부재는 휠체어 하드차단 기준이 아님</x:v>
      </x:c>
    </x:row>
    <x:row r="33" ht="34" customHeight="1">
      <x:c r="A33" s="37" t="str">
        <x:v>CW14-A</x:v>
      </x:c>
      <x:c r="B33" s="37" t="str">
        <x:v>CW14</x:v>
      </x:c>
      <x:c r="C33" s="37" t="str">
        <x:v>A</x:v>
      </x:c>
      <x:c r="D33" s="37" t="str">
        <x:v>Y</x:v>
      </x:c>
      <x:c r="E33" s="37" t="str">
        <x:v>2025-11-18 14:45:30</x:v>
      </x:c>
      <x:c r="F33" s="42" t="n">
        <x:v>11.15</x:v>
      </x:c>
      <x:c r="G33" s="37" t="str">
        <x:v>https://map.kakao.com/link/roadview/37.3995142,126.9238085</x:v>
      </x:c>
      <x:c r="H33" s="37" t="str">
        <x:v>https://map.kakao.com/?panoid=1202874714&amp;pan=322.6&amp;zoom=0&amp;map_type=TYPE_MAP&amp;map_attribute=ROADVIEW&amp;urlX=483161.0&amp;urlY=1083394.0</x:v>
      </x:c>
      <x:c r="I33" s="37" t="str">
        <x:v>Codex_AI_precheck_1</x:v>
      </x:c>
      <x:c r="J33" s="37" t="str">
        <x:v>2026-09-15</x:v>
      </x:c>
      <x:c r="K33" s="37" t="str">
        <x:v>있음</x:v>
      </x:c>
      <x:c r="L33" s="37" t="str">
        <x:v>있음</x:v>
      </x:c>
      <x:c r="M33" s="37" t="str">
        <x:v>없음</x:v>
      </x:c>
      <x:c r="N33" s="37" t="str">
        <x:v>pass</x:v>
      </x:c>
      <x:c r="O33" s="37" t="str">
        <x:v>경사로와 점자블록이 보이고 통행공간이 열려 있음</x:v>
      </x:c>
      <x:c r="P33" s="37" t="str">
        <x:v>Codex_AI_precheck_2</x:v>
      </x:c>
      <x:c r="Q33" s="37" t="str">
        <x:v>2026-09-15</x:v>
      </x:c>
      <x:c r="R33" s="37" t="str">
        <x:v>있음</x:v>
      </x:c>
      <x:c r="S33" s="37" t="str">
        <x:v>있음</x:v>
      </x:c>
      <x:c r="T33" s="37" t="str">
        <x:v>없음</x:v>
      </x:c>
      <x:c r="U33" s="37" t="str">
        <x:v>pass</x:v>
      </x:c>
      <x:c r="V33" s="37" t="str">
        <x:v>역순·착지부 중심 재판독에서 경사로와 점자블록을 확인</x:v>
      </x:c>
      <x:c r="W33" s="37" t="str">
        <x:v>있음</x:v>
      </x:c>
      <x:c r="X33" s="37" t="str">
        <x:v>있음</x:v>
      </x:c>
      <x:c r="Y33" s="37" t="str">
        <x:v>없음</x:v>
      </x:c>
      <x:c r="Z33" s="205" t="str">
        <x:v>pass</x:v>
      </x:c>
      <x:c r="AA33" s="37" t="str">
        <x:v>경사로와 점자블록이 보이고 통행공간이 열려 있음</x:v>
      </x:c>
      <x:c r="AB33" s="37" t="str">
        <x:v>likely_accessible_candidate</x:v>
      </x:c>
      <x:c r="AC33" s="203" t="n">
        <x:v>0.82</x:v>
      </x:c>
      <x:c r="AD33" s="37" t="str">
        <x:v>Y</x:v>
      </x:c>
      <x:c r="AE33" s="44" t="str"/>
      <x:c r="AF33" s="37" t="str">
        <x:v>미반영(사람 승인 전)</x:v>
      </x:c>
      <x:c r="AG33" s="109" t="str">
        <x:v>통과 가능 후보</x:v>
      </x:c>
      <x:c r="AH33" s="109" t="str">
        <x:v>안내시설 양호 후보</x:v>
      </x:c>
      <x:c r="AI33" s="109" t="str">
        <x:v>N</x:v>
      </x:c>
      <x:c r="AJ33" s="109" t="str">
        <x:v>정적 후보</x:v>
      </x:c>
      <x:c r="AK33" s="109" t="str">
        <x:v>사람검수 전 후보</x:v>
      </x:c>
      <x:c r="AL33" s="109" t="str">
        <x:v>영상 관찰 후보이며 verified pass가 아님</x:v>
      </x:c>
    </x:row>
    <x:row r="34" ht="34" customHeight="1">
      <x:c r="A34" s="37" t="str">
        <x:v>CW14-B</x:v>
      </x:c>
      <x:c r="B34" s="37" t="str">
        <x:v>CW14</x:v>
      </x:c>
      <x:c r="C34" s="37" t="str">
        <x:v>B</x:v>
      </x:c>
      <x:c r="D34" s="37" t="str">
        <x:v>Y</x:v>
      </x:c>
      <x:c r="E34" s="37" t="str">
        <x:v>2025-11-18 14:45:30</x:v>
      </x:c>
      <x:c r="F34" s="42" t="n">
        <x:v>7.04</x:v>
      </x:c>
      <x:c r="G34" s="37" t="str">
        <x:v>https://map.kakao.com/link/roadview/37.3996042,126.9239531</x:v>
      </x:c>
      <x:c r="H34" s="37" t="str">
        <x:v>https://map.kakao.com/?panoid=1202874714&amp;pan=322.6&amp;zoom=0&amp;map_type=TYPE_MAP&amp;map_attribute=ROADVIEW&amp;urlX=483161.0&amp;urlY=1083394.0</x:v>
      </x:c>
      <x:c r="I34" s="37" t="str">
        <x:v>Codex_AI_precheck_1</x:v>
      </x:c>
      <x:c r="J34" s="37" t="str">
        <x:v>2026-09-15</x:v>
      </x:c>
      <x:c r="K34" s="37" t="str">
        <x:v>있음</x:v>
      </x:c>
      <x:c r="L34" s="37" t="str">
        <x:v>있음</x:v>
      </x:c>
      <x:c r="M34" s="37" t="str">
        <x:v>없음</x:v>
      </x:c>
      <x:c r="N34" s="37" t="str">
        <x:v>pass</x:v>
      </x:c>
      <x:c r="O34" s="37" t="str">
        <x:v>경사로와 점자블록이 보이고 통행공간이 열려 있음</x:v>
      </x:c>
      <x:c r="P34" s="37" t="str">
        <x:v>Codex_AI_precheck_2</x:v>
      </x:c>
      <x:c r="Q34" s="37" t="str">
        <x:v>2026-09-15</x:v>
      </x:c>
      <x:c r="R34" s="37" t="str">
        <x:v>있음</x:v>
      </x:c>
      <x:c r="S34" s="37" t="str">
        <x:v>있음</x:v>
      </x:c>
      <x:c r="T34" s="37" t="str">
        <x:v>없음</x:v>
      </x:c>
      <x:c r="U34" s="37" t="str">
        <x:v>pass</x:v>
      </x:c>
      <x:c r="V34" s="37" t="str">
        <x:v>역순·착지부 중심 재판독에서 경사로와 점자블록을 확인</x:v>
      </x:c>
      <x:c r="W34" s="37" t="str">
        <x:v>있음</x:v>
      </x:c>
      <x:c r="X34" s="37" t="str">
        <x:v>있음</x:v>
      </x:c>
      <x:c r="Y34" s="37" t="str">
        <x:v>없음</x:v>
      </x:c>
      <x:c r="Z34" s="205" t="str">
        <x:v>pass</x:v>
      </x:c>
      <x:c r="AA34" s="37" t="str">
        <x:v>경사로와 점자블록이 보이고 통행공간이 열려 있음</x:v>
      </x:c>
      <x:c r="AB34" s="37" t="str">
        <x:v>likely_accessible_candidate</x:v>
      </x:c>
      <x:c r="AC34" s="203" t="n">
        <x:v>0.82</x:v>
      </x:c>
      <x:c r="AD34" s="37" t="str">
        <x:v>Y</x:v>
      </x:c>
      <x:c r="AE34" s="44" t="str"/>
      <x:c r="AF34" s="37" t="str">
        <x:v>미반영(사람 승인 전)</x:v>
      </x:c>
      <x:c r="AG34" s="109" t="str">
        <x:v>통과 가능 후보</x:v>
      </x:c>
      <x:c r="AH34" s="109" t="str">
        <x:v>안내시설 양호 후보</x:v>
      </x:c>
      <x:c r="AI34" s="109" t="str">
        <x:v>N</x:v>
      </x:c>
      <x:c r="AJ34" s="109" t="str">
        <x:v>정적 후보</x:v>
      </x:c>
      <x:c r="AK34" s="109" t="str">
        <x:v>사람검수 전 후보</x:v>
      </x:c>
      <x:c r="AL34" s="109" t="str">
        <x:v>영상 관찰 후보이며 verified pass가 아님</x:v>
      </x:c>
    </x:row>
    <x:row r="35" ht="34" customHeight="1">
      <x:c r="A35" s="37" t="str">
        <x:v>CW15-A</x:v>
      </x:c>
      <x:c r="B35" s="37" t="str">
        <x:v>CW15</x:v>
      </x:c>
      <x:c r="C35" s="37" t="str">
        <x:v>A</x:v>
      </x:c>
      <x:c r="D35" s="37" t="str">
        <x:v>N</x:v>
      </x:c>
      <x:c r="E35" s="37" t="str">
        <x:v>2025-11-18 11:45:38</x:v>
      </x:c>
      <x:c r="F35" s="42" t="n">
        <x:v>3.21</x:v>
      </x:c>
      <x:c r="G35" s="37" t="str">
        <x:v>https://map.kakao.com/link/roadview/37.3983305,126.9243027</x:v>
      </x:c>
      <x:c r="H35" s="37" t="str">
        <x:v>https://map.kakao.com/?panoid=1202871493&amp;pan=42.8&amp;zoom=0&amp;map_type=TYPE_MAP&amp;map_attribute=ROADVIEW&amp;urlX=483239.0&amp;urlY=1083064.0</x:v>
      </x:c>
      <x:c r="I35" s="37" t="str">
        <x:v>Codex_AI_precheck_1</x:v>
      </x:c>
      <x:c r="J35" s="37" t="str">
        <x:v>2026-09-15</x:v>
      </x:c>
      <x:c r="K35" s="37" t="str">
        <x:v>판독불가</x:v>
      </x:c>
      <x:c r="L35" s="37" t="str">
        <x:v>판독불가</x:v>
      </x:c>
      <x:c r="M35" s="37" t="str">
        <x:v>지오메트리불일치</x:v>
      </x:c>
      <x:c r="N35" s="37" t="str">
        <x:v>unknown</x:v>
      </x:c>
      <x:c r="O35" s="37" t="str">
        <x:v>접근부 추정점과 영상의 실제 횡단 착지부가 정합하지 않음</x:v>
      </x:c>
      <x:c r="P35" s="37" t="str"/>
      <x:c r="Q35" s="37" t="str"/>
      <x:c r="R35" s="37" t="str"/>
      <x:c r="S35" s="37" t="str"/>
      <x:c r="T35" s="37" t="str"/>
      <x:c r="U35" s="37" t="str"/>
      <x:c r="V35" s="37" t="str"/>
      <x:c r="W35" s="37" t="str">
        <x:v>판독불가</x:v>
      </x:c>
      <x:c r="X35" s="37" t="str">
        <x:v>판독불가</x:v>
      </x:c>
      <x:c r="Y35" s="37" t="str">
        <x:v>지오메트리불일치</x:v>
      </x:c>
      <x:c r="Z35" s="205" t="str">
        <x:v>unknown</x:v>
      </x:c>
      <x:c r="AA35" s="37" t="str">
        <x:v>접근부 추정점과 영상의 실제 횡단 착지부가 정합하지 않음</x:v>
      </x:c>
      <x:c r="AB35" s="37" t="str">
        <x:v>geometry_mismatch_candidate</x:v>
      </x:c>
      <x:c r="AC35" s="203" t="n">
        <x:v>0.58</x:v>
      </x:c>
      <x:c r="AD35" s="37" t="str">
        <x:v>Y</x:v>
      </x:c>
      <x:c r="AE35" s="44" t="str"/>
      <x:c r="AF35" s="37" t="str">
        <x:v>미반영(사람 승인 전)</x:v>
      </x:c>
      <x:c r="AG35" s="109" t="str">
        <x:v>위치 불일치·판독보류</x:v>
      </x:c>
      <x:c r="AH35" s="109" t="str">
        <x:v>위치 불일치·판독보류</x:v>
      </x:c>
      <x:c r="AI35" s="109" t="str">
        <x:v>N</x:v>
      </x:c>
      <x:c r="AJ35" s="109" t="str">
        <x:v>위치보정 필요</x:v>
      </x:c>
      <x:c r="AK35" s="109" t="str">
        <x:v>위치보정 전 사용 금지</x:v>
      </x:c>
      <x:c r="AL35" s="109" t="str">
        <x:v>추정 접근부와 실제 착지부 정합성 재설정 필요</x:v>
      </x:c>
    </x:row>
    <x:row r="36" ht="34" customHeight="1">
      <x:c r="A36" s="37" t="str">
        <x:v>CW15-B</x:v>
      </x:c>
      <x:c r="B36" s="37" t="str">
        <x:v>CW15</x:v>
      </x:c>
      <x:c r="C36" s="37" t="str">
        <x:v>B</x:v>
      </x:c>
      <x:c r="D36" s="37" t="str">
        <x:v>N</x:v>
      </x:c>
      <x:c r="E36" s="37" t="str">
        <x:v>2025-11-18 11:49:28</x:v>
      </x:c>
      <x:c r="F36" s="42" t="n">
        <x:v>4.23</x:v>
      </x:c>
      <x:c r="G36" s="37" t="str">
        <x:v>https://map.kakao.com/link/roadview/37.3984344,126.9242031</x:v>
      </x:c>
      <x:c r="H36" s="37" t="str">
        <x:v>https://map.kakao.com/?panoid=1202871514&amp;pan=237.3&amp;zoom=0&amp;map_type=TYPE_MAP&amp;map_attribute=ROADVIEW&amp;urlX=483232.0&amp;urlY=1083086.0</x:v>
      </x:c>
      <x:c r="I36" s="37" t="str">
        <x:v>Codex_AI_precheck_1</x:v>
      </x:c>
      <x:c r="J36" s="37" t="str">
        <x:v>2026-09-15</x:v>
      </x:c>
      <x:c r="K36" s="37" t="str">
        <x:v>판독불가</x:v>
      </x:c>
      <x:c r="L36" s="37" t="str">
        <x:v>판독불가</x:v>
      </x:c>
      <x:c r="M36" s="37" t="str">
        <x:v>지오메트리불일치</x:v>
      </x:c>
      <x:c r="N36" s="37" t="str">
        <x:v>unknown</x:v>
      </x:c>
      <x:c r="O36" s="37" t="str">
        <x:v>접근부 추정점과 영상의 실제 횡단 착지부가 정합하지 않음</x:v>
      </x:c>
      <x:c r="P36" s="37" t="str"/>
      <x:c r="Q36" s="37" t="str"/>
      <x:c r="R36" s="37" t="str"/>
      <x:c r="S36" s="37" t="str"/>
      <x:c r="T36" s="37" t="str"/>
      <x:c r="U36" s="37" t="str"/>
      <x:c r="V36" s="37" t="str"/>
      <x:c r="W36" s="37" t="str">
        <x:v>판독불가</x:v>
      </x:c>
      <x:c r="X36" s="37" t="str">
        <x:v>판독불가</x:v>
      </x:c>
      <x:c r="Y36" s="37" t="str">
        <x:v>지오메트리불일치</x:v>
      </x:c>
      <x:c r="Z36" s="205" t="str">
        <x:v>unknown</x:v>
      </x:c>
      <x:c r="AA36" s="37" t="str">
        <x:v>접근부 추정점과 영상의 실제 횡단 착지부가 정합하지 않음</x:v>
      </x:c>
      <x:c r="AB36" s="37" t="str">
        <x:v>geometry_mismatch_candidate</x:v>
      </x:c>
      <x:c r="AC36" s="203" t="n">
        <x:v>0.58</x:v>
      </x:c>
      <x:c r="AD36" s="37" t="str">
        <x:v>Y</x:v>
      </x:c>
      <x:c r="AE36" s="44" t="str"/>
      <x:c r="AF36" s="37" t="str">
        <x:v>미반영(사람 승인 전)</x:v>
      </x:c>
      <x:c r="AG36" s="109" t="str">
        <x:v>위치 불일치·판독보류</x:v>
      </x:c>
      <x:c r="AH36" s="109" t="str">
        <x:v>위치 불일치·판독보류</x:v>
      </x:c>
      <x:c r="AI36" s="109" t="str">
        <x:v>N</x:v>
      </x:c>
      <x:c r="AJ36" s="109" t="str">
        <x:v>위치보정 필요</x:v>
      </x:c>
      <x:c r="AK36" s="109" t="str">
        <x:v>위치보정 전 사용 금지</x:v>
      </x:c>
      <x:c r="AL36" s="109" t="str">
        <x:v>추정 접근부와 실제 착지부 정합성 재설정 필요</x:v>
      </x:c>
    </x:row>
    <x:row r="37" ht="34" customHeight="1">
      <x:c r="A37" s="37" t="str">
        <x:v>CW16-A</x:v>
      </x:c>
      <x:c r="B37" s="37" t="str">
        <x:v>CW16</x:v>
      </x:c>
      <x:c r="C37" s="37" t="str">
        <x:v>A</x:v>
      </x:c>
      <x:c r="D37" s="37" t="str">
        <x:v>Y</x:v>
      </x:c>
      <x:c r="E37" s="37" t="str">
        <x:v>2025-11-18 14:18:05</x:v>
      </x:c>
      <x:c r="F37" s="42" t="n">
        <x:v>7.9</x:v>
      </x:c>
      <x:c r="G37" s="37" t="str">
        <x:v>https://map.kakao.com/link/roadview/37.3975186,126.9227984</x:v>
      </x:c>
      <x:c r="H37" s="37" t="str">
        <x:v>https://map.kakao.com/?panoid=1202873960&amp;pan=57.2&amp;zoom=0&amp;map_type=TYPE_MAP&amp;map_attribute=ROADVIEW&amp;urlX=482904.0&amp;urlY=1082851.0</x:v>
      </x:c>
      <x:c r="I37" s="37" t="str">
        <x:v>Codex_AI_precheck_1</x:v>
      </x:c>
      <x:c r="J37" s="37" t="str">
        <x:v>2026-09-15</x:v>
      </x:c>
      <x:c r="K37" s="37" t="str">
        <x:v>있음</x:v>
      </x:c>
      <x:c r="L37" s="37" t="str">
        <x:v>있음</x:v>
      </x:c>
      <x:c r="M37" s="37" t="str">
        <x:v>없음</x:v>
      </x:c>
      <x:c r="N37" s="37" t="str">
        <x:v>pass</x:v>
      </x:c>
      <x:c r="O37" s="37" t="str">
        <x:v>경사로와 점자블록이 보이고 통행공간이 열려 있음</x:v>
      </x:c>
      <x:c r="P37" s="37" t="str">
        <x:v>Codex_AI_precheck_2</x:v>
      </x:c>
      <x:c r="Q37" s="37" t="str">
        <x:v>2026-09-15</x:v>
      </x:c>
      <x:c r="R37" s="37" t="str">
        <x:v>있음</x:v>
      </x:c>
      <x:c r="S37" s="37" t="str">
        <x:v>있음</x:v>
      </x:c>
      <x:c r="T37" s="37" t="str">
        <x:v>없음</x:v>
      </x:c>
      <x:c r="U37" s="37" t="str">
        <x:v>pass</x:v>
      </x:c>
      <x:c r="V37" s="37" t="str">
        <x:v>역순·착지부 중심 재판독에서 경사로와 점자블록을 확인</x:v>
      </x:c>
      <x:c r="W37" s="37" t="str">
        <x:v>있음</x:v>
      </x:c>
      <x:c r="X37" s="37" t="str">
        <x:v>있음</x:v>
      </x:c>
      <x:c r="Y37" s="37" t="str">
        <x:v>없음</x:v>
      </x:c>
      <x:c r="Z37" s="205" t="str">
        <x:v>pass</x:v>
      </x:c>
      <x:c r="AA37" s="37" t="str">
        <x:v>경사로와 점자블록이 보이고 통행공간이 열려 있음</x:v>
      </x:c>
      <x:c r="AB37" s="37" t="str">
        <x:v>likely_accessible_candidate</x:v>
      </x:c>
      <x:c r="AC37" s="203" t="n">
        <x:v>0.82</x:v>
      </x:c>
      <x:c r="AD37" s="37" t="str">
        <x:v>Y</x:v>
      </x:c>
      <x:c r="AE37" s="44" t="str"/>
      <x:c r="AF37" s="37" t="str">
        <x:v>미반영(사람 승인 전)</x:v>
      </x:c>
      <x:c r="AG37" s="109" t="str">
        <x:v>통과 가능 후보</x:v>
      </x:c>
      <x:c r="AH37" s="109" t="str">
        <x:v>안내시설 양호 후보</x:v>
      </x:c>
      <x:c r="AI37" s="109" t="str">
        <x:v>N</x:v>
      </x:c>
      <x:c r="AJ37" s="109" t="str">
        <x:v>정적 후보</x:v>
      </x:c>
      <x:c r="AK37" s="109" t="str">
        <x:v>사람검수 전 후보</x:v>
      </x:c>
      <x:c r="AL37" s="109" t="str">
        <x:v>영상 관찰 후보이며 verified pass가 아님</x:v>
      </x:c>
    </x:row>
    <x:row r="38" ht="34" customHeight="1">
      <x:c r="A38" s="37" t="str">
        <x:v>CW16-B</x:v>
      </x:c>
      <x:c r="B38" s="37" t="str">
        <x:v>CW16</x:v>
      </x:c>
      <x:c r="C38" s="37" t="str">
        <x:v>B</x:v>
      </x:c>
      <x:c r="D38" s="37" t="str">
        <x:v>Y</x:v>
      </x:c>
      <x:c r="E38" s="37" t="str">
        <x:v>2025-11-18 14:18:05</x:v>
      </x:c>
      <x:c r="F38" s="42" t="n">
        <x:v>10.87</x:v>
      </x:c>
      <x:c r="G38" s="37" t="str">
        <x:v>https://map.kakao.com/link/roadview/37.3976543,126.9226820</x:v>
      </x:c>
      <x:c r="H38" s="37" t="str">
        <x:v>https://map.kakao.com/?panoid=1202873960&amp;pan=57.2&amp;zoom=0&amp;map_type=TYPE_MAP&amp;map_attribute=ROADVIEW&amp;urlX=482904.0&amp;urlY=1082851.0</x:v>
      </x:c>
      <x:c r="I38" s="37" t="str">
        <x:v>Codex_AI_precheck_1</x:v>
      </x:c>
      <x:c r="J38" s="37" t="str">
        <x:v>2026-09-15</x:v>
      </x:c>
      <x:c r="K38" s="37" t="str">
        <x:v>있음</x:v>
      </x:c>
      <x:c r="L38" s="37" t="str">
        <x:v>있음</x:v>
      </x:c>
      <x:c r="M38" s="37" t="str">
        <x:v>없음</x:v>
      </x:c>
      <x:c r="N38" s="37" t="str">
        <x:v>pass</x:v>
      </x:c>
      <x:c r="O38" s="37" t="str">
        <x:v>경사로와 점자블록이 보이고 통행공간이 열려 있음</x:v>
      </x:c>
      <x:c r="P38" s="37" t="str">
        <x:v>Codex_AI_precheck_2</x:v>
      </x:c>
      <x:c r="Q38" s="37" t="str">
        <x:v>2026-09-15</x:v>
      </x:c>
      <x:c r="R38" s="37" t="str">
        <x:v>있음</x:v>
      </x:c>
      <x:c r="S38" s="37" t="str">
        <x:v>있음</x:v>
      </x:c>
      <x:c r="T38" s="37" t="str">
        <x:v>없음</x:v>
      </x:c>
      <x:c r="U38" s="37" t="str">
        <x:v>pass</x:v>
      </x:c>
      <x:c r="V38" s="37" t="str">
        <x:v>역순·착지부 중심 재판독에서 경사로와 점자블록을 확인</x:v>
      </x:c>
      <x:c r="W38" s="37" t="str">
        <x:v>있음</x:v>
      </x:c>
      <x:c r="X38" s="37" t="str">
        <x:v>있음</x:v>
      </x:c>
      <x:c r="Y38" s="37" t="str">
        <x:v>없음</x:v>
      </x:c>
      <x:c r="Z38" s="205" t="str">
        <x:v>pass</x:v>
      </x:c>
      <x:c r="AA38" s="37" t="str">
        <x:v>경사로와 점자블록이 보이고 통행공간이 열려 있음</x:v>
      </x:c>
      <x:c r="AB38" s="37" t="str">
        <x:v>likely_accessible_candidate</x:v>
      </x:c>
      <x:c r="AC38" s="203" t="n">
        <x:v>0.82</x:v>
      </x:c>
      <x:c r="AD38" s="37" t="str">
        <x:v>Y</x:v>
      </x:c>
      <x:c r="AE38" s="44" t="str"/>
      <x:c r="AF38" s="37" t="str">
        <x:v>미반영(사람 승인 전)</x:v>
      </x:c>
      <x:c r="AG38" s="109" t="str">
        <x:v>통과 가능 후보</x:v>
      </x:c>
      <x:c r="AH38" s="109" t="str">
        <x:v>안내시설 양호 후보</x:v>
      </x:c>
      <x:c r="AI38" s="109" t="str">
        <x:v>N</x:v>
      </x:c>
      <x:c r="AJ38" s="109" t="str">
        <x:v>정적 후보</x:v>
      </x:c>
      <x:c r="AK38" s="109" t="str">
        <x:v>사람검수 전 후보</x:v>
      </x:c>
      <x:c r="AL38" s="109" t="str">
        <x:v>영상 관찰 후보이며 verified pass가 아님</x:v>
      </x:c>
    </x:row>
    <x:row r="39" ht="34" customHeight="1">
      <x:c r="A39" s="37" t="str">
        <x:v>CW17-A</x:v>
      </x:c>
      <x:c r="B39" s="37" t="str">
        <x:v>CW17</x:v>
      </x:c>
      <x:c r="C39" s="37" t="str">
        <x:v>A</x:v>
      </x:c>
      <x:c r="D39" s="37" t="str">
        <x:v>N</x:v>
      </x:c>
      <x:c r="E39" s="37" t="str">
        <x:v>2025-11-18 15:24:23</x:v>
      </x:c>
      <x:c r="F39" s="42" t="n">
        <x:v>5.44</x:v>
      </x:c>
      <x:c r="G39" s="37" t="str">
        <x:v>https://map.kakao.com/link/roadview/37.3966727,126.9233865</x:v>
      </x:c>
      <x:c r="H39" s="37" t="str">
        <x:v>https://map.kakao.com/?panoid=1202875183&amp;pan=34.5&amp;zoom=0&amp;map_type=TYPE_MAP&amp;map_attribute=ROADVIEW&amp;urlX=483033.0&amp;urlY=1082609.0</x:v>
      </x:c>
      <x:c r="I39" s="37" t="str">
        <x:v>Codex_AI_precheck_1</x:v>
      </x:c>
      <x:c r="J39" s="37" t="str">
        <x:v>2026-09-15</x:v>
      </x:c>
      <x:c r="K39" s="37" t="str">
        <x:v>판독불가</x:v>
      </x:c>
      <x:c r="L39" s="37" t="str">
        <x:v>판독불가</x:v>
      </x:c>
      <x:c r="M39" s="37" t="str">
        <x:v>차량/적치물가림</x:v>
      </x:c>
      <x:c r="N39" s="37" t="str">
        <x:v>unknown</x:v>
      </x:c>
      <x:c r="O39" s="37" t="str">
        <x:v>차량·적치물 또는 공사물로 핵심 시설이 가려짐</x:v>
      </x:c>
      <x:c r="P39" s="37" t="str"/>
      <x:c r="Q39" s="37" t="str"/>
      <x:c r="R39" s="37" t="str"/>
      <x:c r="S39" s="37" t="str"/>
      <x:c r="T39" s="37" t="str"/>
      <x:c r="U39" s="37" t="str"/>
      <x:c r="V39" s="37" t="str"/>
      <x:c r="W39" s="37" t="str">
        <x:v>판독불가</x:v>
      </x:c>
      <x:c r="X39" s="37" t="str">
        <x:v>판독불가</x:v>
      </x:c>
      <x:c r="Y39" s="37" t="str">
        <x:v>차량/적치물가림</x:v>
      </x:c>
      <x:c r="Z39" s="205" t="str">
        <x:v>unknown</x:v>
      </x:c>
      <x:c r="AA39" s="37" t="str">
        <x:v>차량·적치물 또는 공사물로 핵심 시설이 가려짐</x:v>
      </x:c>
      <x:c r="AB39" s="37" t="str">
        <x:v>occlusion_review_needed</x:v>
      </x:c>
      <x:c r="AC39" s="203" t="n">
        <x:v>0.52</x:v>
      </x:c>
      <x:c r="AD39" s="37" t="str">
        <x:v>Y</x:v>
      </x:c>
      <x:c r="AE39" s="44" t="str"/>
      <x:c r="AF39" s="37" t="str">
        <x:v>미반영(사람 승인 전)</x:v>
      </x:c>
      <x:c r="AG39" s="109" t="str">
        <x:v>가림·판독보류</x:v>
      </x:c>
      <x:c r="AH39" s="109" t="str">
        <x:v>가림·판독보류</x:v>
      </x:c>
      <x:c r="AI39" s="109" t="str">
        <x:v>N</x:v>
      </x:c>
      <x:c r="AJ39" s="109" t="str">
        <x:v>재관측 필요</x:v>
      </x:c>
      <x:c r="AK39" s="109" t="str">
        <x:v>사람검수 전 후보</x:v>
      </x:c>
      <x:c r="AL39" s="109" t="str">
        <x:v>가림 상태는 접근성 결론이 아님</x:v>
      </x:c>
    </x:row>
    <x:row r="40" ht="34" customHeight="1">
      <x:c r="A40" s="37" t="str">
        <x:v>CW17-B</x:v>
      </x:c>
      <x:c r="B40" s="37" t="str">
        <x:v>CW17</x:v>
      </x:c>
      <x:c r="C40" s="37" t="str">
        <x:v>B</x:v>
      </x:c>
      <x:c r="D40" s="37" t="str">
        <x:v>N</x:v>
      </x:c>
      <x:c r="E40" s="37" t="str">
        <x:v>2025-11-18 15:24:23</x:v>
      </x:c>
      <x:c r="F40" s="42" t="n">
        <x:v>1.97</x:v>
      </x:c>
      <x:c r="G40" s="37" t="str">
        <x:v>https://map.kakao.com/link/roadview/37.3967277,126.9233393</x:v>
      </x:c>
      <x:c r="H40" s="37" t="str">
        <x:v>https://map.kakao.com/?panoid=1202875183&amp;pan=34.5&amp;zoom=0&amp;map_type=TYPE_MAP&amp;map_attribute=ROADVIEW&amp;urlX=483033.0&amp;urlY=1082609.0</x:v>
      </x:c>
      <x:c r="I40" s="37" t="str">
        <x:v>Codex_AI_precheck_1</x:v>
      </x:c>
      <x:c r="J40" s="37" t="str">
        <x:v>2026-09-15</x:v>
      </x:c>
      <x:c r="K40" s="37" t="str">
        <x:v>판독불가</x:v>
      </x:c>
      <x:c r="L40" s="37" t="str">
        <x:v>판독불가</x:v>
      </x:c>
      <x:c r="M40" s="37" t="str">
        <x:v>시야불충분</x:v>
      </x:c>
      <x:c r="N40" s="37" t="str">
        <x:v>unknown</x:v>
      </x:c>
      <x:c r="O40" s="37" t="str">
        <x:v>착지부가 카메라 직하부·화면 밖에 있어 핵심 시설을 확인할 수 없음</x:v>
      </x:c>
      <x:c r="P40" s="37" t="str"/>
      <x:c r="Q40" s="37" t="str"/>
      <x:c r="R40" s="37" t="str"/>
      <x:c r="S40" s="37" t="str"/>
      <x:c r="T40" s="37" t="str"/>
      <x:c r="U40" s="37" t="str"/>
      <x:c r="V40" s="37" t="str"/>
      <x:c r="W40" s="37" t="str">
        <x:v>판독불가</x:v>
      </x:c>
      <x:c r="X40" s="37" t="str">
        <x:v>판독불가</x:v>
      </x:c>
      <x:c r="Y40" s="37" t="str">
        <x:v>시야불충분</x:v>
      </x:c>
      <x:c r="Z40" s="205" t="str">
        <x:v>unknown</x:v>
      </x:c>
      <x:c r="AA40" s="37" t="str">
        <x:v>착지부가 카메라 직하부·화면 밖에 있어 핵심 시설을 확인할 수 없음</x:v>
      </x:c>
      <x:c r="AB40" s="37" t="str">
        <x:v>visibility_review_needed</x:v>
      </x:c>
      <x:c r="AC40" s="203" t="n">
        <x:v>0.52</x:v>
      </x:c>
      <x:c r="AD40" s="37" t="str">
        <x:v>Y</x:v>
      </x:c>
      <x:c r="AE40" s="44" t="str"/>
      <x:c r="AF40" s="37" t="str">
        <x:v>미반영(사람 승인 전)</x:v>
      </x:c>
      <x:c r="AG40" s="109" t="str">
        <x:v>시야 부족·판독보류</x:v>
      </x:c>
      <x:c r="AH40" s="109" t="str">
        <x:v>시야 부족·판독보류</x:v>
      </x:c>
      <x:c r="AI40" s="109" t="str">
        <x:v>N</x:v>
      </x:c>
      <x:c r="AJ40" s="109" t="str">
        <x:v>재관측 필요</x:v>
      </x:c>
      <x:c r="AK40" s="109" t="str">
        <x:v>사람검수 전 후보</x:v>
      </x:c>
      <x:c r="AL40" s="109" t="str">
        <x:v>식별 불가를 차단 또는 통과로 치환하지 않음</x:v>
      </x:c>
    </x:row>
    <x:row r="41" ht="34" customHeight="1">
      <x:c r="A41" s="37" t="str">
        <x:v>CW18-A</x:v>
      </x:c>
      <x:c r="B41" s="37" t="str">
        <x:v>CW18</x:v>
      </x:c>
      <x:c r="C41" s="37" t="str">
        <x:v>A</x:v>
      </x:c>
      <x:c r="D41" s="37" t="str">
        <x:v>Y</x:v>
      </x:c>
      <x:c r="E41" s="37" t="str">
        <x:v>2025-12-01 14:08:47</x:v>
      </x:c>
      <x:c r="F41" s="42" t="n">
        <x:v>7.65</x:v>
      </x:c>
      <x:c r="G41" s="37" t="str">
        <x:v>https://map.kakao.com/link/roadview/37.3958183,126.9241051</x:v>
      </x:c>
      <x:c r="H41" s="37" t="str">
        <x:v>https://map.kakao.com/?panoid=1203480723&amp;pan=326.1&amp;zoom=0&amp;map_type=TYPE_MAP&amp;map_attribute=ROADVIEW&amp;urlX=483181.0&amp;urlY=1082354.0</x:v>
      </x:c>
      <x:c r="I41" s="37" t="str">
        <x:v>Codex_AI_precheck_1</x:v>
      </x:c>
      <x:c r="J41" s="37" t="str">
        <x:v>2026-09-15</x:v>
      </x:c>
      <x:c r="K41" s="37" t="str">
        <x:v>있음</x:v>
      </x:c>
      <x:c r="L41" s="37" t="str">
        <x:v>없음</x:v>
      </x:c>
      <x:c r="M41" s="37" t="str">
        <x:v>없음</x:v>
      </x:c>
      <x:c r="N41" s="37" t="str">
        <x:v>block</x:v>
      </x:c>
      <x:c r="O41" s="37" t="str">
        <x:v>시장 진입 횡단 지점에 점자블록이 보이지 않음</x:v>
      </x:c>
      <x:c r="P41" s="37" t="str">
        <x:v>Codex_AI_precheck_2</x:v>
      </x:c>
      <x:c r="Q41" s="37" t="str">
        <x:v>2026-09-15</x:v>
      </x:c>
      <x:c r="R41" s="37" t="str">
        <x:v>있음</x:v>
      </x:c>
      <x:c r="S41" s="37" t="str">
        <x:v>없음</x:v>
      </x:c>
      <x:c r="T41" s="37" t="str">
        <x:v>없음</x:v>
      </x:c>
      <x:c r="U41" s="37" t="str">
        <x:v>block</x:v>
      </x:c>
      <x:c r="V41" s="37" t="str">
        <x:v>역순·착지부 중심 재판독에서도 점자블록 부재 후보</x:v>
      </x:c>
      <x:c r="W41" s="37" t="str">
        <x:v>있음</x:v>
      </x:c>
      <x:c r="X41" s="37" t="str">
        <x:v>없음</x:v>
      </x:c>
      <x:c r="Y41" s="37" t="str">
        <x:v>없음</x:v>
      </x:c>
      <x:c r="Z41" s="205" t="str">
        <x:v>block</x:v>
      </x:c>
      <x:c r="AA41" s="37" t="str">
        <x:v>시장 진입 횡단 지점에 점자블록이 보이지 않음</x:v>
      </x:c>
      <x:c r="AB41" s="37" t="str">
        <x:v>tactile_absent_candidate</x:v>
      </x:c>
      <x:c r="AC41" s="203" t="n">
        <x:v>0.76</x:v>
      </x:c>
      <x:c r="AD41" s="37" t="str">
        <x:v>Y</x:v>
      </x:c>
      <x:c r="AE41" s="44" t="str"/>
      <x:c r="AF41" s="37" t="str">
        <x:v>미반영(사람 승인 전)</x:v>
      </x:c>
      <x:c r="AG41" s="109" t="str">
        <x:v>점자 사유 차단 아님</x:v>
      </x:c>
      <x:c r="AH41" s="109" t="str">
        <x:v>점자 유도 결함 후보</x:v>
      </x:c>
      <x:c r="AI41" s="109" t="str">
        <x:v>N</x:v>
      </x:c>
      <x:c r="AJ41" s="109" t="str">
        <x:v>정적 후보</x:v>
      </x:c>
      <x:c r="AK41" s="109" t="str">
        <x:v>사람검수 전 후보</x:v>
      </x:c>
      <x:c r="AL41" s="109" t="str">
        <x:v>점자블록 부재는 휠체어 하드차단 기준이 아님</x:v>
      </x:c>
    </x:row>
    <x:row r="42" ht="34" customHeight="1">
      <x:c r="A42" s="37" t="str">
        <x:v>CW18-B</x:v>
      </x:c>
      <x:c r="B42" s="37" t="str">
        <x:v>CW18</x:v>
      </x:c>
      <x:c r="C42" s="37" t="str">
        <x:v>B</x:v>
      </x:c>
      <x:c r="D42" s="37" t="str">
        <x:v>Y</x:v>
      </x:c>
      <x:c r="E42" s="37" t="str">
        <x:v>2025-12-01 14:09:05</x:v>
      </x:c>
      <x:c r="F42" s="42" t="n">
        <x:v>7.98</x:v>
      </x:c>
      <x:c r="G42" s="37" t="str">
        <x:v>https://map.kakao.com/link/roadview/37.3958884,126.9240465</x:v>
      </x:c>
      <x:c r="H42" s="37" t="str">
        <x:v>https://map.kakao.com/?panoid=1203480726&amp;pan=323.5&amp;zoom=0&amp;map_type=TYPE_MAP&amp;map_attribute=ROADVIEW&amp;urlX=483167.0&amp;urlY=1082374.0</x:v>
      </x:c>
      <x:c r="I42" s="37" t="str">
        <x:v>Codex_AI_precheck_1</x:v>
      </x:c>
      <x:c r="J42" s="37" t="str">
        <x:v>2026-09-15</x:v>
      </x:c>
      <x:c r="K42" s="37" t="str">
        <x:v>판독불가</x:v>
      </x:c>
      <x:c r="L42" s="37" t="str">
        <x:v>판독불가</x:v>
      </x:c>
      <x:c r="M42" s="37" t="str">
        <x:v>차량/적치물가림</x:v>
      </x:c>
      <x:c r="N42" s="37" t="str">
        <x:v>unknown</x:v>
      </x:c>
      <x:c r="O42" s="37" t="str">
        <x:v>차량·적치물 또는 공사물로 핵심 시설이 가려짐</x:v>
      </x:c>
      <x:c r="P42" s="37" t="str">
        <x:v>Codex_AI_precheck_2</x:v>
      </x:c>
      <x:c r="Q42" s="37" t="str">
        <x:v>2026-09-15</x:v>
      </x:c>
      <x:c r="R42" s="37" t="str">
        <x:v>판독불가</x:v>
      </x:c>
      <x:c r="S42" s="37" t="str">
        <x:v>판독불가</x:v>
      </x:c>
      <x:c r="T42" s="37" t="str">
        <x:v>차량/적치물가림</x:v>
      </x:c>
      <x:c r="U42" s="37" t="str">
        <x:v>unknown</x:v>
      </x:c>
      <x:c r="V42" s="37" t="str">
        <x:v>차량·적치물 또는 공사물로 핵심 시설이 가려짐</x:v>
      </x:c>
      <x:c r="W42" s="37" t="str">
        <x:v>판독불가</x:v>
      </x:c>
      <x:c r="X42" s="37" t="str">
        <x:v>판독불가</x:v>
      </x:c>
      <x:c r="Y42" s="37" t="str">
        <x:v>차량/적치물가림</x:v>
      </x:c>
      <x:c r="Z42" s="205" t="str">
        <x:v>unknown</x:v>
      </x:c>
      <x:c r="AA42" s="37" t="str">
        <x:v>차량·적치물 또는 공사물로 핵심 시설이 가려짐</x:v>
      </x:c>
      <x:c r="AB42" s="37" t="str">
        <x:v>occlusion_review_needed</x:v>
      </x:c>
      <x:c r="AC42" s="203" t="n">
        <x:v>0.52</x:v>
      </x:c>
      <x:c r="AD42" s="37" t="str">
        <x:v>Y</x:v>
      </x:c>
      <x:c r="AE42" s="44" t="str"/>
      <x:c r="AF42" s="37" t="str">
        <x:v>미반영(사람 승인 전)</x:v>
      </x:c>
      <x:c r="AG42" s="109" t="str">
        <x:v>가림·판독보류</x:v>
      </x:c>
      <x:c r="AH42" s="109" t="str">
        <x:v>가림·판독보류</x:v>
      </x:c>
      <x:c r="AI42" s="109" t="str">
        <x:v>N</x:v>
      </x:c>
      <x:c r="AJ42" s="109" t="str">
        <x:v>재관측 필요</x:v>
      </x:c>
      <x:c r="AK42" s="109" t="str">
        <x:v>사람검수 전 후보</x:v>
      </x:c>
      <x:c r="AL42" s="109" t="str">
        <x:v>가림 상태는 접근성 결론이 아님</x:v>
      </x:c>
    </x:row>
    <x:row r="43" ht="34" customHeight="1">
      <x:c r="A43" s="37" t="str">
        <x:v>CW19-A</x:v>
      </x:c>
      <x:c r="B43" s="37" t="str">
        <x:v>CW19</x:v>
      </x:c>
      <x:c r="C43" s="37" t="str">
        <x:v>A</x:v>
      </x:c>
      <x:c r="D43" s="37" t="str">
        <x:v>N</x:v>
      </x:c>
      <x:c r="E43" s="37" t="str">
        <x:v>2025-12-01 13:50:22</x:v>
      </x:c>
      <x:c r="F43" s="42" t="n">
        <x:v>5.28</x:v>
      </x:c>
      <x:c r="G43" s="37" t="str">
        <x:v>https://map.kakao.com/link/roadview/37.3956191,126.9239185</x:v>
      </x:c>
      <x:c r="H43" s="37" t="str">
        <x:v>https://map.kakao.com/?panoid=1203478741&amp;pan=147.6&amp;zoom=0&amp;map_type=TYPE_MAP&amp;map_attribute=ROADVIEW&amp;urlX=483169.0&amp;urlY=1082312.0</x:v>
      </x:c>
      <x:c r="I43" s="37" t="str">
        <x:v>Codex_AI_precheck_1</x:v>
      </x:c>
      <x:c r="J43" s="37" t="str">
        <x:v>2026-09-15</x:v>
      </x:c>
      <x:c r="K43" s="37" t="str">
        <x:v>판독불가</x:v>
      </x:c>
      <x:c r="L43" s="37" t="str">
        <x:v>판독불가</x:v>
      </x:c>
      <x:c r="M43" s="37" t="str">
        <x:v>시야불충분</x:v>
      </x:c>
      <x:c r="N43" s="37" t="str">
        <x:v>unknown</x:v>
      </x:c>
      <x:c r="O43" s="37" t="str">
        <x:v>착지부가 카메라 직하부·화면 밖에 있어 핵심 시설을 확인할 수 없음</x:v>
      </x:c>
      <x:c r="P43" s="37" t="str"/>
      <x:c r="Q43" s="37" t="str"/>
      <x:c r="R43" s="37" t="str"/>
      <x:c r="S43" s="37" t="str"/>
      <x:c r="T43" s="37" t="str"/>
      <x:c r="U43" s="37" t="str"/>
      <x:c r="V43" s="37" t="str"/>
      <x:c r="W43" s="37" t="str">
        <x:v>판독불가</x:v>
      </x:c>
      <x:c r="X43" s="37" t="str">
        <x:v>판독불가</x:v>
      </x:c>
      <x:c r="Y43" s="37" t="str">
        <x:v>시야불충분</x:v>
      </x:c>
      <x:c r="Z43" s="205" t="str">
        <x:v>unknown</x:v>
      </x:c>
      <x:c r="AA43" s="37" t="str">
        <x:v>착지부가 카메라 직하부·화면 밖에 있어 핵심 시설을 확인할 수 없음</x:v>
      </x:c>
      <x:c r="AB43" s="37" t="str">
        <x:v>visibility_review_needed</x:v>
      </x:c>
      <x:c r="AC43" s="203" t="n">
        <x:v>0.52</x:v>
      </x:c>
      <x:c r="AD43" s="37" t="str">
        <x:v>Y</x:v>
      </x:c>
      <x:c r="AE43" s="44" t="str"/>
      <x:c r="AF43" s="37" t="str">
        <x:v>미반영(사람 승인 전)</x:v>
      </x:c>
      <x:c r="AG43" s="109" t="str">
        <x:v>시야 부족·판독보류</x:v>
      </x:c>
      <x:c r="AH43" s="109" t="str">
        <x:v>시야 부족·판독보류</x:v>
      </x:c>
      <x:c r="AI43" s="109" t="str">
        <x:v>N</x:v>
      </x:c>
      <x:c r="AJ43" s="109" t="str">
        <x:v>재관측 필요</x:v>
      </x:c>
      <x:c r="AK43" s="109" t="str">
        <x:v>사람검수 전 후보</x:v>
      </x:c>
      <x:c r="AL43" s="109" t="str">
        <x:v>식별 불가를 차단 또는 통과로 치환하지 않음</x:v>
      </x:c>
    </x:row>
    <x:row r="44" ht="34" customHeight="1">
      <x:c r="A44" s="37" t="str">
        <x:v>CW19-B</x:v>
      </x:c>
      <x:c r="B44" s="37" t="str">
        <x:v>CW19</x:v>
      </x:c>
      <x:c r="C44" s="37" t="str">
        <x:v>B</x:v>
      </x:c>
      <x:c r="D44" s="37" t="str">
        <x:v>N</x:v>
      </x:c>
      <x:c r="E44" s="37" t="str">
        <x:v>2025-12-01 14:08:44</x:v>
      </x:c>
      <x:c r="F44" s="42" t="n">
        <x:v>4.9</x:v>
      </x:c>
      <x:c r="G44" s="37" t="str">
        <x:v>https://map.kakao.com/link/roadview/37.3957353,126.9241385</x:v>
      </x:c>
      <x:c r="H44" s="37" t="str">
        <x:v>https://map.kakao.com/?panoid=1203480720&amp;pan=326.7&amp;zoom=0&amp;map_type=TYPE_MAP&amp;map_attribute=ROADVIEW&amp;urlX=483195.0&amp;urlY=1082333.0</x:v>
      </x:c>
      <x:c r="I44" s="37" t="str">
        <x:v>Codex_AI_precheck_1</x:v>
      </x:c>
      <x:c r="J44" s="37" t="str">
        <x:v>2026-09-15</x:v>
      </x:c>
      <x:c r="K44" s="37" t="str">
        <x:v>있음</x:v>
      </x:c>
      <x:c r="L44" s="37" t="str">
        <x:v>있음</x:v>
      </x:c>
      <x:c r="M44" s="37" t="str">
        <x:v>없음</x:v>
      </x:c>
      <x:c r="N44" s="37" t="str">
        <x:v>pass</x:v>
      </x:c>
      <x:c r="O44" s="37" t="str">
        <x:v>경사로와 점자블록이 보이고 통행공간이 열려 있음</x:v>
      </x:c>
      <x:c r="P44" s="37" t="str"/>
      <x:c r="Q44" s="37" t="str"/>
      <x:c r="R44" s="37" t="str"/>
      <x:c r="S44" s="37" t="str"/>
      <x:c r="T44" s="37" t="str"/>
      <x:c r="U44" s="37" t="str"/>
      <x:c r="V44" s="37" t="str"/>
      <x:c r="W44" s="37" t="str">
        <x:v>있음</x:v>
      </x:c>
      <x:c r="X44" s="37" t="str">
        <x:v>있음</x:v>
      </x:c>
      <x:c r="Y44" s="37" t="str">
        <x:v>없음</x:v>
      </x:c>
      <x:c r="Z44" s="205" t="str">
        <x:v>pass</x:v>
      </x:c>
      <x:c r="AA44" s="37" t="str">
        <x:v>경사로와 점자블록이 보이고 통행공간이 열려 있음</x:v>
      </x:c>
      <x:c r="AB44" s="37" t="str">
        <x:v>likely_accessible_candidate</x:v>
      </x:c>
      <x:c r="AC44" s="203" t="n">
        <x:v>0.82</x:v>
      </x:c>
      <x:c r="AD44" s="37" t="str">
        <x:v>Y</x:v>
      </x:c>
      <x:c r="AE44" s="44" t="str"/>
      <x:c r="AF44" s="37" t="str">
        <x:v>미반영(사람 승인 전)</x:v>
      </x:c>
      <x:c r="AG44" s="109" t="str">
        <x:v>통과 가능 후보</x:v>
      </x:c>
      <x:c r="AH44" s="109" t="str">
        <x:v>안내시설 양호 후보</x:v>
      </x:c>
      <x:c r="AI44" s="109" t="str">
        <x:v>N</x:v>
      </x:c>
      <x:c r="AJ44" s="109" t="str">
        <x:v>정적 후보</x:v>
      </x:c>
      <x:c r="AK44" s="109" t="str">
        <x:v>사람검수 전 후보</x:v>
      </x:c>
      <x:c r="AL44" s="109" t="str">
        <x:v>영상 관찰 후보이며 verified pass가 아님</x:v>
      </x:c>
    </x:row>
    <x:row r="45" ht="34" customHeight="1">
      <x:c r="A45" s="37" t="str">
        <x:v>CW20-A</x:v>
      </x:c>
      <x:c r="B45" s="37" t="str">
        <x:v>CW20</x:v>
      </x:c>
      <x:c r="C45" s="37" t="str">
        <x:v>A</x:v>
      </x:c>
      <x:c r="D45" s="37" t="str">
        <x:v>Y</x:v>
      </x:c>
      <x:c r="E45" s="37" t="str">
        <x:v>2025-12-01 13:50:35</x:v>
      </x:c>
      <x:c r="F45" s="42" t="n">
        <x:v>2.18</x:v>
      </x:c>
      <x:c r="G45" s="37" t="str">
        <x:v>https://map.kakao.com/link/roadview/37.3943480,126.9250146</x:v>
      </x:c>
      <x:c r="H45" s="37" t="str">
        <x:v>https://map.kakao.com/?panoid=1203478791&amp;pan=146.9&amp;zoom=0&amp;map_type=TYPE_MAP&amp;map_attribute=ROADVIEW&amp;urlX=483404.0&amp;urlY=1081956.0</x:v>
      </x:c>
      <x:c r="I45" s="37" t="str">
        <x:v>Codex_AI_precheck_1</x:v>
      </x:c>
      <x:c r="J45" s="37" t="str">
        <x:v>2026-09-15</x:v>
      </x:c>
      <x:c r="K45" s="37" t="str">
        <x:v>판독불가</x:v>
      </x:c>
      <x:c r="L45" s="37" t="str">
        <x:v>판독불가</x:v>
      </x:c>
      <x:c r="M45" s="37" t="str">
        <x:v>지오메트리불일치</x:v>
      </x:c>
      <x:c r="N45" s="37" t="str">
        <x:v>unknown</x:v>
      </x:c>
      <x:c r="O45" s="37" t="str">
        <x:v>접근부 추정점과 영상의 실제 횡단 착지부가 정합하지 않음</x:v>
      </x:c>
      <x:c r="P45" s="37" t="str">
        <x:v>Codex_AI_precheck_2</x:v>
      </x:c>
      <x:c r="Q45" s="37" t="str">
        <x:v>2026-09-15</x:v>
      </x:c>
      <x:c r="R45" s="37" t="str">
        <x:v>판독불가</x:v>
      </x:c>
      <x:c r="S45" s="37" t="str">
        <x:v>판독불가</x:v>
      </x:c>
      <x:c r="T45" s="37" t="str">
        <x:v>지오메트리불일치</x:v>
      </x:c>
      <x:c r="U45" s="37" t="str">
        <x:v>unknown</x:v>
      </x:c>
      <x:c r="V45" s="37" t="str">
        <x:v>접근부 추정점과 영상의 실제 횡단 착지부가 정합하지 않음</x:v>
      </x:c>
      <x:c r="W45" s="37" t="str">
        <x:v>판독불가</x:v>
      </x:c>
      <x:c r="X45" s="37" t="str">
        <x:v>판독불가</x:v>
      </x:c>
      <x:c r="Y45" s="37" t="str">
        <x:v>지오메트리불일치</x:v>
      </x:c>
      <x:c r="Z45" s="205" t="str">
        <x:v>unknown</x:v>
      </x:c>
      <x:c r="AA45" s="37" t="str">
        <x:v>접근부 추정점과 영상의 실제 횡단 착지부가 정합하지 않음</x:v>
      </x:c>
      <x:c r="AB45" s="37" t="str">
        <x:v>geometry_mismatch_candidate</x:v>
      </x:c>
      <x:c r="AC45" s="203" t="n">
        <x:v>0.58</x:v>
      </x:c>
      <x:c r="AD45" s="37" t="str">
        <x:v>Y</x:v>
      </x:c>
      <x:c r="AE45" s="44" t="str"/>
      <x:c r="AF45" s="37" t="str">
        <x:v>미반영(사람 승인 전)</x:v>
      </x:c>
      <x:c r="AG45" s="109" t="str">
        <x:v>위치 불일치·판독보류</x:v>
      </x:c>
      <x:c r="AH45" s="109" t="str">
        <x:v>위치 불일치·판독보류</x:v>
      </x:c>
      <x:c r="AI45" s="109" t="str">
        <x:v>N</x:v>
      </x:c>
      <x:c r="AJ45" s="109" t="str">
        <x:v>위치보정 필요</x:v>
      </x:c>
      <x:c r="AK45" s="109" t="str">
        <x:v>위치보정 전 사용 금지</x:v>
      </x:c>
      <x:c r="AL45" s="109" t="str">
        <x:v>추정 접근부와 실제 착지부 정합성 재설정 필요</x:v>
      </x:c>
    </x:row>
    <x:row r="46" ht="34" customHeight="1">
      <x:c r="A46" s="37" t="str">
        <x:v>CW20-B</x:v>
      </x:c>
      <x:c r="B46" s="37" t="str">
        <x:v>CW20</x:v>
      </x:c>
      <x:c r="C46" s="37" t="str">
        <x:v>B</x:v>
      </x:c>
      <x:c r="D46" s="37" t="str">
        <x:v>Y</x:v>
      </x:c>
      <x:c r="E46" s="37" t="str">
        <x:v>2025-12-01 14:08:27</x:v>
      </x:c>
      <x:c r="F46" s="42" t="n">
        <x:v>7.23</x:v>
      </x:c>
      <x:c r="G46" s="37" t="str">
        <x:v>https://map.kakao.com/link/roadview/37.3944622,126.9252284</x:v>
      </x:c>
      <x:c r="H46" s="37" t="str">
        <x:v>https://map.kakao.com/?panoid=1203480668&amp;pan=326.1&amp;zoom=0&amp;map_type=TYPE_MAP&amp;map_attribute=ROADVIEW&amp;urlX=483430.0&amp;urlY=1081979.0</x:v>
      </x:c>
      <x:c r="I46" s="37" t="str">
        <x:v>Codex_AI_precheck_1</x:v>
      </x:c>
      <x:c r="J46" s="37" t="str">
        <x:v>2026-09-15</x:v>
      </x:c>
      <x:c r="K46" s="37" t="str">
        <x:v>판독불가</x:v>
      </x:c>
      <x:c r="L46" s="37" t="str">
        <x:v>판독불가</x:v>
      </x:c>
      <x:c r="M46" s="37" t="str">
        <x:v>지오메트리불일치</x:v>
      </x:c>
      <x:c r="N46" s="37" t="str">
        <x:v>unknown</x:v>
      </x:c>
      <x:c r="O46" s="37" t="str">
        <x:v>접근부 추정점과 영상의 실제 횡단 착지부가 정합하지 않음</x:v>
      </x:c>
      <x:c r="P46" s="37" t="str">
        <x:v>Codex_AI_precheck_2</x:v>
      </x:c>
      <x:c r="Q46" s="37" t="str">
        <x:v>2026-09-15</x:v>
      </x:c>
      <x:c r="R46" s="37" t="str">
        <x:v>판독불가</x:v>
      </x:c>
      <x:c r="S46" s="37" t="str">
        <x:v>판독불가</x:v>
      </x:c>
      <x:c r="T46" s="37" t="str">
        <x:v>지오메트리불일치</x:v>
      </x:c>
      <x:c r="U46" s="37" t="str">
        <x:v>unknown</x:v>
      </x:c>
      <x:c r="V46" s="37" t="str">
        <x:v>접근부 추정점과 영상의 실제 횡단 착지부가 정합하지 않음</x:v>
      </x:c>
      <x:c r="W46" s="37" t="str">
        <x:v>판독불가</x:v>
      </x:c>
      <x:c r="X46" s="37" t="str">
        <x:v>판독불가</x:v>
      </x:c>
      <x:c r="Y46" s="37" t="str">
        <x:v>지오메트리불일치</x:v>
      </x:c>
      <x:c r="Z46" s="205" t="str">
        <x:v>unknown</x:v>
      </x:c>
      <x:c r="AA46" s="37" t="str">
        <x:v>접근부 추정점과 영상의 실제 횡단 착지부가 정합하지 않음</x:v>
      </x:c>
      <x:c r="AB46" s="37" t="str">
        <x:v>geometry_mismatch_candidate</x:v>
      </x:c>
      <x:c r="AC46" s="203" t="n">
        <x:v>0.58</x:v>
      </x:c>
      <x:c r="AD46" s="37" t="str">
        <x:v>Y</x:v>
      </x:c>
      <x:c r="AE46" s="44" t="str"/>
      <x:c r="AF46" s="37" t="str">
        <x:v>미반영(사람 승인 전)</x:v>
      </x:c>
      <x:c r="AG46" s="109" t="str">
        <x:v>위치 불일치·판독보류</x:v>
      </x:c>
      <x:c r="AH46" s="109" t="str">
        <x:v>위치 불일치·판독보류</x:v>
      </x:c>
      <x:c r="AI46" s="109" t="str">
        <x:v>N</x:v>
      </x:c>
      <x:c r="AJ46" s="109" t="str">
        <x:v>위치보정 필요</x:v>
      </x:c>
      <x:c r="AK46" s="109" t="str">
        <x:v>위치보정 전 사용 금지</x:v>
      </x:c>
      <x:c r="AL46" s="109" t="str">
        <x:v>추정 접근부와 실제 착지부 정합성 재설정 필요</x:v>
      </x:c>
    </x:row>
    <x:row r="47" ht="34" customHeight="1">
      <x:c r="A47" s="37" t="str">
        <x:v>CW21-A</x:v>
      </x:c>
      <x:c r="B47" s="37" t="str">
        <x:v>CW21</x:v>
      </x:c>
      <x:c r="C47" s="37" t="str">
        <x:v>A</x:v>
      </x:c>
      <x:c r="D47" s="37" t="str">
        <x:v>Y</x:v>
      </x:c>
      <x:c r="E47" s="37" t="str">
        <x:v>2025-11-18 11:18:33</x:v>
      </x:c>
      <x:c r="F47" s="42" t="n">
        <x:v>7.26</x:v>
      </x:c>
      <x:c r="G47" s="37" t="str">
        <x:v>https://map.kakao.com/link/roadview/37.3930376,126.9232238</x:v>
      </x:c>
      <x:c r="H47" s="37" t="str">
        <x:v>https://map.kakao.com/?panoid=1202871152&amp;pan=233.4&amp;zoom=0&amp;map_type=TYPE_MAP&amp;map_attribute=ROADVIEW&amp;urlX=483004.0&amp;urlY=1081607.0</x:v>
      </x:c>
      <x:c r="I47" s="37" t="str">
        <x:v>Codex_AI_precheck_1</x:v>
      </x:c>
      <x:c r="J47" s="37" t="str">
        <x:v>2026-09-15</x:v>
      </x:c>
      <x:c r="K47" s="37" t="str">
        <x:v>있음</x:v>
      </x:c>
      <x:c r="L47" s="37" t="str">
        <x:v>있음</x:v>
      </x:c>
      <x:c r="M47" s="37" t="str">
        <x:v>없음</x:v>
      </x:c>
      <x:c r="N47" s="37" t="str">
        <x:v>pass</x:v>
      </x:c>
      <x:c r="O47" s="37" t="str">
        <x:v>경사로와 점자블록이 보이고 통행공간이 열려 있음</x:v>
      </x:c>
      <x:c r="P47" s="37" t="str">
        <x:v>Codex_AI_precheck_2</x:v>
      </x:c>
      <x:c r="Q47" s="37" t="str">
        <x:v>2026-09-15</x:v>
      </x:c>
      <x:c r="R47" s="37" t="str">
        <x:v>있음</x:v>
      </x:c>
      <x:c r="S47" s="37" t="str">
        <x:v>있음</x:v>
      </x:c>
      <x:c r="T47" s="37" t="str">
        <x:v>없음</x:v>
      </x:c>
      <x:c r="U47" s="37" t="str">
        <x:v>pass</x:v>
      </x:c>
      <x:c r="V47" s="37" t="str">
        <x:v>역순·착지부 중심 재판독에서 경사로와 점자블록을 확인</x:v>
      </x:c>
      <x:c r="W47" s="37" t="str">
        <x:v>있음</x:v>
      </x:c>
      <x:c r="X47" s="37" t="str">
        <x:v>있음</x:v>
      </x:c>
      <x:c r="Y47" s="37" t="str">
        <x:v>없음</x:v>
      </x:c>
      <x:c r="Z47" s="205" t="str">
        <x:v>pass</x:v>
      </x:c>
      <x:c r="AA47" s="37" t="str">
        <x:v>경사로와 점자블록이 보이고 통행공간이 열려 있음</x:v>
      </x:c>
      <x:c r="AB47" s="37" t="str">
        <x:v>likely_accessible_candidate</x:v>
      </x:c>
      <x:c r="AC47" s="203" t="n">
        <x:v>0.82</x:v>
      </x:c>
      <x:c r="AD47" s="37" t="str">
        <x:v>Y</x:v>
      </x:c>
      <x:c r="AE47" s="44" t="str"/>
      <x:c r="AF47" s="37" t="str">
        <x:v>미반영(사람 승인 전)</x:v>
      </x:c>
      <x:c r="AG47" s="109" t="str">
        <x:v>통과 가능 후보</x:v>
      </x:c>
      <x:c r="AH47" s="109" t="str">
        <x:v>안내시설 양호 후보</x:v>
      </x:c>
      <x:c r="AI47" s="109" t="str">
        <x:v>N</x:v>
      </x:c>
      <x:c r="AJ47" s="109" t="str">
        <x:v>정적 후보</x:v>
      </x:c>
      <x:c r="AK47" s="109" t="str">
        <x:v>사람검수 전 후보</x:v>
      </x:c>
      <x:c r="AL47" s="109" t="str">
        <x:v>영상 관찰 후보이며 verified pass가 아님</x:v>
      </x:c>
    </x:row>
    <x:row r="48" ht="34" customHeight="1">
      <x:c r="A48" s="37" t="str">
        <x:v>CW21-B</x:v>
      </x:c>
      <x:c r="B48" s="37" t="str">
        <x:v>CW21</x:v>
      </x:c>
      <x:c r="C48" s="37" t="str">
        <x:v>B</x:v>
      </x:c>
      <x:c r="D48" s="37" t="str">
        <x:v>Y</x:v>
      </x:c>
      <x:c r="E48" s="37" t="str">
        <x:v>2025-11-18 11:18:33</x:v>
      </x:c>
      <x:c r="F48" s="42" t="n">
        <x:v>4.97</x:v>
      </x:c>
      <x:c r="G48" s="37" t="str">
        <x:v>https://map.kakao.com/link/roadview/37.3931037,126.9231702</x:v>
      </x:c>
      <x:c r="H48" s="37" t="str">
        <x:v>https://map.kakao.com/?panoid=1202871152&amp;pan=233.4&amp;zoom=0&amp;map_type=TYPE_MAP&amp;map_attribute=ROADVIEW&amp;urlX=483004.0&amp;urlY=1081607.0</x:v>
      </x:c>
      <x:c r="I48" s="37" t="str">
        <x:v>Codex_AI_precheck_1</x:v>
      </x:c>
      <x:c r="J48" s="37" t="str">
        <x:v>2026-09-15</x:v>
      </x:c>
      <x:c r="K48" s="37" t="str">
        <x:v>판독불가</x:v>
      </x:c>
      <x:c r="L48" s="37" t="str">
        <x:v>판독불가</x:v>
      </x:c>
      <x:c r="M48" s="37" t="str">
        <x:v>시야불충분</x:v>
      </x:c>
      <x:c r="N48" s="37" t="str">
        <x:v>unknown</x:v>
      </x:c>
      <x:c r="O48" s="37" t="str">
        <x:v>착지부가 카메라 직하부·화면 밖에 있어 핵심 시설을 확인할 수 없음</x:v>
      </x:c>
      <x:c r="P48" s="37" t="str">
        <x:v>Codex_AI_precheck_2</x:v>
      </x:c>
      <x:c r="Q48" s="37" t="str">
        <x:v>2026-09-15</x:v>
      </x:c>
      <x:c r="R48" s="37" t="str">
        <x:v>판독불가</x:v>
      </x:c>
      <x:c r="S48" s="37" t="str">
        <x:v>판독불가</x:v>
      </x:c>
      <x:c r="T48" s="37" t="str">
        <x:v>시야불충분</x:v>
      </x:c>
      <x:c r="U48" s="37" t="str">
        <x:v>unknown</x:v>
      </x:c>
      <x:c r="V48" s="37" t="str">
        <x:v>착지부가 카메라 직하부·화면 밖에 있어 핵심 시설을 확인할 수 없음</x:v>
      </x:c>
      <x:c r="W48" s="37" t="str">
        <x:v>판독불가</x:v>
      </x:c>
      <x:c r="X48" s="37" t="str">
        <x:v>판독불가</x:v>
      </x:c>
      <x:c r="Y48" s="37" t="str">
        <x:v>시야불충분</x:v>
      </x:c>
      <x:c r="Z48" s="205" t="str">
        <x:v>unknown</x:v>
      </x:c>
      <x:c r="AA48" s="37" t="str">
        <x:v>착지부가 카메라 직하부·화면 밖에 있어 핵심 시설을 확인할 수 없음</x:v>
      </x:c>
      <x:c r="AB48" s="37" t="str">
        <x:v>visibility_review_needed</x:v>
      </x:c>
      <x:c r="AC48" s="203" t="n">
        <x:v>0.52</x:v>
      </x:c>
      <x:c r="AD48" s="37" t="str">
        <x:v>Y</x:v>
      </x:c>
      <x:c r="AE48" s="44" t="str"/>
      <x:c r="AF48" s="37" t="str">
        <x:v>미반영(사람 승인 전)</x:v>
      </x:c>
      <x:c r="AG48" s="109" t="str">
        <x:v>시야 부족·판독보류</x:v>
      </x:c>
      <x:c r="AH48" s="109" t="str">
        <x:v>시야 부족·판독보류</x:v>
      </x:c>
      <x:c r="AI48" s="109" t="str">
        <x:v>N</x:v>
      </x:c>
      <x:c r="AJ48" s="109" t="str">
        <x:v>재관측 필요</x:v>
      </x:c>
      <x:c r="AK48" s="109" t="str">
        <x:v>사람검수 전 후보</x:v>
      </x:c>
      <x:c r="AL48" s="109" t="str">
        <x:v>식별 불가를 차단 또는 통과로 치환하지 않음</x:v>
      </x:c>
    </x:row>
    <x:row r="49" ht="34" customHeight="1">
      <x:c r="A49" s="37" t="str">
        <x:v>CW22-A</x:v>
      </x:c>
      <x:c r="B49" s="37" t="str">
        <x:v>CW22</x:v>
      </x:c>
      <x:c r="C49" s="37" t="str">
        <x:v>A</x:v>
      </x:c>
      <x:c r="D49" s="37" t="str">
        <x:v>N</x:v>
      </x:c>
      <x:c r="E49" s="37" t="str">
        <x:v>2025-11-17 11:58:28</x:v>
      </x:c>
      <x:c r="F49" s="42" t="n">
        <x:v>11.67</x:v>
      </x:c>
      <x:c r="G49" s="37" t="str">
        <x:v>https://map.kakao.com/link/roadview/37.3921408,126.9236185</x:v>
      </x:c>
      <x:c r="H49" s="37" t="str">
        <x:v>https://map.kakao.com/?panoid=1202969686&amp;pan=327.0&amp;zoom=0&amp;map_type=TYPE_MAP&amp;map_attribute=ROADVIEW&amp;urlX=483115.0&amp;urlY=1081356.0</x:v>
      </x:c>
      <x:c r="I49" s="37" t="str">
        <x:v>Codex_AI_precheck_1</x:v>
      </x:c>
      <x:c r="J49" s="37" t="str">
        <x:v>2026-09-15</x:v>
      </x:c>
      <x:c r="K49" s="37" t="str">
        <x:v>있음</x:v>
      </x:c>
      <x:c r="L49" s="37" t="str">
        <x:v>있음</x:v>
      </x:c>
      <x:c r="M49" s="37" t="str">
        <x:v>없음</x:v>
      </x:c>
      <x:c r="N49" s="37" t="str">
        <x:v>pass</x:v>
      </x:c>
      <x:c r="O49" s="37" t="str">
        <x:v>경사로와 점자블록이 보이고 통행공간이 열려 있음</x:v>
      </x:c>
      <x:c r="P49" s="37" t="str"/>
      <x:c r="Q49" s="37" t="str"/>
      <x:c r="R49" s="37" t="str"/>
      <x:c r="S49" s="37" t="str"/>
      <x:c r="T49" s="37" t="str"/>
      <x:c r="U49" s="37" t="str"/>
      <x:c r="V49" s="37" t="str"/>
      <x:c r="W49" s="37" t="str">
        <x:v>있음</x:v>
      </x:c>
      <x:c r="X49" s="37" t="str">
        <x:v>있음</x:v>
      </x:c>
      <x:c r="Y49" s="37" t="str">
        <x:v>없음</x:v>
      </x:c>
      <x:c r="Z49" s="205" t="str">
        <x:v>pass</x:v>
      </x:c>
      <x:c r="AA49" s="37" t="str">
        <x:v>경사로와 점자블록이 보이고 통행공간이 열려 있음</x:v>
      </x:c>
      <x:c r="AB49" s="37" t="str">
        <x:v>likely_accessible_candidate</x:v>
      </x:c>
      <x:c r="AC49" s="203" t="n">
        <x:v>0.82</x:v>
      </x:c>
      <x:c r="AD49" s="37" t="str">
        <x:v>Y</x:v>
      </x:c>
      <x:c r="AE49" s="44" t="str"/>
      <x:c r="AF49" s="37" t="str">
        <x:v>미반영(사람 승인 전)</x:v>
      </x:c>
      <x:c r="AG49" s="109" t="str">
        <x:v>통과 가능 후보</x:v>
      </x:c>
      <x:c r="AH49" s="109" t="str">
        <x:v>안내시설 양호 후보</x:v>
      </x:c>
      <x:c r="AI49" s="109" t="str">
        <x:v>N</x:v>
      </x:c>
      <x:c r="AJ49" s="109" t="str">
        <x:v>정적 후보</x:v>
      </x:c>
      <x:c r="AK49" s="109" t="str">
        <x:v>사람검수 전 후보</x:v>
      </x:c>
      <x:c r="AL49" s="109" t="str">
        <x:v>영상 관찰 후보이며 verified pass가 아님</x:v>
      </x:c>
    </x:row>
    <x:row r="50" ht="34" customHeight="1">
      <x:c r="A50" s="37" t="str">
        <x:v>CW22-B</x:v>
      </x:c>
      <x:c r="B50" s="37" t="str">
        <x:v>CW22</x:v>
      </x:c>
      <x:c r="C50" s="37" t="str">
        <x:v>B</x:v>
      </x:c>
      <x:c r="D50" s="37" t="str">
        <x:v>N</x:v>
      </x:c>
      <x:c r="E50" s="37" t="str">
        <x:v>2025-11-17 11:58:28</x:v>
      </x:c>
      <x:c r="F50" s="42" t="n">
        <x:v>4.25</x:v>
      </x:c>
      <x:c r="G50" s="37" t="str">
        <x:v>https://map.kakao.com/link/roadview/37.3922192,126.9237693</x:v>
      </x:c>
      <x:c r="H50" s="37" t="str">
        <x:v>https://map.kakao.com/?panoid=1202969686&amp;pan=327.0&amp;zoom=0&amp;map_type=TYPE_MAP&amp;map_attribute=ROADVIEW&amp;urlX=483115.0&amp;urlY=1081356.0</x:v>
      </x:c>
      <x:c r="I50" s="37" t="str">
        <x:v>Codex_AI_precheck_1</x:v>
      </x:c>
      <x:c r="J50" s="37" t="str">
        <x:v>2026-09-15</x:v>
      </x:c>
      <x:c r="K50" s="37" t="str">
        <x:v>판독불가</x:v>
      </x:c>
      <x:c r="L50" s="37" t="str">
        <x:v>판독불가</x:v>
      </x:c>
      <x:c r="M50" s="37" t="str">
        <x:v>시야불충분</x:v>
      </x:c>
      <x:c r="N50" s="37" t="str">
        <x:v>unknown</x:v>
      </x:c>
      <x:c r="O50" s="37" t="str">
        <x:v>착지부가 카메라 직하부·화면 밖에 있어 핵심 시설을 확인할 수 없음</x:v>
      </x:c>
      <x:c r="P50" s="37" t="str"/>
      <x:c r="Q50" s="37" t="str"/>
      <x:c r="R50" s="37" t="str"/>
      <x:c r="S50" s="37" t="str"/>
      <x:c r="T50" s="37" t="str"/>
      <x:c r="U50" s="37" t="str"/>
      <x:c r="V50" s="37" t="str"/>
      <x:c r="W50" s="37" t="str">
        <x:v>판독불가</x:v>
      </x:c>
      <x:c r="X50" s="37" t="str">
        <x:v>판독불가</x:v>
      </x:c>
      <x:c r="Y50" s="37" t="str">
        <x:v>시야불충분</x:v>
      </x:c>
      <x:c r="Z50" s="205" t="str">
        <x:v>unknown</x:v>
      </x:c>
      <x:c r="AA50" s="37" t="str">
        <x:v>착지부가 카메라 직하부·화면 밖에 있어 핵심 시설을 확인할 수 없음</x:v>
      </x:c>
      <x:c r="AB50" s="37" t="str">
        <x:v>visibility_review_needed</x:v>
      </x:c>
      <x:c r="AC50" s="203" t="n">
        <x:v>0.52</x:v>
      </x:c>
      <x:c r="AD50" s="37" t="str">
        <x:v>Y</x:v>
      </x:c>
      <x:c r="AE50" s="44" t="str"/>
      <x:c r="AF50" s="37" t="str">
        <x:v>미반영(사람 승인 전)</x:v>
      </x:c>
      <x:c r="AG50" s="109" t="str">
        <x:v>시야 부족·판독보류</x:v>
      </x:c>
      <x:c r="AH50" s="109" t="str">
        <x:v>시야 부족·판독보류</x:v>
      </x:c>
      <x:c r="AI50" s="109" t="str">
        <x:v>N</x:v>
      </x:c>
      <x:c r="AJ50" s="109" t="str">
        <x:v>재관측 필요</x:v>
      </x:c>
      <x:c r="AK50" s="109" t="str">
        <x:v>사람검수 전 후보</x:v>
      </x:c>
      <x:c r="AL50" s="109" t="str">
        <x:v>식별 불가를 차단 또는 통과로 치환하지 않음</x:v>
      </x:c>
    </x:row>
    <x:row r="51" ht="34" customHeight="1">
      <x:c r="A51" s="37" t="str">
        <x:v>CW23-A</x:v>
      </x:c>
      <x:c r="B51" s="37" t="str">
        <x:v>CW23</x:v>
      </x:c>
      <x:c r="C51" s="37" t="str">
        <x:v>A</x:v>
      </x:c>
      <x:c r="D51" s="37" t="str">
        <x:v>Y</x:v>
      </x:c>
      <x:c r="E51" s="37" t="str">
        <x:v>2025-11-18 10:22:37</x:v>
      </x:c>
      <x:c r="F51" s="42" t="n">
        <x:v>6.55</x:v>
      </x:c>
      <x:c r="G51" s="37" t="str">
        <x:v>https://map.kakao.com/link/roadview/37.3921163,126.9238832</x:v>
      </x:c>
      <x:c r="H51" s="37" t="str">
        <x:v>https://map.kakao.com/?panoid=1202870512&amp;pan=238.8&amp;zoom=0&amp;map_type=TYPE_MAP&amp;map_attribute=ROADVIEW&amp;urlX=483156.0&amp;urlY=1081348.0</x:v>
      </x:c>
      <x:c r="I51" s="37" t="str">
        <x:v>Codex_AI_precheck_1</x:v>
      </x:c>
      <x:c r="J51" s="37" t="str">
        <x:v>2026-09-15</x:v>
      </x:c>
      <x:c r="K51" s="37" t="str">
        <x:v>판독불가</x:v>
      </x:c>
      <x:c r="L51" s="37" t="str">
        <x:v>판독불가</x:v>
      </x:c>
      <x:c r="M51" s="37" t="str">
        <x:v>지오메트리불일치</x:v>
      </x:c>
      <x:c r="N51" s="37" t="str">
        <x:v>unknown</x:v>
      </x:c>
      <x:c r="O51" s="37" t="str">
        <x:v>접근부 추정점과 영상의 실제 횡단 착지부가 정합하지 않음</x:v>
      </x:c>
      <x:c r="P51" s="37" t="str">
        <x:v>Codex_AI_precheck_2</x:v>
      </x:c>
      <x:c r="Q51" s="37" t="str">
        <x:v>2026-09-15</x:v>
      </x:c>
      <x:c r="R51" s="37" t="str">
        <x:v>판독불가</x:v>
      </x:c>
      <x:c r="S51" s="37" t="str">
        <x:v>판독불가</x:v>
      </x:c>
      <x:c r="T51" s="37" t="str">
        <x:v>지오메트리불일치</x:v>
      </x:c>
      <x:c r="U51" s="37" t="str">
        <x:v>unknown</x:v>
      </x:c>
      <x:c r="V51" s="37" t="str">
        <x:v>접근부 추정점과 영상의 실제 횡단 착지부가 정합하지 않음</x:v>
      </x:c>
      <x:c r="W51" s="37" t="str">
        <x:v>판독불가</x:v>
      </x:c>
      <x:c r="X51" s="37" t="str">
        <x:v>판독불가</x:v>
      </x:c>
      <x:c r="Y51" s="37" t="str">
        <x:v>지오메트리불일치</x:v>
      </x:c>
      <x:c r="Z51" s="205" t="str">
        <x:v>unknown</x:v>
      </x:c>
      <x:c r="AA51" s="37" t="str">
        <x:v>접근부 추정점과 영상의 실제 횡단 착지부가 정합하지 않음</x:v>
      </x:c>
      <x:c r="AB51" s="37" t="str">
        <x:v>geometry_mismatch_candidate</x:v>
      </x:c>
      <x:c r="AC51" s="203" t="n">
        <x:v>0.58</x:v>
      </x:c>
      <x:c r="AD51" s="37" t="str">
        <x:v>Y</x:v>
      </x:c>
      <x:c r="AE51" s="44" t="str"/>
      <x:c r="AF51" s="37" t="str">
        <x:v>미반영(사람 승인 전)</x:v>
      </x:c>
      <x:c r="AG51" s="109" t="str">
        <x:v>위치 불일치·판독보류</x:v>
      </x:c>
      <x:c r="AH51" s="109" t="str">
        <x:v>위치 불일치·판독보류</x:v>
      </x:c>
      <x:c r="AI51" s="109" t="str">
        <x:v>N</x:v>
      </x:c>
      <x:c r="AJ51" s="109" t="str">
        <x:v>위치보정 필요</x:v>
      </x:c>
      <x:c r="AK51" s="109" t="str">
        <x:v>위치보정 전 사용 금지</x:v>
      </x:c>
      <x:c r="AL51" s="109" t="str">
        <x:v>추정 접근부와 실제 착지부 정합성 재설정 필요</x:v>
      </x:c>
    </x:row>
    <x:row r="52" ht="34" customHeight="1">
      <x:c r="A52" s="37" t="str">
        <x:v>CW23-B</x:v>
      </x:c>
      <x:c r="B52" s="37" t="str">
        <x:v>CW23</x:v>
      </x:c>
      <x:c r="C52" s="37" t="str">
        <x:v>B</x:v>
      </x:c>
      <x:c r="D52" s="37" t="str">
        <x:v>Y</x:v>
      </x:c>
      <x:c r="E52" s="37" t="str">
        <x:v>2025-11-18 10:22:37</x:v>
      </x:c>
      <x:c r="F52" s="42" t="n">
        <x:v>5.98</x:v>
      </x:c>
      <x:c r="G52" s="37" t="str">
        <x:v>https://map.kakao.com/link/roadview/37.3921604,126.9238474</x:v>
      </x:c>
      <x:c r="H52" s="37" t="str">
        <x:v>https://map.kakao.com/?panoid=1202870512&amp;pan=238.8&amp;zoom=0&amp;map_type=TYPE_MAP&amp;map_attribute=ROADVIEW&amp;urlX=483156.0&amp;urlY=1081348.0</x:v>
      </x:c>
      <x:c r="I52" s="37" t="str">
        <x:v>Codex_AI_precheck_1</x:v>
      </x:c>
      <x:c r="J52" s="37" t="str">
        <x:v>2026-09-15</x:v>
      </x:c>
      <x:c r="K52" s="37" t="str">
        <x:v>판독불가</x:v>
      </x:c>
      <x:c r="L52" s="37" t="str">
        <x:v>판독불가</x:v>
      </x:c>
      <x:c r="M52" s="37" t="str">
        <x:v>지오메트리불일치</x:v>
      </x:c>
      <x:c r="N52" s="37" t="str">
        <x:v>unknown</x:v>
      </x:c>
      <x:c r="O52" s="37" t="str">
        <x:v>접근부 추정점과 영상의 실제 횡단 착지부가 정합하지 않음</x:v>
      </x:c>
      <x:c r="P52" s="37" t="str">
        <x:v>Codex_AI_precheck_2</x:v>
      </x:c>
      <x:c r="Q52" s="37" t="str">
        <x:v>2026-09-15</x:v>
      </x:c>
      <x:c r="R52" s="37" t="str">
        <x:v>판독불가</x:v>
      </x:c>
      <x:c r="S52" s="37" t="str">
        <x:v>판독불가</x:v>
      </x:c>
      <x:c r="T52" s="37" t="str">
        <x:v>지오메트리불일치</x:v>
      </x:c>
      <x:c r="U52" s="37" t="str">
        <x:v>unknown</x:v>
      </x:c>
      <x:c r="V52" s="37" t="str">
        <x:v>접근부 추정점과 영상의 실제 횡단 착지부가 정합하지 않음</x:v>
      </x:c>
      <x:c r="W52" s="37" t="str">
        <x:v>판독불가</x:v>
      </x:c>
      <x:c r="X52" s="37" t="str">
        <x:v>판독불가</x:v>
      </x:c>
      <x:c r="Y52" s="37" t="str">
        <x:v>지오메트리불일치</x:v>
      </x:c>
      <x:c r="Z52" s="205" t="str">
        <x:v>unknown</x:v>
      </x:c>
      <x:c r="AA52" s="37" t="str">
        <x:v>접근부 추정점과 영상의 실제 횡단 착지부가 정합하지 않음</x:v>
      </x:c>
      <x:c r="AB52" s="37" t="str">
        <x:v>geometry_mismatch_candidate</x:v>
      </x:c>
      <x:c r="AC52" s="203" t="n">
        <x:v>0.58</x:v>
      </x:c>
      <x:c r="AD52" s="37" t="str">
        <x:v>Y</x:v>
      </x:c>
      <x:c r="AE52" s="44" t="str"/>
      <x:c r="AF52" s="37" t="str">
        <x:v>미반영(사람 승인 전)</x:v>
      </x:c>
      <x:c r="AG52" s="109" t="str">
        <x:v>위치 불일치·판독보류</x:v>
      </x:c>
      <x:c r="AH52" s="109" t="str">
        <x:v>위치 불일치·판독보류</x:v>
      </x:c>
      <x:c r="AI52" s="109" t="str">
        <x:v>N</x:v>
      </x:c>
      <x:c r="AJ52" s="109" t="str">
        <x:v>위치보정 필요</x:v>
      </x:c>
      <x:c r="AK52" s="109" t="str">
        <x:v>위치보정 전 사용 금지</x:v>
      </x:c>
      <x:c r="AL52" s="109" t="str">
        <x:v>추정 접근부와 실제 착지부 정합성 재설정 필요</x:v>
      </x:c>
    </x:row>
    <x:row r="53" ht="34" customHeight="1">
      <x:c r="A53" s="37" t="str">
        <x:v>CW24-A</x:v>
      </x:c>
      <x:c r="B53" s="37" t="str">
        <x:v>CW24</x:v>
      </x:c>
      <x:c r="C53" s="37" t="str">
        <x:v>A</x:v>
      </x:c>
      <x:c r="D53" s="37" t="str">
        <x:v>N</x:v>
      </x:c>
      <x:c r="E53" s="37" t="str">
        <x:v>2025-11-17 11:58:26</x:v>
      </x:c>
      <x:c r="F53" s="42" t="n">
        <x:v>21.11</x:v>
      </x:c>
      <x:c r="G53" s="37" t="str">
        <x:v>https://map.kakao.com/link/roadview/37.3920183,126.9235927</x:v>
      </x:c>
      <x:c r="H53" s="37" t="str">
        <x:v>https://map.kakao.com/?panoid=1202969685&amp;pan=327.1&amp;zoom=0&amp;map_type=TYPE_MAP&amp;map_attribute=ROADVIEW&amp;urlX=483129.0&amp;urlY=1081335.0</x:v>
      </x:c>
      <x:c r="I53" s="37" t="str">
        <x:v>Codex_AI_precheck_1</x:v>
      </x:c>
      <x:c r="J53" s="37" t="str">
        <x:v>2026-09-15</x:v>
      </x:c>
      <x:c r="K53" s="37" t="str">
        <x:v>있음</x:v>
      </x:c>
      <x:c r="L53" s="37" t="str">
        <x:v>있음</x:v>
      </x:c>
      <x:c r="M53" s="37" t="str">
        <x:v>없음</x:v>
      </x:c>
      <x:c r="N53" s="37" t="str">
        <x:v>pass</x:v>
      </x:c>
      <x:c r="O53" s="37" t="str">
        <x:v>경사로와 점자블록이 보이고 통행공간이 열려 있음</x:v>
      </x:c>
      <x:c r="P53" s="37" t="str"/>
      <x:c r="Q53" s="37" t="str"/>
      <x:c r="R53" s="37" t="str"/>
      <x:c r="S53" s="37" t="str"/>
      <x:c r="T53" s="37" t="str"/>
      <x:c r="U53" s="37" t="str"/>
      <x:c r="V53" s="37" t="str"/>
      <x:c r="W53" s="37" t="str">
        <x:v>있음</x:v>
      </x:c>
      <x:c r="X53" s="37" t="str">
        <x:v>있음</x:v>
      </x:c>
      <x:c r="Y53" s="37" t="str">
        <x:v>없음</x:v>
      </x:c>
      <x:c r="Z53" s="205" t="str">
        <x:v>pass</x:v>
      </x:c>
      <x:c r="AA53" s="37" t="str">
        <x:v>경사로와 점자블록이 보이고 통행공간이 열려 있음</x:v>
      </x:c>
      <x:c r="AB53" s="37" t="str">
        <x:v>likely_accessible_candidate</x:v>
      </x:c>
      <x:c r="AC53" s="203" t="n">
        <x:v>0.82</x:v>
      </x:c>
      <x:c r="AD53" s="37" t="str">
        <x:v>Y</x:v>
      </x:c>
      <x:c r="AE53" s="44" t="str"/>
      <x:c r="AF53" s="37" t="str">
        <x:v>미반영(사람 승인 전)</x:v>
      </x:c>
      <x:c r="AG53" s="109" t="str">
        <x:v>통과 가능 후보</x:v>
      </x:c>
      <x:c r="AH53" s="109" t="str">
        <x:v>안내시설 양호 후보</x:v>
      </x:c>
      <x:c r="AI53" s="109" t="str">
        <x:v>N</x:v>
      </x:c>
      <x:c r="AJ53" s="109" t="str">
        <x:v>정적 후보</x:v>
      </x:c>
      <x:c r="AK53" s="109" t="str">
        <x:v>사람검수 전 후보</x:v>
      </x:c>
      <x:c r="AL53" s="109" t="str">
        <x:v>영상 관찰 후보이며 verified pass가 아님</x:v>
      </x:c>
    </x:row>
    <x:row r="54" ht="34" customHeight="1">
      <x:c r="A54" s="37" t="str">
        <x:v>CW24-B</x:v>
      </x:c>
      <x:c r="B54" s="37" t="str">
        <x:v>CW24</x:v>
      </x:c>
      <x:c r="C54" s="37" t="str">
        <x:v>B</x:v>
      </x:c>
      <x:c r="D54" s="37" t="str">
        <x:v>N</x:v>
      </x:c>
      <x:c r="E54" s="37" t="str">
        <x:v>2025-11-17 11:58:26</x:v>
      </x:c>
      <x:c r="F54" s="42" t="n">
        <x:v>7.15</x:v>
      </x:c>
      <x:c r="G54" s="37" t="str">
        <x:v>https://map.kakao.com/link/roadview/37.3920871,126.9237249</x:v>
      </x:c>
      <x:c r="H54" s="37" t="str">
        <x:v>https://map.kakao.com/?panoid=1202969685&amp;pan=327.1&amp;zoom=0&amp;map_type=TYPE_MAP&amp;map_attribute=ROADVIEW&amp;urlX=483129.0&amp;urlY=1081335.0</x:v>
      </x:c>
      <x:c r="I54" s="37" t="str">
        <x:v>Codex_AI_precheck_1</x:v>
      </x:c>
      <x:c r="J54" s="37" t="str">
        <x:v>2026-09-15</x:v>
      </x:c>
      <x:c r="K54" s="37" t="str">
        <x:v>판독불가</x:v>
      </x:c>
      <x:c r="L54" s="37" t="str">
        <x:v>판독불가</x:v>
      </x:c>
      <x:c r="M54" s="37" t="str">
        <x:v>시야불충분</x:v>
      </x:c>
      <x:c r="N54" s="37" t="str">
        <x:v>unknown</x:v>
      </x:c>
      <x:c r="O54" s="37" t="str">
        <x:v>착지부가 카메라 직하부·화면 밖에 있어 핵심 시설을 확인할 수 없음</x:v>
      </x:c>
      <x:c r="P54" s="37" t="str"/>
      <x:c r="Q54" s="37" t="str"/>
      <x:c r="R54" s="37" t="str"/>
      <x:c r="S54" s="37" t="str"/>
      <x:c r="T54" s="37" t="str"/>
      <x:c r="U54" s="37" t="str"/>
      <x:c r="V54" s="37" t="str"/>
      <x:c r="W54" s="37" t="str">
        <x:v>판독불가</x:v>
      </x:c>
      <x:c r="X54" s="37" t="str">
        <x:v>판독불가</x:v>
      </x:c>
      <x:c r="Y54" s="37" t="str">
        <x:v>시야불충분</x:v>
      </x:c>
      <x:c r="Z54" s="205" t="str">
        <x:v>unknown</x:v>
      </x:c>
      <x:c r="AA54" s="37" t="str">
        <x:v>착지부가 카메라 직하부·화면 밖에 있어 핵심 시설을 확인할 수 없음</x:v>
      </x:c>
      <x:c r="AB54" s="37" t="str">
        <x:v>visibility_review_needed</x:v>
      </x:c>
      <x:c r="AC54" s="203" t="n">
        <x:v>0.52</x:v>
      </x:c>
      <x:c r="AD54" s="37" t="str">
        <x:v>Y</x:v>
      </x:c>
      <x:c r="AE54" s="44" t="str"/>
      <x:c r="AF54" s="37" t="str">
        <x:v>미반영(사람 승인 전)</x:v>
      </x:c>
      <x:c r="AG54" s="109" t="str">
        <x:v>시야 부족·판독보류</x:v>
      </x:c>
      <x:c r="AH54" s="109" t="str">
        <x:v>시야 부족·판독보류</x:v>
      </x:c>
      <x:c r="AI54" s="109" t="str">
        <x:v>N</x:v>
      </x:c>
      <x:c r="AJ54" s="109" t="str">
        <x:v>재관측 필요</x:v>
      </x:c>
      <x:c r="AK54" s="109" t="str">
        <x:v>사람검수 전 후보</x:v>
      </x:c>
      <x:c r="AL54" s="109" t="str">
        <x:v>식별 불가를 차단 또는 통과로 치환하지 않음</x:v>
      </x:c>
    </x:row>
    <x:row r="55" ht="34" customHeight="1">
      <x:c r="A55" s="37" t="str">
        <x:v>CW25-A</x:v>
      </x:c>
      <x:c r="B55" s="37" t="str">
        <x:v>CW25</x:v>
      </x:c>
      <x:c r="C55" s="37" t="str">
        <x:v>A</x:v>
      </x:c>
      <x:c r="D55" s="37" t="str">
        <x:v>Y</x:v>
      </x:c>
      <x:c r="E55" s="37" t="str">
        <x:v>2025-11-17 11:58:25</x:v>
      </x:c>
      <x:c r="F55" s="42" t="n">
        <x:v>12.07</x:v>
      </x:c>
      <x:c r="G55" s="37" t="str">
        <x:v>https://map.kakao.com/link/roadview/37.3919802,126.9237436</x:v>
      </x:c>
      <x:c r="H55" s="37" t="str">
        <x:v>https://map.kakao.com/?panoid=1202969684&amp;pan=326.9&amp;zoom=0&amp;map_type=TYPE_MAP&amp;map_attribute=ROADVIEW&amp;urlX=483142.0&amp;urlY=1081314.0</x:v>
      </x:c>
      <x:c r="I55" s="37" t="str">
        <x:v>Codex_AI_precheck_1</x:v>
      </x:c>
      <x:c r="J55" s="37" t="str">
        <x:v>2026-09-15</x:v>
      </x:c>
      <x:c r="K55" s="37" t="str">
        <x:v>있음</x:v>
      </x:c>
      <x:c r="L55" s="37" t="str">
        <x:v>있음</x:v>
      </x:c>
      <x:c r="M55" s="37" t="str">
        <x:v>없음</x:v>
      </x:c>
      <x:c r="N55" s="37" t="str">
        <x:v>pass</x:v>
      </x:c>
      <x:c r="O55" s="37" t="str">
        <x:v>경사로와 점자블록이 보이고 통행공간이 열려 있음</x:v>
      </x:c>
      <x:c r="P55" s="37" t="str">
        <x:v>Codex_AI_precheck_2</x:v>
      </x:c>
      <x:c r="Q55" s="37" t="str">
        <x:v>2026-09-15</x:v>
      </x:c>
      <x:c r="R55" s="37" t="str">
        <x:v>있음</x:v>
      </x:c>
      <x:c r="S55" s="37" t="str">
        <x:v>있음</x:v>
      </x:c>
      <x:c r="T55" s="37" t="str">
        <x:v>없음</x:v>
      </x:c>
      <x:c r="U55" s="37" t="str">
        <x:v>pass</x:v>
      </x:c>
      <x:c r="V55" s="37" t="str">
        <x:v>역순·착지부 중심 재판독에서 경사로와 점자블록을 확인</x:v>
      </x:c>
      <x:c r="W55" s="37" t="str">
        <x:v>있음</x:v>
      </x:c>
      <x:c r="X55" s="37" t="str">
        <x:v>있음</x:v>
      </x:c>
      <x:c r="Y55" s="37" t="str">
        <x:v>없음</x:v>
      </x:c>
      <x:c r="Z55" s="205" t="str">
        <x:v>pass</x:v>
      </x:c>
      <x:c r="AA55" s="37" t="str">
        <x:v>경사로와 점자블록이 보이고 통행공간이 열려 있음</x:v>
      </x:c>
      <x:c r="AB55" s="37" t="str">
        <x:v>likely_accessible_candidate</x:v>
      </x:c>
      <x:c r="AC55" s="203" t="n">
        <x:v>0.82</x:v>
      </x:c>
      <x:c r="AD55" s="37" t="str">
        <x:v>Y</x:v>
      </x:c>
      <x:c r="AE55" s="44" t="str"/>
      <x:c r="AF55" s="37" t="str">
        <x:v>미반영(사람 승인 전)</x:v>
      </x:c>
      <x:c r="AG55" s="109" t="str">
        <x:v>통과 가능 후보</x:v>
      </x:c>
      <x:c r="AH55" s="109" t="str">
        <x:v>안내시설 양호 후보</x:v>
      </x:c>
      <x:c r="AI55" s="109" t="str">
        <x:v>N</x:v>
      </x:c>
      <x:c r="AJ55" s="109" t="str">
        <x:v>정적 후보</x:v>
      </x:c>
      <x:c r="AK55" s="109" t="str">
        <x:v>사람검수 전 후보</x:v>
      </x:c>
      <x:c r="AL55" s="109" t="str">
        <x:v>영상 관찰 후보이며 verified pass가 아님</x:v>
      </x:c>
    </x:row>
    <x:row r="56" ht="34" customHeight="1">
      <x:c r="A56" s="37" t="str">
        <x:v>CW25-B</x:v>
      </x:c>
      <x:c r="B56" s="37" t="str">
        <x:v>CW25</x:v>
      </x:c>
      <x:c r="C56" s="37" t="str">
        <x:v>B</x:v>
      </x:c>
      <x:c r="D56" s="37" t="str">
        <x:v>Y</x:v>
      </x:c>
      <x:c r="E56" s="37" t="str">
        <x:v>2025-11-17 11:58:25</x:v>
      </x:c>
      <x:c r="F56" s="42" t="n">
        <x:v>4.37</x:v>
      </x:c>
      <x:c r="G56" s="37" t="str">
        <x:v>https://map.kakao.com/link/roadview/37.3920609,126.9238972</x:v>
      </x:c>
      <x:c r="H56" s="37" t="str">
        <x:v>https://map.kakao.com/?panoid=1202969684&amp;pan=326.9&amp;zoom=0&amp;map_type=TYPE_MAP&amp;map_attribute=ROADVIEW&amp;urlX=483142.0&amp;urlY=1081314.0</x:v>
      </x:c>
      <x:c r="I56" s="37" t="str">
        <x:v>Codex_AI_precheck_1</x:v>
      </x:c>
      <x:c r="J56" s="37" t="str">
        <x:v>2026-09-15</x:v>
      </x:c>
      <x:c r="K56" s="37" t="str">
        <x:v>있음</x:v>
      </x:c>
      <x:c r="L56" s="37" t="str">
        <x:v>있음</x:v>
      </x:c>
      <x:c r="M56" s="37" t="str">
        <x:v>없음</x:v>
      </x:c>
      <x:c r="N56" s="37" t="str">
        <x:v>pass</x:v>
      </x:c>
      <x:c r="O56" s="37" t="str">
        <x:v>경사로와 점자블록이 보이고 통행공간이 열려 있음</x:v>
      </x:c>
      <x:c r="P56" s="37" t="str">
        <x:v>Codex_AI_precheck_2</x:v>
      </x:c>
      <x:c r="Q56" s="37" t="str">
        <x:v>2026-09-15</x:v>
      </x:c>
      <x:c r="R56" s="37" t="str">
        <x:v>있음</x:v>
      </x:c>
      <x:c r="S56" s="37" t="str">
        <x:v>있음</x:v>
      </x:c>
      <x:c r="T56" s="37" t="str">
        <x:v>없음</x:v>
      </x:c>
      <x:c r="U56" s="37" t="str">
        <x:v>pass</x:v>
      </x:c>
      <x:c r="V56" s="37" t="str">
        <x:v>역순·착지부 중심 재판독에서 경사로와 점자블록을 확인</x:v>
      </x:c>
      <x:c r="W56" s="37" t="str">
        <x:v>있음</x:v>
      </x:c>
      <x:c r="X56" s="37" t="str">
        <x:v>있음</x:v>
      </x:c>
      <x:c r="Y56" s="37" t="str">
        <x:v>없음</x:v>
      </x:c>
      <x:c r="Z56" s="205" t="str">
        <x:v>pass</x:v>
      </x:c>
      <x:c r="AA56" s="37" t="str">
        <x:v>경사로와 점자블록이 보이고 통행공간이 열려 있음</x:v>
      </x:c>
      <x:c r="AB56" s="37" t="str">
        <x:v>likely_accessible_candidate</x:v>
      </x:c>
      <x:c r="AC56" s="203" t="n">
        <x:v>0.82</x:v>
      </x:c>
      <x:c r="AD56" s="37" t="str">
        <x:v>Y</x:v>
      </x:c>
      <x:c r="AE56" s="44" t="str"/>
      <x:c r="AF56" s="37" t="str">
        <x:v>미반영(사람 승인 전)</x:v>
      </x:c>
      <x:c r="AG56" s="109" t="str">
        <x:v>통과 가능 후보</x:v>
      </x:c>
      <x:c r="AH56" s="109" t="str">
        <x:v>안내시설 양호 후보</x:v>
      </x:c>
      <x:c r="AI56" s="109" t="str">
        <x:v>N</x:v>
      </x:c>
      <x:c r="AJ56" s="109" t="str">
        <x:v>정적 후보</x:v>
      </x:c>
      <x:c r="AK56" s="109" t="str">
        <x:v>사람검수 전 후보</x:v>
      </x:c>
      <x:c r="AL56" s="109" t="str">
        <x:v>영상 관찰 후보이며 verified pass가 아님</x:v>
      </x:c>
    </x:row>
    <x:row r="57" ht="34" customHeight="1">
      <x:c r="A57" s="37" t="str">
        <x:v>CW26-A</x:v>
      </x:c>
      <x:c r="B57" s="37" t="str">
        <x:v>CW26</x:v>
      </x:c>
      <x:c r="C57" s="37" t="str">
        <x:v>A</x:v>
      </x:c>
      <x:c r="D57" s="37" t="str">
        <x:v>N</x:v>
      </x:c>
      <x:c r="E57" s="37" t="str">
        <x:v>2025-11-17 11:57:37</x:v>
      </x:c>
      <x:c r="F57" s="42" t="n">
        <x:v>9.26</x:v>
      </x:c>
      <x:c r="G57" s="37" t="str">
        <x:v>https://map.kakao.com/link/roadview/37.3913037,126.9243626</x:v>
      </x:c>
      <x:c r="H57" s="37" t="str">
        <x:v>https://map.kakao.com/?panoid=1202969675&amp;pan=326.8&amp;zoom=0&amp;map_type=TYPE_MAP&amp;map_attribute=ROADVIEW&amp;urlX=483266.0&amp;urlY=1081128.0</x:v>
      </x:c>
      <x:c r="I57" s="37" t="str">
        <x:v>Codex_AI_precheck_1</x:v>
      </x:c>
      <x:c r="J57" s="37" t="str">
        <x:v>2026-09-15</x:v>
      </x:c>
      <x:c r="K57" s="37" t="str">
        <x:v>있음</x:v>
      </x:c>
      <x:c r="L57" s="37" t="str">
        <x:v>있음</x:v>
      </x:c>
      <x:c r="M57" s="37" t="str">
        <x:v>없음</x:v>
      </x:c>
      <x:c r="N57" s="37" t="str">
        <x:v>pass</x:v>
      </x:c>
      <x:c r="O57" s="37" t="str">
        <x:v>경사로와 점자블록이 보이고 통행공간이 열려 있음</x:v>
      </x:c>
      <x:c r="P57" s="37" t="str"/>
      <x:c r="Q57" s="37" t="str"/>
      <x:c r="R57" s="37" t="str"/>
      <x:c r="S57" s="37" t="str"/>
      <x:c r="T57" s="37" t="str"/>
      <x:c r="U57" s="37" t="str"/>
      <x:c r="V57" s="37" t="str"/>
      <x:c r="W57" s="37" t="str">
        <x:v>있음</x:v>
      </x:c>
      <x:c r="X57" s="37" t="str">
        <x:v>있음</x:v>
      </x:c>
      <x:c r="Y57" s="37" t="str">
        <x:v>없음</x:v>
      </x:c>
      <x:c r="Z57" s="205" t="str">
        <x:v>pass</x:v>
      </x:c>
      <x:c r="AA57" s="37" t="str">
        <x:v>경사로와 점자블록이 보이고 통행공간이 열려 있음</x:v>
      </x:c>
      <x:c r="AB57" s="37" t="str">
        <x:v>likely_accessible_candidate</x:v>
      </x:c>
      <x:c r="AC57" s="203" t="n">
        <x:v>0.82</x:v>
      </x:c>
      <x:c r="AD57" s="37" t="str">
        <x:v>Y</x:v>
      </x:c>
      <x:c r="AE57" s="44" t="str"/>
      <x:c r="AF57" s="37" t="str">
        <x:v>미반영(사람 승인 전)</x:v>
      </x:c>
      <x:c r="AG57" s="109" t="str">
        <x:v>통과 가능 후보</x:v>
      </x:c>
      <x:c r="AH57" s="109" t="str">
        <x:v>안내시설 양호 후보</x:v>
      </x:c>
      <x:c r="AI57" s="109" t="str">
        <x:v>N</x:v>
      </x:c>
      <x:c r="AJ57" s="109" t="str">
        <x:v>정적 후보</x:v>
      </x:c>
      <x:c r="AK57" s="109" t="str">
        <x:v>사람검수 전 후보</x:v>
      </x:c>
      <x:c r="AL57" s="109" t="str">
        <x:v>영상 관찰 후보이며 verified pass가 아님</x:v>
      </x:c>
    </x:row>
    <x:row r="58" ht="34" customHeight="1">
      <x:c r="A58" s="37" t="str">
        <x:v>CW26-B</x:v>
      </x:c>
      <x:c r="B58" s="37" t="str">
        <x:v>CW26</x:v>
      </x:c>
      <x:c r="C58" s="37" t="str">
        <x:v>B</x:v>
      </x:c>
      <x:c r="D58" s="37" t="str">
        <x:v>N</x:v>
      </x:c>
      <x:c r="E58" s="37" t="str">
        <x:v>2025-11-17 11:57:37</x:v>
      </x:c>
      <x:c r="F58" s="42" t="n">
        <x:v>5.5</x:v>
      </x:c>
      <x:c r="G58" s="37" t="str">
        <x:v>https://map.kakao.com/link/roadview/37.3913568,126.9244684</x:v>
      </x:c>
      <x:c r="H58" s="37" t="str">
        <x:v>https://map.kakao.com/?panoid=1202969675&amp;pan=326.8&amp;zoom=0&amp;map_type=TYPE_MAP&amp;map_attribute=ROADVIEW&amp;urlX=483266.0&amp;urlY=1081128.0</x:v>
      </x:c>
      <x:c r="I58" s="37" t="str">
        <x:v>Codex_AI_precheck_1</x:v>
      </x:c>
      <x:c r="J58" s="37" t="str">
        <x:v>2026-09-15</x:v>
      </x:c>
      <x:c r="K58" s="37" t="str">
        <x:v>판독불가</x:v>
      </x:c>
      <x:c r="L58" s="37" t="str">
        <x:v>판독불가</x:v>
      </x:c>
      <x:c r="M58" s="37" t="str">
        <x:v>지오메트리불일치</x:v>
      </x:c>
      <x:c r="N58" s="37" t="str">
        <x:v>unknown</x:v>
      </x:c>
      <x:c r="O58" s="37" t="str">
        <x:v>접근부 추정점과 영상의 실제 횡단 착지부가 정합하지 않음</x:v>
      </x:c>
      <x:c r="P58" s="37" t="str"/>
      <x:c r="Q58" s="37" t="str"/>
      <x:c r="R58" s="37" t="str"/>
      <x:c r="S58" s="37" t="str"/>
      <x:c r="T58" s="37" t="str"/>
      <x:c r="U58" s="37" t="str"/>
      <x:c r="V58" s="37" t="str"/>
      <x:c r="W58" s="37" t="str">
        <x:v>판독불가</x:v>
      </x:c>
      <x:c r="X58" s="37" t="str">
        <x:v>판독불가</x:v>
      </x:c>
      <x:c r="Y58" s="37" t="str">
        <x:v>지오메트리불일치</x:v>
      </x:c>
      <x:c r="Z58" s="205" t="str">
        <x:v>unknown</x:v>
      </x:c>
      <x:c r="AA58" s="37" t="str">
        <x:v>접근부 추정점과 영상의 실제 횡단 착지부가 정합하지 않음</x:v>
      </x:c>
      <x:c r="AB58" s="37" t="str">
        <x:v>geometry_mismatch_candidate</x:v>
      </x:c>
      <x:c r="AC58" s="203" t="n">
        <x:v>0.58</x:v>
      </x:c>
      <x:c r="AD58" s="37" t="str">
        <x:v>Y</x:v>
      </x:c>
      <x:c r="AE58" s="44" t="str"/>
      <x:c r="AF58" s="37" t="str">
        <x:v>미반영(사람 승인 전)</x:v>
      </x:c>
      <x:c r="AG58" s="109" t="str">
        <x:v>위치 불일치·판독보류</x:v>
      </x:c>
      <x:c r="AH58" s="109" t="str">
        <x:v>위치 불일치·판독보류</x:v>
      </x:c>
      <x:c r="AI58" s="109" t="str">
        <x:v>N</x:v>
      </x:c>
      <x:c r="AJ58" s="109" t="str">
        <x:v>위치보정 필요</x:v>
      </x:c>
      <x:c r="AK58" s="109" t="str">
        <x:v>위치보정 전 사용 금지</x:v>
      </x:c>
      <x:c r="AL58" s="109" t="str">
        <x:v>추정 접근부와 실제 착지부 정합성 재설정 필요</x:v>
      </x:c>
    </x:row>
    <x:row r="59" ht="34" customHeight="1">
      <x:c r="A59" s="37" t="str">
        <x:v>CW27-A</x:v>
      </x:c>
      <x:c r="B59" s="37" t="str">
        <x:v>CW27</x:v>
      </x:c>
      <x:c r="C59" s="37" t="str">
        <x:v>A</x:v>
      </x:c>
      <x:c r="D59" s="37" t="str">
        <x:v>Y</x:v>
      </x:c>
      <x:c r="E59" s="37" t="str">
        <x:v>2025-11-17 11:57:25</x:v>
      </x:c>
      <x:c r="F59" s="42" t="n">
        <x:v>8.9</x:v>
      </x:c>
      <x:c r="G59" s="37" t="str">
        <x:v>https://map.kakao.com/link/roadview/37.3904568,126.9250558</x:v>
      </x:c>
      <x:c r="H59" s="37" t="str">
        <x:v>https://map.kakao.com/?panoid=1202969663&amp;pan=328.0&amp;zoom=0&amp;map_type=TYPE_MAP&amp;map_attribute=ROADVIEW&amp;urlX=483430.0&amp;urlY=1080878.0</x:v>
      </x:c>
      <x:c r="I59" s="37" t="str">
        <x:v>Codex_AI_precheck_1</x:v>
      </x:c>
      <x:c r="J59" s="37" t="str">
        <x:v>2026-09-15</x:v>
      </x:c>
      <x:c r="K59" s="37" t="str">
        <x:v>있음</x:v>
      </x:c>
      <x:c r="L59" s="37" t="str">
        <x:v>있음</x:v>
      </x:c>
      <x:c r="M59" s="37" t="str">
        <x:v>없음</x:v>
      </x:c>
      <x:c r="N59" s="37" t="str">
        <x:v>pass</x:v>
      </x:c>
      <x:c r="O59" s="37" t="str">
        <x:v>경사로와 점자블록이 보이고 통행공간이 열려 있음</x:v>
      </x:c>
      <x:c r="P59" s="37" t="str">
        <x:v>Codex_AI_precheck_2</x:v>
      </x:c>
      <x:c r="Q59" s="37" t="str">
        <x:v>2026-09-15</x:v>
      </x:c>
      <x:c r="R59" s="37" t="str">
        <x:v>있음</x:v>
      </x:c>
      <x:c r="S59" s="37" t="str">
        <x:v>있음</x:v>
      </x:c>
      <x:c r="T59" s="37" t="str">
        <x:v>없음</x:v>
      </x:c>
      <x:c r="U59" s="37" t="str">
        <x:v>pass</x:v>
      </x:c>
      <x:c r="V59" s="37" t="str">
        <x:v>역순·착지부 중심 재판독에서 경사로와 점자블록을 확인</x:v>
      </x:c>
      <x:c r="W59" s="37" t="str">
        <x:v>있음</x:v>
      </x:c>
      <x:c r="X59" s="37" t="str">
        <x:v>있음</x:v>
      </x:c>
      <x:c r="Y59" s="37" t="str">
        <x:v>없음</x:v>
      </x:c>
      <x:c r="Z59" s="205" t="str">
        <x:v>pass</x:v>
      </x:c>
      <x:c r="AA59" s="37" t="str">
        <x:v>경사로와 점자블록이 보이고 통행공간이 열려 있음</x:v>
      </x:c>
      <x:c r="AB59" s="37" t="str">
        <x:v>likely_accessible_candidate</x:v>
      </x:c>
      <x:c r="AC59" s="203" t="n">
        <x:v>0.82</x:v>
      </x:c>
      <x:c r="AD59" s="37" t="str">
        <x:v>Y</x:v>
      </x:c>
      <x:c r="AE59" s="44" t="str"/>
      <x:c r="AF59" s="37" t="str">
        <x:v>미반영(사람 승인 전)</x:v>
      </x:c>
      <x:c r="AG59" s="109" t="str">
        <x:v>통과 가능 후보</x:v>
      </x:c>
      <x:c r="AH59" s="109" t="str">
        <x:v>안내시설 양호 후보</x:v>
      </x:c>
      <x:c r="AI59" s="109" t="str">
        <x:v>N</x:v>
      </x:c>
      <x:c r="AJ59" s="109" t="str">
        <x:v>정적 후보</x:v>
      </x:c>
      <x:c r="AK59" s="109" t="str">
        <x:v>사람검수 전 후보</x:v>
      </x:c>
      <x:c r="AL59" s="109" t="str">
        <x:v>영상 관찰 후보이며 verified pass가 아님</x:v>
      </x:c>
    </x:row>
    <x:row r="60" ht="34" customHeight="1">
      <x:c r="A60" s="37" t="str">
        <x:v>CW27-B</x:v>
      </x:c>
      <x:c r="B60" s="37" t="str">
        <x:v>CW27</x:v>
      </x:c>
      <x:c r="C60" s="37" t="str">
        <x:v>B</x:v>
      </x:c>
      <x:c r="D60" s="37" t="str">
        <x:v>Y</x:v>
      </x:c>
      <x:c r="E60" s="37" t="str">
        <x:v>2025-11-17 11:57:25</x:v>
      </x:c>
      <x:c r="F60" s="42" t="n">
        <x:v>6.16</x:v>
      </x:c>
      <x:c r="G60" s="37" t="str">
        <x:v>https://map.kakao.com/link/roadview/37.3905261,126.9251850</x:v>
      </x:c>
      <x:c r="H60" s="37" t="str">
        <x:v>https://map.kakao.com/?panoid=1202969663&amp;pan=328.0&amp;zoom=0&amp;map_type=TYPE_MAP&amp;map_attribute=ROADVIEW&amp;urlX=483430.0&amp;urlY=1080878.0</x:v>
      </x:c>
      <x:c r="I60" s="37" t="str">
        <x:v>Codex_AI_precheck_1</x:v>
      </x:c>
      <x:c r="J60" s="37" t="str">
        <x:v>2026-09-15</x:v>
      </x:c>
      <x:c r="K60" s="37" t="str">
        <x:v>판독불가</x:v>
      </x:c>
      <x:c r="L60" s="37" t="str">
        <x:v>판독불가</x:v>
      </x:c>
      <x:c r="M60" s="37" t="str">
        <x:v>차량/적치물가림</x:v>
      </x:c>
      <x:c r="N60" s="37" t="str">
        <x:v>unknown</x:v>
      </x:c>
      <x:c r="O60" s="37" t="str">
        <x:v>차량·적치물 또는 공사물로 핵심 시설이 가려짐</x:v>
      </x:c>
      <x:c r="P60" s="37" t="str">
        <x:v>Codex_AI_precheck_2</x:v>
      </x:c>
      <x:c r="Q60" s="37" t="str">
        <x:v>2026-09-15</x:v>
      </x:c>
      <x:c r="R60" s="37" t="str">
        <x:v>판독불가</x:v>
      </x:c>
      <x:c r="S60" s="37" t="str">
        <x:v>판독불가</x:v>
      </x:c>
      <x:c r="T60" s="37" t="str">
        <x:v>차량/적치물가림</x:v>
      </x:c>
      <x:c r="U60" s="37" t="str">
        <x:v>unknown</x:v>
      </x:c>
      <x:c r="V60" s="37" t="str">
        <x:v>차량·적치물 또는 공사물로 핵심 시설이 가려짐</x:v>
      </x:c>
      <x:c r="W60" s="37" t="str">
        <x:v>판독불가</x:v>
      </x:c>
      <x:c r="X60" s="37" t="str">
        <x:v>판독불가</x:v>
      </x:c>
      <x:c r="Y60" s="37" t="str">
        <x:v>차량/적치물가림</x:v>
      </x:c>
      <x:c r="Z60" s="205" t="str">
        <x:v>unknown</x:v>
      </x:c>
      <x:c r="AA60" s="37" t="str">
        <x:v>차량·적치물 또는 공사물로 핵심 시설이 가려짐</x:v>
      </x:c>
      <x:c r="AB60" s="37" t="str">
        <x:v>occlusion_review_needed</x:v>
      </x:c>
      <x:c r="AC60" s="203" t="n">
        <x:v>0.52</x:v>
      </x:c>
      <x:c r="AD60" s="37" t="str">
        <x:v>Y</x:v>
      </x:c>
      <x:c r="AE60" s="44" t="str"/>
      <x:c r="AF60" s="37" t="str">
        <x:v>미반영(사람 승인 전)</x:v>
      </x:c>
      <x:c r="AG60" s="109" t="str">
        <x:v>가림·판독보류</x:v>
      </x:c>
      <x:c r="AH60" s="109" t="str">
        <x:v>가림·판독보류</x:v>
      </x:c>
      <x:c r="AI60" s="109" t="str">
        <x:v>N</x:v>
      </x:c>
      <x:c r="AJ60" s="109" t="str">
        <x:v>재관측 필요</x:v>
      </x:c>
      <x:c r="AK60" s="109" t="str">
        <x:v>사람검수 전 후보</x:v>
      </x:c>
      <x:c r="AL60" s="109" t="str">
        <x:v>가림 상태는 접근성 결론이 아님</x:v>
      </x:c>
    </x:row>
    <x:row r="61" ht="34" customHeight="1">
      <x:c r="A61" s="37" t="str">
        <x:v>CW28-A</x:v>
      </x:c>
      <x:c r="B61" s="37" t="str">
        <x:v>CW28</x:v>
      </x:c>
      <x:c r="C61" s="37" t="str">
        <x:v>A</x:v>
      </x:c>
      <x:c r="D61" s="37" t="str">
        <x:v>N</x:v>
      </x:c>
      <x:c r="E61" s="37" t="str">
        <x:v>2025-11-17 13:29:46</x:v>
      </x:c>
      <x:c r="F61" s="42" t="n">
        <x:v>3.89</x:v>
      </x:c>
      <x:c r="G61" s="37" t="str">
        <x:v>https://map.kakao.com/link/roadview/37.3904031,126.9253464</x:v>
      </x:c>
      <x:c r="H61" s="37" t="str">
        <x:v>https://map.kakao.com/?panoid=1202970288&amp;pan=58.4&amp;zoom=0&amp;map_type=TYPE_MAP&amp;map_attribute=ROADVIEW&amp;urlX=483475.0&amp;urlY=1080867.0</x:v>
      </x:c>
      <x:c r="I61" s="37" t="str">
        <x:v>Codex_AI_precheck_1</x:v>
      </x:c>
      <x:c r="J61" s="37" t="str">
        <x:v>2026-09-15</x:v>
      </x:c>
      <x:c r="K61" s="37" t="str">
        <x:v>판독불가</x:v>
      </x:c>
      <x:c r="L61" s="37" t="str">
        <x:v>판독불가</x:v>
      </x:c>
      <x:c r="M61" s="37" t="str">
        <x:v>시야불충분</x:v>
      </x:c>
      <x:c r="N61" s="37" t="str">
        <x:v>unknown</x:v>
      </x:c>
      <x:c r="O61" s="37" t="str">
        <x:v>착지부가 카메라 직하부·화면 밖에 있어 핵심 시설을 확인할 수 없음</x:v>
      </x:c>
      <x:c r="P61" s="37" t="str"/>
      <x:c r="Q61" s="37" t="str"/>
      <x:c r="R61" s="37" t="str"/>
      <x:c r="S61" s="37" t="str"/>
      <x:c r="T61" s="37" t="str"/>
      <x:c r="U61" s="37" t="str"/>
      <x:c r="V61" s="37" t="str"/>
      <x:c r="W61" s="37" t="str">
        <x:v>판독불가</x:v>
      </x:c>
      <x:c r="X61" s="37" t="str">
        <x:v>판독불가</x:v>
      </x:c>
      <x:c r="Y61" s="37" t="str">
        <x:v>시야불충분</x:v>
      </x:c>
      <x:c r="Z61" s="205" t="str">
        <x:v>unknown</x:v>
      </x:c>
      <x:c r="AA61" s="37" t="str">
        <x:v>착지부가 카메라 직하부·화면 밖에 있어 핵심 시설을 확인할 수 없음</x:v>
      </x:c>
      <x:c r="AB61" s="37" t="str">
        <x:v>visibility_review_needed</x:v>
      </x:c>
      <x:c r="AC61" s="203" t="n">
        <x:v>0.52</x:v>
      </x:c>
      <x:c r="AD61" s="37" t="str">
        <x:v>Y</x:v>
      </x:c>
      <x:c r="AE61" s="44" t="str"/>
      <x:c r="AF61" s="37" t="str">
        <x:v>미반영(사람 승인 전)</x:v>
      </x:c>
      <x:c r="AG61" s="109" t="str">
        <x:v>시야 부족·판독보류</x:v>
      </x:c>
      <x:c r="AH61" s="109" t="str">
        <x:v>시야 부족·판독보류</x:v>
      </x:c>
      <x:c r="AI61" s="109" t="str">
        <x:v>N</x:v>
      </x:c>
      <x:c r="AJ61" s="109" t="str">
        <x:v>재관측 필요</x:v>
      </x:c>
      <x:c r="AK61" s="109" t="str">
        <x:v>사람검수 전 후보</x:v>
      </x:c>
      <x:c r="AL61" s="109" t="str">
        <x:v>식별 불가를 차단 또는 통과로 치환하지 않음</x:v>
      </x:c>
    </x:row>
    <x:row r="62" ht="34" customHeight="1">
      <x:c r="A62" s="37" t="str">
        <x:v>CW28-B</x:v>
      </x:c>
      <x:c r="B62" s="37" t="str">
        <x:v>CW28</x:v>
      </x:c>
      <x:c r="C62" s="37" t="str">
        <x:v>B</x:v>
      </x:c>
      <x:c r="D62" s="37" t="str">
        <x:v>N</x:v>
      </x:c>
      <x:c r="E62" s="37" t="str">
        <x:v>2025-11-17 11:57:25</x:v>
      </x:c>
      <x:c r="F62" s="42" t="n">
        <x:v>10.14</x:v>
      </x:c>
      <x:c r="G62" s="37" t="str">
        <x:v>https://map.kakao.com/link/roadview/37.3905063,126.9252620</x:v>
      </x:c>
      <x:c r="H62" s="37" t="str">
        <x:v>https://map.kakao.com/?panoid=1202969663&amp;pan=328.0&amp;zoom=0&amp;map_type=TYPE_MAP&amp;map_attribute=ROADVIEW&amp;urlX=483430.0&amp;urlY=1080878.0</x:v>
      </x:c>
      <x:c r="I62" s="37" t="str">
        <x:v>Codex_AI_precheck_1</x:v>
      </x:c>
      <x:c r="J62" s="37" t="str">
        <x:v>2026-09-15</x:v>
      </x:c>
      <x:c r="K62" s="37" t="str">
        <x:v>있음</x:v>
      </x:c>
      <x:c r="L62" s="37" t="str">
        <x:v>있음</x:v>
      </x:c>
      <x:c r="M62" s="37" t="str">
        <x:v>없음</x:v>
      </x:c>
      <x:c r="N62" s="37" t="str">
        <x:v>pass</x:v>
      </x:c>
      <x:c r="O62" s="37" t="str">
        <x:v>경사로와 점자블록이 보이고 통행공간이 열려 있음</x:v>
      </x:c>
      <x:c r="P62" s="37" t="str"/>
      <x:c r="Q62" s="37" t="str"/>
      <x:c r="R62" s="37" t="str"/>
      <x:c r="S62" s="37" t="str"/>
      <x:c r="T62" s="37" t="str"/>
      <x:c r="U62" s="37" t="str"/>
      <x:c r="V62" s="37" t="str"/>
      <x:c r="W62" s="37" t="str">
        <x:v>있음</x:v>
      </x:c>
      <x:c r="X62" s="37" t="str">
        <x:v>있음</x:v>
      </x:c>
      <x:c r="Y62" s="37" t="str">
        <x:v>없음</x:v>
      </x:c>
      <x:c r="Z62" s="205" t="str">
        <x:v>pass</x:v>
      </x:c>
      <x:c r="AA62" s="37" t="str">
        <x:v>경사로와 점자블록이 보이고 통행공간이 열려 있음</x:v>
      </x:c>
      <x:c r="AB62" s="37" t="str">
        <x:v>likely_accessible_candidate</x:v>
      </x:c>
      <x:c r="AC62" s="203" t="n">
        <x:v>0.82</x:v>
      </x:c>
      <x:c r="AD62" s="37" t="str">
        <x:v>Y</x:v>
      </x:c>
      <x:c r="AE62" s="44" t="str"/>
      <x:c r="AF62" s="37" t="str">
        <x:v>미반영(사람 승인 전)</x:v>
      </x:c>
      <x:c r="AG62" s="109" t="str">
        <x:v>통과 가능 후보</x:v>
      </x:c>
      <x:c r="AH62" s="109" t="str">
        <x:v>안내시설 양호 후보</x:v>
      </x:c>
      <x:c r="AI62" s="109" t="str">
        <x:v>N</x:v>
      </x:c>
      <x:c r="AJ62" s="109" t="str">
        <x:v>정적 후보</x:v>
      </x:c>
      <x:c r="AK62" s="109" t="str">
        <x:v>사람검수 전 후보</x:v>
      </x:c>
      <x:c r="AL62" s="109" t="str">
        <x:v>영상 관찰 후보이며 verified pass가 아님</x:v>
      </x:c>
    </x:row>
    <x:row r="63" ht="34" customHeight="1">
      <x:c r="A63" s="37" t="str">
        <x:v>CW29-A</x:v>
      </x:c>
      <x:c r="B63" s="37" t="str">
        <x:v>CW29</x:v>
      </x:c>
      <x:c r="C63" s="37" t="str">
        <x:v>A</x:v>
      </x:c>
      <x:c r="D63" s="37" t="str">
        <x:v>Y</x:v>
      </x:c>
      <x:c r="E63" s="37" t="str">
        <x:v>2025-11-17 13:29:43</x:v>
      </x:c>
      <x:c r="F63" s="42" t="n">
        <x:v>3.48</x:v>
      </x:c>
      <x:c r="G63" s="37" t="str">
        <x:v>https://map.kakao.com/link/roadview/37.3903101,126.9250887</x:v>
      </x:c>
      <x:c r="H63" s="37" t="str">
        <x:v>https://map.kakao.com/?panoid=1202970285&amp;pan=67.5&amp;zoom=0&amp;map_type=TYPE_MAP&amp;map_attribute=ROADVIEW&amp;urlX=483408.0&amp;urlY=1080836.0</x:v>
      </x:c>
      <x:c r="I63" s="37" t="str">
        <x:v>Codex_AI_precheck_1</x:v>
      </x:c>
      <x:c r="J63" s="37" t="str">
        <x:v>2026-09-15</x:v>
      </x:c>
      <x:c r="K63" s="37" t="str">
        <x:v>있음</x:v>
      </x:c>
      <x:c r="L63" s="37" t="str">
        <x:v>있음</x:v>
      </x:c>
      <x:c r="M63" s="37" t="str">
        <x:v>없음</x:v>
      </x:c>
      <x:c r="N63" s="37" t="str">
        <x:v>pass</x:v>
      </x:c>
      <x:c r="O63" s="37" t="str">
        <x:v>경사로와 점자블록이 보이고 통행공간이 열려 있음</x:v>
      </x:c>
      <x:c r="P63" s="37" t="str">
        <x:v>Codex_AI_precheck_2</x:v>
      </x:c>
      <x:c r="Q63" s="37" t="str">
        <x:v>2026-09-15</x:v>
      </x:c>
      <x:c r="R63" s="37" t="str">
        <x:v>있음</x:v>
      </x:c>
      <x:c r="S63" s="37" t="str">
        <x:v>있음</x:v>
      </x:c>
      <x:c r="T63" s="37" t="str">
        <x:v>없음</x:v>
      </x:c>
      <x:c r="U63" s="37" t="str">
        <x:v>pass</x:v>
      </x:c>
      <x:c r="V63" s="37" t="str">
        <x:v>역순·착지부 중심 재판독에서 경사로와 점자블록을 확인</x:v>
      </x:c>
      <x:c r="W63" s="37" t="str">
        <x:v>있음</x:v>
      </x:c>
      <x:c r="X63" s="37" t="str">
        <x:v>있음</x:v>
      </x:c>
      <x:c r="Y63" s="37" t="str">
        <x:v>없음</x:v>
      </x:c>
      <x:c r="Z63" s="205" t="str">
        <x:v>pass</x:v>
      </x:c>
      <x:c r="AA63" s="37" t="str">
        <x:v>경사로와 점자블록이 보이고 통행공간이 열려 있음</x:v>
      </x:c>
      <x:c r="AB63" s="37" t="str">
        <x:v>likely_accessible_candidate</x:v>
      </x:c>
      <x:c r="AC63" s="203" t="n">
        <x:v>0.82</x:v>
      </x:c>
      <x:c r="AD63" s="37" t="str">
        <x:v>Y</x:v>
      </x:c>
      <x:c r="AE63" s="44" t="str"/>
      <x:c r="AF63" s="37" t="str">
        <x:v>미반영(사람 승인 전)</x:v>
      </x:c>
      <x:c r="AG63" s="109" t="str">
        <x:v>통과 가능 후보</x:v>
      </x:c>
      <x:c r="AH63" s="109" t="str">
        <x:v>안내시설 양호 후보</x:v>
      </x:c>
      <x:c r="AI63" s="109" t="str">
        <x:v>N</x:v>
      </x:c>
      <x:c r="AJ63" s="109" t="str">
        <x:v>정적 후보</x:v>
      </x:c>
      <x:c r="AK63" s="109" t="str">
        <x:v>사람검수 전 후보</x:v>
      </x:c>
      <x:c r="AL63" s="109" t="str">
        <x:v>영상 관찰 후보이며 verified pass가 아님</x:v>
      </x:c>
    </x:row>
    <x:row r="64" ht="34" customHeight="1">
      <x:c r="A64" s="37" t="str">
        <x:v>CW29-B</x:v>
      </x:c>
      <x:c r="B64" s="37" t="str">
        <x:v>CW29</x:v>
      </x:c>
      <x:c r="C64" s="37" t="str">
        <x:v>B</x:v>
      </x:c>
      <x:c r="D64" s="37" t="str">
        <x:v>Y</x:v>
      </x:c>
      <x:c r="E64" s="37" t="str">
        <x:v>2025-11-17 13:29:43</x:v>
      </x:c>
      <x:c r="F64" s="42" t="n">
        <x:v>8.73</x:v>
      </x:c>
      <x:c r="G64" s="37" t="str">
        <x:v>https://map.kakao.com/link/roadview/37.3904032,126.9250423</x:v>
      </x:c>
      <x:c r="H64" s="37" t="str">
        <x:v>https://map.kakao.com/?panoid=1202970285&amp;pan=67.5&amp;zoom=0&amp;map_type=TYPE_MAP&amp;map_attribute=ROADVIEW&amp;urlX=483408.0&amp;urlY=1080836.0</x:v>
      </x:c>
      <x:c r="I64" s="37" t="str">
        <x:v>Codex_AI_precheck_1</x:v>
      </x:c>
      <x:c r="J64" s="37" t="str">
        <x:v>2026-09-15</x:v>
      </x:c>
      <x:c r="K64" s="37" t="str">
        <x:v>있음</x:v>
      </x:c>
      <x:c r="L64" s="37" t="str">
        <x:v>있음</x:v>
      </x:c>
      <x:c r="M64" s="37" t="str">
        <x:v>없음</x:v>
      </x:c>
      <x:c r="N64" s="37" t="str">
        <x:v>pass</x:v>
      </x:c>
      <x:c r="O64" s="37" t="str">
        <x:v>경사로와 점자블록이 보이고 통행공간이 열려 있음</x:v>
      </x:c>
      <x:c r="P64" s="37" t="str">
        <x:v>Codex_AI_precheck_2</x:v>
      </x:c>
      <x:c r="Q64" s="37" t="str">
        <x:v>2026-09-15</x:v>
      </x:c>
      <x:c r="R64" s="37" t="str">
        <x:v>있음</x:v>
      </x:c>
      <x:c r="S64" s="37" t="str">
        <x:v>있음</x:v>
      </x:c>
      <x:c r="T64" s="37" t="str">
        <x:v>없음</x:v>
      </x:c>
      <x:c r="U64" s="37" t="str">
        <x:v>pass</x:v>
      </x:c>
      <x:c r="V64" s="37" t="str">
        <x:v>역순·착지부 중심 재판독에서 경사로와 점자블록을 확인</x:v>
      </x:c>
      <x:c r="W64" s="37" t="str">
        <x:v>있음</x:v>
      </x:c>
      <x:c r="X64" s="37" t="str">
        <x:v>있음</x:v>
      </x:c>
      <x:c r="Y64" s="37" t="str">
        <x:v>없음</x:v>
      </x:c>
      <x:c r="Z64" s="205" t="str">
        <x:v>pass</x:v>
      </x:c>
      <x:c r="AA64" s="37" t="str">
        <x:v>경사로와 점자블록이 보이고 통행공간이 열려 있음</x:v>
      </x:c>
      <x:c r="AB64" s="37" t="str">
        <x:v>likely_accessible_candidate</x:v>
      </x:c>
      <x:c r="AC64" s="203" t="n">
        <x:v>0.82</x:v>
      </x:c>
      <x:c r="AD64" s="37" t="str">
        <x:v>Y</x:v>
      </x:c>
      <x:c r="AE64" s="44" t="str"/>
      <x:c r="AF64" s="37" t="str">
        <x:v>미반영(사람 승인 전)</x:v>
      </x:c>
      <x:c r="AG64" s="109" t="str">
        <x:v>통과 가능 후보</x:v>
      </x:c>
      <x:c r="AH64" s="109" t="str">
        <x:v>안내시설 양호 후보</x:v>
      </x:c>
      <x:c r="AI64" s="109" t="str">
        <x:v>N</x:v>
      </x:c>
      <x:c r="AJ64" s="109" t="str">
        <x:v>정적 후보</x:v>
      </x:c>
      <x:c r="AK64" s="109" t="str">
        <x:v>사람검수 전 후보</x:v>
      </x:c>
      <x:c r="AL64" s="109" t="str">
        <x:v>영상 관찰 후보이며 verified pass가 아님</x:v>
      </x:c>
    </x:row>
    <x:row r="65" ht="34" customHeight="1">
      <x:c r="A65" s="37" t="str">
        <x:v>CW30-A</x:v>
      </x:c>
      <x:c r="B65" s="37" t="str">
        <x:v>CW30</x:v>
      </x:c>
      <x:c r="C65" s="37" t="str">
        <x:v>A</x:v>
      </x:c>
      <x:c r="D65" s="37" t="str">
        <x:v>N</x:v>
      </x:c>
      <x:c r="E65" s="37" t="str">
        <x:v>2025-11-17 13:29:32</x:v>
      </x:c>
      <x:c r="F65" s="42" t="n">
        <x:v>4.88</x:v>
      </x:c>
      <x:c r="G65" s="37" t="str">
        <x:v>https://map.kakao.com/link/roadview/37.3901262,126.9240946</x:v>
      </x:c>
      <x:c r="H65" s="37" t="str">
        <x:v>https://map.kakao.com/?panoid=1202970276&amp;pan=110.3&amp;zoom=0&amp;map_type=TYPE_MAP&amp;map_attribute=ROADVIEW&amp;urlX=483198.0&amp;urlY=1080769.0</x:v>
      </x:c>
      <x:c r="I65" s="37" t="str">
        <x:v>Codex_AI_precheck_1</x:v>
      </x:c>
      <x:c r="J65" s="37" t="str">
        <x:v>2026-09-15</x:v>
      </x:c>
      <x:c r="K65" s="37" t="str">
        <x:v>판독불가</x:v>
      </x:c>
      <x:c r="L65" s="37" t="str">
        <x:v>판독불가</x:v>
      </x:c>
      <x:c r="M65" s="37" t="str">
        <x:v>시야불충분</x:v>
      </x:c>
      <x:c r="N65" s="37" t="str">
        <x:v>unknown</x:v>
      </x:c>
      <x:c r="O65" s="37" t="str">
        <x:v>착지부가 카메라 직하부·화면 밖에 있어 핵심 시설을 확인할 수 없음</x:v>
      </x:c>
      <x:c r="P65" s="37" t="str"/>
      <x:c r="Q65" s="37" t="str"/>
      <x:c r="R65" s="37" t="str"/>
      <x:c r="S65" s="37" t="str"/>
      <x:c r="T65" s="37" t="str"/>
      <x:c r="U65" s="37" t="str"/>
      <x:c r="V65" s="37" t="str"/>
      <x:c r="W65" s="37" t="str">
        <x:v>판독불가</x:v>
      </x:c>
      <x:c r="X65" s="37" t="str">
        <x:v>판독불가</x:v>
      </x:c>
      <x:c r="Y65" s="37" t="str">
        <x:v>시야불충분</x:v>
      </x:c>
      <x:c r="Z65" s="205" t="str">
        <x:v>unknown</x:v>
      </x:c>
      <x:c r="AA65" s="37" t="str">
        <x:v>착지부가 카메라 직하부·화면 밖에 있어 핵심 시설을 확인할 수 없음</x:v>
      </x:c>
      <x:c r="AB65" s="37" t="str">
        <x:v>visibility_review_needed</x:v>
      </x:c>
      <x:c r="AC65" s="203" t="n">
        <x:v>0.52</x:v>
      </x:c>
      <x:c r="AD65" s="37" t="str">
        <x:v>Y</x:v>
      </x:c>
      <x:c r="AE65" s="44" t="str"/>
      <x:c r="AF65" s="37" t="str">
        <x:v>미반영(사람 승인 전)</x:v>
      </x:c>
      <x:c r="AG65" s="109" t="str">
        <x:v>시야 부족·판독보류</x:v>
      </x:c>
      <x:c r="AH65" s="109" t="str">
        <x:v>시야 부족·판독보류</x:v>
      </x:c>
      <x:c r="AI65" s="109" t="str">
        <x:v>N</x:v>
      </x:c>
      <x:c r="AJ65" s="109" t="str">
        <x:v>재관측 필요</x:v>
      </x:c>
      <x:c r="AK65" s="109" t="str">
        <x:v>사람검수 전 후보</x:v>
      </x:c>
      <x:c r="AL65" s="109" t="str">
        <x:v>식별 불가를 차단 또는 통과로 치환하지 않음</x:v>
      </x:c>
    </x:row>
    <x:row r="66" ht="34" customHeight="1">
      <x:c r="A66" s="37" t="str">
        <x:v>CW30-B</x:v>
      </x:c>
      <x:c r="B66" s="37" t="str">
        <x:v>CW30</x:v>
      </x:c>
      <x:c r="C66" s="37" t="str">
        <x:v>B</x:v>
      </x:c>
      <x:c r="D66" s="37" t="str">
        <x:v>N</x:v>
      </x:c>
      <x:c r="E66" s="37" t="str">
        <x:v>2025-11-17 13:29:32</x:v>
      </x:c>
      <x:c r="F66" s="42" t="n">
        <x:v>13.66</x:v>
      </x:c>
      <x:c r="G66" s="37" t="str">
        <x:v>https://map.kakao.com/link/roadview/37.3902047,126.9241286</x:v>
      </x:c>
      <x:c r="H66" s="37" t="str">
        <x:v>https://map.kakao.com/?panoid=1202970276&amp;pan=110.3&amp;zoom=0&amp;map_type=TYPE_MAP&amp;map_attribute=ROADVIEW&amp;urlX=483198.0&amp;urlY=1080769.0</x:v>
      </x:c>
      <x:c r="I66" s="37" t="str">
        <x:v>Codex_AI_precheck_1</x:v>
      </x:c>
      <x:c r="J66" s="37" t="str">
        <x:v>2026-09-15</x:v>
      </x:c>
      <x:c r="K66" s="37" t="str">
        <x:v>있음</x:v>
      </x:c>
      <x:c r="L66" s="37" t="str">
        <x:v>있음</x:v>
      </x:c>
      <x:c r="M66" s="37" t="str">
        <x:v>없음</x:v>
      </x:c>
      <x:c r="N66" s="37" t="str">
        <x:v>pass</x:v>
      </x:c>
      <x:c r="O66" s="37" t="str">
        <x:v>경사로와 점자블록이 보이고 통행공간이 열려 있음</x:v>
      </x:c>
      <x:c r="P66" s="37" t="str"/>
      <x:c r="Q66" s="37" t="str"/>
      <x:c r="R66" s="37" t="str"/>
      <x:c r="S66" s="37" t="str"/>
      <x:c r="T66" s="37" t="str"/>
      <x:c r="U66" s="37" t="str"/>
      <x:c r="V66" s="37" t="str"/>
      <x:c r="W66" s="37" t="str">
        <x:v>있음</x:v>
      </x:c>
      <x:c r="X66" s="37" t="str">
        <x:v>있음</x:v>
      </x:c>
      <x:c r="Y66" s="37" t="str">
        <x:v>없음</x:v>
      </x:c>
      <x:c r="Z66" s="205" t="str">
        <x:v>pass</x:v>
      </x:c>
      <x:c r="AA66" s="37" t="str">
        <x:v>경사로와 점자블록이 보이고 통행공간이 열려 있음</x:v>
      </x:c>
      <x:c r="AB66" s="37" t="str">
        <x:v>likely_accessible_candidate</x:v>
      </x:c>
      <x:c r="AC66" s="203" t="n">
        <x:v>0.82</x:v>
      </x:c>
      <x:c r="AD66" s="37" t="str">
        <x:v>Y</x:v>
      </x:c>
      <x:c r="AE66" s="44" t="str"/>
      <x:c r="AF66" s="37" t="str">
        <x:v>미반영(사람 승인 전)</x:v>
      </x:c>
      <x:c r="AG66" s="109" t="str">
        <x:v>통과 가능 후보</x:v>
      </x:c>
      <x:c r="AH66" s="109" t="str">
        <x:v>안내시설 양호 후보</x:v>
      </x:c>
      <x:c r="AI66" s="109" t="str">
        <x:v>N</x:v>
      </x:c>
      <x:c r="AJ66" s="109" t="str">
        <x:v>정적 후보</x:v>
      </x:c>
      <x:c r="AK66" s="109" t="str">
        <x:v>사람검수 전 후보</x:v>
      </x:c>
      <x:c r="AL66" s="109" t="str">
        <x:v>영상 관찰 후보이며 verified pass가 아님</x:v>
      </x:c>
    </x:row>
    <x:row r="67" ht="34" customHeight="1">
      <x:c r="A67" s="37" t="str">
        <x:v>CW31-A</x:v>
      </x:c>
      <x:c r="B67" s="37" t="str">
        <x:v>CW31</x:v>
      </x:c>
      <x:c r="C67" s="37" t="str">
        <x:v>A</x:v>
      </x:c>
      <x:c r="D67" s="37" t="str">
        <x:v>N</x:v>
      </x:c>
      <x:c r="E67" s="37" t="str">
        <x:v>2025-11-17 11:57:23</x:v>
      </x:c>
      <x:c r="F67" s="42" t="n">
        <x:v>5.35</x:v>
      </x:c>
      <x:c r="G67" s="37" t="str">
        <x:v>https://map.kakao.com/link/roadview/37.3903237,126.9252060</x:v>
      </x:c>
      <x:c r="H67" s="37" t="str">
        <x:v>https://map.kakao.com/?panoid=1202969661&amp;pan=334.4&amp;zoom=0&amp;map_type=TYPE_MAP&amp;map_attribute=ROADVIEW&amp;urlX=483455.0&amp;urlY=1080835.0</x:v>
      </x:c>
      <x:c r="I67" s="37" t="str">
        <x:v>Codex_AI_precheck_1</x:v>
      </x:c>
      <x:c r="J67" s="37" t="str">
        <x:v>2026-09-15</x:v>
      </x:c>
      <x:c r="K67" s="37" t="str">
        <x:v>판독불가</x:v>
      </x:c>
      <x:c r="L67" s="37" t="str">
        <x:v>판독불가</x:v>
      </x:c>
      <x:c r="M67" s="37" t="str">
        <x:v>시야불충분</x:v>
      </x:c>
      <x:c r="N67" s="37" t="str">
        <x:v>unknown</x:v>
      </x:c>
      <x:c r="O67" s="37" t="str">
        <x:v>착지부가 카메라 직하부·화면 밖에 있어 핵심 시설을 확인할 수 없음</x:v>
      </x:c>
      <x:c r="P67" s="37" t="str"/>
      <x:c r="Q67" s="37" t="str"/>
      <x:c r="R67" s="37" t="str"/>
      <x:c r="S67" s="37" t="str"/>
      <x:c r="T67" s="37" t="str"/>
      <x:c r="U67" s="37" t="str"/>
      <x:c r="V67" s="37" t="str"/>
      <x:c r="W67" s="37" t="str">
        <x:v>판독불가</x:v>
      </x:c>
      <x:c r="X67" s="37" t="str">
        <x:v>판독불가</x:v>
      </x:c>
      <x:c r="Y67" s="37" t="str">
        <x:v>시야불충분</x:v>
      </x:c>
      <x:c r="Z67" s="205" t="str">
        <x:v>unknown</x:v>
      </x:c>
      <x:c r="AA67" s="37" t="str">
        <x:v>착지부가 카메라 직하부·화면 밖에 있어 핵심 시설을 확인할 수 없음</x:v>
      </x:c>
      <x:c r="AB67" s="37" t="str">
        <x:v>visibility_review_needed</x:v>
      </x:c>
      <x:c r="AC67" s="203" t="n">
        <x:v>0.52</x:v>
      </x:c>
      <x:c r="AD67" s="37" t="str">
        <x:v>Y</x:v>
      </x:c>
      <x:c r="AE67" s="44" t="str"/>
      <x:c r="AF67" s="37" t="str">
        <x:v>미반영(사람 승인 전)</x:v>
      </x:c>
      <x:c r="AG67" s="109" t="str">
        <x:v>시야 부족·판독보류</x:v>
      </x:c>
      <x:c r="AH67" s="109" t="str">
        <x:v>시야 부족·판독보류</x:v>
      </x:c>
      <x:c r="AI67" s="109" t="str">
        <x:v>N</x:v>
      </x:c>
      <x:c r="AJ67" s="109" t="str">
        <x:v>재관측 필요</x:v>
      </x:c>
      <x:c r="AK67" s="109" t="str">
        <x:v>사람검수 전 후보</x:v>
      </x:c>
      <x:c r="AL67" s="109" t="str">
        <x:v>식별 불가를 차단 또는 통과로 치환하지 않음</x:v>
      </x:c>
    </x:row>
    <x:row r="68" ht="34" customHeight="1">
      <x:c r="A68" s="37" t="str">
        <x:v>CW31-B</x:v>
      </x:c>
      <x:c r="B68" s="37" t="str">
        <x:v>CW31</x:v>
      </x:c>
      <x:c r="C68" s="37" t="str">
        <x:v>B</x:v>
      </x:c>
      <x:c r="D68" s="37" t="str">
        <x:v>N</x:v>
      </x:c>
      <x:c r="E68" s="37" t="str">
        <x:v>2025-11-17 13:29:46</x:v>
      </x:c>
      <x:c r="F68" s="42" t="n">
        <x:v>8.1</x:v>
      </x:c>
      <x:c r="G68" s="37" t="str">
        <x:v>https://map.kakao.com/link/roadview/37.3903649,126.9253450</x:v>
      </x:c>
      <x:c r="H68" s="37" t="str">
        <x:v>https://map.kakao.com/?panoid=1202970288&amp;pan=58.4&amp;zoom=0&amp;map_type=TYPE_MAP&amp;map_attribute=ROADVIEW&amp;urlX=483475.0&amp;urlY=1080867.0</x:v>
      </x:c>
      <x:c r="I68" s="37" t="str">
        <x:v>Codex_AI_precheck_1</x:v>
      </x:c>
      <x:c r="J68" s="37" t="str">
        <x:v>2026-09-15</x:v>
      </x:c>
      <x:c r="K68" s="37" t="str">
        <x:v>있음</x:v>
      </x:c>
      <x:c r="L68" s="37" t="str">
        <x:v>있음</x:v>
      </x:c>
      <x:c r="M68" s="37" t="str">
        <x:v>없음</x:v>
      </x:c>
      <x:c r="N68" s="37" t="str">
        <x:v>pass</x:v>
      </x:c>
      <x:c r="O68" s="37" t="str">
        <x:v>경사로와 점자블록이 보이고 통행공간이 열려 있음</x:v>
      </x:c>
      <x:c r="P68" s="37" t="str"/>
      <x:c r="Q68" s="37" t="str"/>
      <x:c r="R68" s="37" t="str"/>
      <x:c r="S68" s="37" t="str"/>
      <x:c r="T68" s="37" t="str"/>
      <x:c r="U68" s="37" t="str"/>
      <x:c r="V68" s="37" t="str"/>
      <x:c r="W68" s="37" t="str">
        <x:v>있음</x:v>
      </x:c>
      <x:c r="X68" s="37" t="str">
        <x:v>있음</x:v>
      </x:c>
      <x:c r="Y68" s="37" t="str">
        <x:v>없음</x:v>
      </x:c>
      <x:c r="Z68" s="205" t="str">
        <x:v>pass</x:v>
      </x:c>
      <x:c r="AA68" s="37" t="str">
        <x:v>경사로와 점자블록이 보이고 통행공간이 열려 있음</x:v>
      </x:c>
      <x:c r="AB68" s="37" t="str">
        <x:v>likely_accessible_candidate</x:v>
      </x:c>
      <x:c r="AC68" s="203" t="n">
        <x:v>0.82</x:v>
      </x:c>
      <x:c r="AD68" s="37" t="str">
        <x:v>Y</x:v>
      </x:c>
      <x:c r="AE68" s="44" t="str"/>
      <x:c r="AF68" s="37" t="str">
        <x:v>미반영(사람 승인 전)</x:v>
      </x:c>
      <x:c r="AG68" s="109" t="str">
        <x:v>통과 가능 후보</x:v>
      </x:c>
      <x:c r="AH68" s="109" t="str">
        <x:v>안내시설 양호 후보</x:v>
      </x:c>
      <x:c r="AI68" s="109" t="str">
        <x:v>N</x:v>
      </x:c>
      <x:c r="AJ68" s="109" t="str">
        <x:v>정적 후보</x:v>
      </x:c>
      <x:c r="AK68" s="109" t="str">
        <x:v>사람검수 전 후보</x:v>
      </x:c>
      <x:c r="AL68" s="109" t="str">
        <x:v>영상 관찰 후보이며 verified pass가 아님</x:v>
      </x:c>
    </x:row>
    <x:row r="69" ht="34" customHeight="1">
      <x:c r="A69" s="37" t="str">
        <x:v>CW32-A</x:v>
      </x:c>
      <x:c r="B69" s="37" t="str">
        <x:v>CW32</x:v>
      </x:c>
      <x:c r="C69" s="37" t="str">
        <x:v>A</x:v>
      </x:c>
      <x:c r="D69" s="37" t="str">
        <x:v>Y</x:v>
      </x:c>
      <x:c r="E69" s="37" t="str">
        <x:v>2025-11-17 13:29:35</x:v>
      </x:c>
      <x:c r="F69" s="42" t="n">
        <x:v>4.79</x:v>
      </x:c>
      <x:c r="G69" s="37" t="str">
        <x:v>https://map.kakao.com/link/roadview/37.3900488,126.9242948</x:v>
      </x:c>
      <x:c r="H69" s="37" t="str">
        <x:v>https://map.kakao.com/?panoid=1202970278&amp;pan=71.5&amp;zoom=0&amp;map_type=TYPE_MAP&amp;map_attribute=ROADVIEW&amp;urlX=483247.0&amp;urlY=1080769.0</x:v>
      </x:c>
      <x:c r="I69" s="37" t="str">
        <x:v>Codex_AI_precheck_1</x:v>
      </x:c>
      <x:c r="J69" s="37" t="str">
        <x:v>2026-09-15</x:v>
      </x:c>
      <x:c r="K69" s="37" t="str">
        <x:v>판독불가</x:v>
      </x:c>
      <x:c r="L69" s="37" t="str">
        <x:v>판독불가</x:v>
      </x:c>
      <x:c r="M69" s="37" t="str">
        <x:v>시야불충분</x:v>
      </x:c>
      <x:c r="N69" s="37" t="str">
        <x:v>unknown</x:v>
      </x:c>
      <x:c r="O69" s="37" t="str">
        <x:v>착지부가 카메라 직하부·화면 밖에 있어 핵심 시설을 확인할 수 없음</x:v>
      </x:c>
      <x:c r="P69" s="37" t="str">
        <x:v>Codex_AI_precheck_2</x:v>
      </x:c>
      <x:c r="Q69" s="37" t="str">
        <x:v>2026-09-15</x:v>
      </x:c>
      <x:c r="R69" s="37" t="str">
        <x:v>판독불가</x:v>
      </x:c>
      <x:c r="S69" s="37" t="str">
        <x:v>판독불가</x:v>
      </x:c>
      <x:c r="T69" s="37" t="str">
        <x:v>시야불충분</x:v>
      </x:c>
      <x:c r="U69" s="37" t="str">
        <x:v>unknown</x:v>
      </x:c>
      <x:c r="V69" s="37" t="str">
        <x:v>착지부가 카메라 직하부·화면 밖에 있어 핵심 시설을 확인할 수 없음</x:v>
      </x:c>
      <x:c r="W69" s="37" t="str">
        <x:v>판독불가</x:v>
      </x:c>
      <x:c r="X69" s="37" t="str">
        <x:v>판독불가</x:v>
      </x:c>
      <x:c r="Y69" s="37" t="str">
        <x:v>시야불충분</x:v>
      </x:c>
      <x:c r="Z69" s="205" t="str">
        <x:v>unknown</x:v>
      </x:c>
      <x:c r="AA69" s="37" t="str">
        <x:v>착지부가 카메라 직하부·화면 밖에 있어 핵심 시설을 확인할 수 없음</x:v>
      </x:c>
      <x:c r="AB69" s="37" t="str">
        <x:v>visibility_review_needed</x:v>
      </x:c>
      <x:c r="AC69" s="203" t="n">
        <x:v>0.52</x:v>
      </x:c>
      <x:c r="AD69" s="37" t="str">
        <x:v>Y</x:v>
      </x:c>
      <x:c r="AE69" s="44" t="str"/>
      <x:c r="AF69" s="37" t="str">
        <x:v>미반영(사람 승인 전)</x:v>
      </x:c>
      <x:c r="AG69" s="109" t="str">
        <x:v>시야 부족·판독보류</x:v>
      </x:c>
      <x:c r="AH69" s="109" t="str">
        <x:v>시야 부족·판독보류</x:v>
      </x:c>
      <x:c r="AI69" s="109" t="str">
        <x:v>N</x:v>
      </x:c>
      <x:c r="AJ69" s="109" t="str">
        <x:v>재관측 필요</x:v>
      </x:c>
      <x:c r="AK69" s="109" t="str">
        <x:v>사람검수 전 후보</x:v>
      </x:c>
      <x:c r="AL69" s="109" t="str">
        <x:v>식별 불가를 차단 또는 통과로 치환하지 않음</x:v>
      </x:c>
    </x:row>
    <x:row r="70" ht="34" customHeight="1">
      <x:c r="A70" s="37" t="str">
        <x:v>CW32-B</x:v>
      </x:c>
      <x:c r="B70" s="37" t="str">
        <x:v>CW32</x:v>
      </x:c>
      <x:c r="C70" s="37" t="str">
        <x:v>B</x:v>
      </x:c>
      <x:c r="D70" s="37" t="str">
        <x:v>Y</x:v>
      </x:c>
      <x:c r="E70" s="37" t="str">
        <x:v>2025-11-17 13:29:34</x:v>
      </x:c>
      <x:c r="F70" s="42" t="n">
        <x:v>7.06</x:v>
      </x:c>
      <x:c r="G70" s="37" t="str">
        <x:v>https://map.kakao.com/link/roadview/37.3901217,126.9242586</x:v>
      </x:c>
      <x:c r="H70" s="37" t="str">
        <x:v>https://map.kakao.com/?panoid=1202970277&amp;pan=90.4&amp;zoom=0&amp;map_type=TYPE_MAP&amp;map_attribute=ROADVIEW&amp;urlX=483222.0&amp;urlY=1080765.0</x:v>
      </x:c>
      <x:c r="I70" s="37" t="str">
        <x:v>Codex_AI_precheck_1</x:v>
      </x:c>
      <x:c r="J70" s="37" t="str">
        <x:v>2026-09-15</x:v>
      </x:c>
      <x:c r="K70" s="37" t="str">
        <x:v>있음</x:v>
      </x:c>
      <x:c r="L70" s="37" t="str">
        <x:v>있음</x:v>
      </x:c>
      <x:c r="M70" s="37" t="str">
        <x:v>없음</x:v>
      </x:c>
      <x:c r="N70" s="37" t="str">
        <x:v>pass</x:v>
      </x:c>
      <x:c r="O70" s="37" t="str">
        <x:v>경사로와 점자블록이 보이고 통행공간이 열려 있음</x:v>
      </x:c>
      <x:c r="P70" s="37" t="str">
        <x:v>Codex_AI_precheck_2</x:v>
      </x:c>
      <x:c r="Q70" s="37" t="str">
        <x:v>2026-09-15</x:v>
      </x:c>
      <x:c r="R70" s="37" t="str">
        <x:v>있음</x:v>
      </x:c>
      <x:c r="S70" s="37" t="str">
        <x:v>있음</x:v>
      </x:c>
      <x:c r="T70" s="37" t="str">
        <x:v>없음</x:v>
      </x:c>
      <x:c r="U70" s="37" t="str">
        <x:v>pass</x:v>
      </x:c>
      <x:c r="V70" s="37" t="str">
        <x:v>역순·착지부 중심 재판독에서 경사로와 점자블록을 확인</x:v>
      </x:c>
      <x:c r="W70" s="37" t="str">
        <x:v>있음</x:v>
      </x:c>
      <x:c r="X70" s="37" t="str">
        <x:v>있음</x:v>
      </x:c>
      <x:c r="Y70" s="37" t="str">
        <x:v>없음</x:v>
      </x:c>
      <x:c r="Z70" s="205" t="str">
        <x:v>pass</x:v>
      </x:c>
      <x:c r="AA70" s="37" t="str">
        <x:v>경사로와 점자블록이 보이고 통행공간이 열려 있음</x:v>
      </x:c>
      <x:c r="AB70" s="37" t="str">
        <x:v>likely_accessible_candidate</x:v>
      </x:c>
      <x:c r="AC70" s="203" t="n">
        <x:v>0.82</x:v>
      </x:c>
      <x:c r="AD70" s="37" t="str">
        <x:v>Y</x:v>
      </x:c>
      <x:c r="AE70" s="44" t="str"/>
      <x:c r="AF70" s="37" t="str">
        <x:v>미반영(사람 승인 전)</x:v>
      </x:c>
      <x:c r="AG70" s="109" t="str">
        <x:v>통과 가능 후보</x:v>
      </x:c>
      <x:c r="AH70" s="109" t="str">
        <x:v>안내시설 양호 후보</x:v>
      </x:c>
      <x:c r="AI70" s="109" t="str">
        <x:v>N</x:v>
      </x:c>
      <x:c r="AJ70" s="109" t="str">
        <x:v>정적 후보</x:v>
      </x:c>
      <x:c r="AK70" s="109" t="str">
        <x:v>사람검수 전 후보</x:v>
      </x:c>
      <x:c r="AL70" s="109" t="str">
        <x:v>영상 관찰 후보이며 verified pass가 아님</x:v>
      </x:c>
    </x:row>
    <x:row r="71" ht="34" customHeight="1">
      <x:c r="A71" s="37" t="str">
        <x:v>CW33-A</x:v>
      </x:c>
      <x:c r="B71" s="37" t="str">
        <x:v>CW33</x:v>
      </x:c>
      <x:c r="C71" s="37" t="str">
        <x:v>A</x:v>
      </x:c>
      <x:c r="D71" s="37" t="str">
        <x:v>Y</x:v>
      </x:c>
      <x:c r="E71" s="37" t="str">
        <x:v>2025-11-17 15:39:09</x:v>
      </x:c>
      <x:c r="F71" s="42" t="n">
        <x:v>4.02</x:v>
      </x:c>
      <x:c r="G71" s="37" t="str">
        <x:v>https://map.kakao.com/link/roadview/37.3899822,126.9254940</x:v>
      </x:c>
      <x:c r="H71" s="37" t="str">
        <x:v>https://map.kakao.com/?panoid=1202972599&amp;pan=251.4&amp;zoom=0&amp;map_type=TYPE_MAP&amp;map_attribute=ROADVIEW&amp;urlX=483511.0&amp;urlY=1080749.0</x:v>
      </x:c>
      <x:c r="I71" s="37" t="str">
        <x:v>Codex_AI_precheck_1</x:v>
      </x:c>
      <x:c r="J71" s="37" t="str">
        <x:v>2026-09-15</x:v>
      </x:c>
      <x:c r="K71" s="37" t="str">
        <x:v>판독불가</x:v>
      </x:c>
      <x:c r="L71" s="37" t="str">
        <x:v>판독불가</x:v>
      </x:c>
      <x:c r="M71" s="37" t="str">
        <x:v>지오메트리불일치</x:v>
      </x:c>
      <x:c r="N71" s="37" t="str">
        <x:v>unknown</x:v>
      </x:c>
      <x:c r="O71" s="37" t="str">
        <x:v>접근부 추정점과 영상의 실제 횡단 착지부가 정합하지 않음</x:v>
      </x:c>
      <x:c r="P71" s="37" t="str">
        <x:v>Codex_AI_precheck_2</x:v>
      </x:c>
      <x:c r="Q71" s="37" t="str">
        <x:v>2026-09-15</x:v>
      </x:c>
      <x:c r="R71" s="37" t="str">
        <x:v>판독불가</x:v>
      </x:c>
      <x:c r="S71" s="37" t="str">
        <x:v>판독불가</x:v>
      </x:c>
      <x:c r="T71" s="37" t="str">
        <x:v>지오메트리불일치</x:v>
      </x:c>
      <x:c r="U71" s="37" t="str">
        <x:v>unknown</x:v>
      </x:c>
      <x:c r="V71" s="37" t="str">
        <x:v>접근부 추정점과 영상의 실제 횡단 착지부가 정합하지 않음</x:v>
      </x:c>
      <x:c r="W71" s="37" t="str">
        <x:v>판독불가</x:v>
      </x:c>
      <x:c r="X71" s="37" t="str">
        <x:v>판독불가</x:v>
      </x:c>
      <x:c r="Y71" s="37" t="str">
        <x:v>지오메트리불일치</x:v>
      </x:c>
      <x:c r="Z71" s="205" t="str">
        <x:v>unknown</x:v>
      </x:c>
      <x:c r="AA71" s="37" t="str">
        <x:v>접근부 추정점과 영상의 실제 횡단 착지부가 정합하지 않음</x:v>
      </x:c>
      <x:c r="AB71" s="37" t="str">
        <x:v>geometry_mismatch_candidate</x:v>
      </x:c>
      <x:c r="AC71" s="203" t="n">
        <x:v>0.58</x:v>
      </x:c>
      <x:c r="AD71" s="37" t="str">
        <x:v>Y</x:v>
      </x:c>
      <x:c r="AE71" s="44" t="str"/>
      <x:c r="AF71" s="37" t="str">
        <x:v>미반영(사람 승인 전)</x:v>
      </x:c>
      <x:c r="AG71" s="109" t="str">
        <x:v>위치 불일치·판독보류</x:v>
      </x:c>
      <x:c r="AH71" s="109" t="str">
        <x:v>위치 불일치·판독보류</x:v>
      </x:c>
      <x:c r="AI71" s="109" t="str">
        <x:v>N</x:v>
      </x:c>
      <x:c r="AJ71" s="109" t="str">
        <x:v>위치보정 필요</x:v>
      </x:c>
      <x:c r="AK71" s="109" t="str">
        <x:v>위치보정 전 사용 금지</x:v>
      </x:c>
      <x:c r="AL71" s="109" t="str">
        <x:v>추정 접근부와 실제 착지부 정합성 재설정 필요</x:v>
      </x:c>
    </x:row>
    <x:row r="72" ht="34" customHeight="1">
      <x:c r="A72" s="37" t="str">
        <x:v>CW33-B</x:v>
      </x:c>
      <x:c r="B72" s="37" t="str">
        <x:v>CW33</x:v>
      </x:c>
      <x:c r="C72" s="37" t="str">
        <x:v>B</x:v>
      </x:c>
      <x:c r="D72" s="37" t="str">
        <x:v>Y</x:v>
      </x:c>
      <x:c r="E72" s="37" t="str">
        <x:v>2025-11-17 15:39:09</x:v>
      </x:c>
      <x:c r="F72" s="42" t="n">
        <x:v>4.75</x:v>
      </x:c>
      <x:c r="G72" s="37" t="str">
        <x:v>https://map.kakao.com/link/roadview/37.3900158,126.9254662</x:v>
      </x:c>
      <x:c r="H72" s="37" t="str">
        <x:v>https://map.kakao.com/?panoid=1202972599&amp;pan=251.4&amp;zoom=0&amp;map_type=TYPE_MAP&amp;map_attribute=ROADVIEW&amp;urlX=483511.0&amp;urlY=1080749.0</x:v>
      </x:c>
      <x:c r="I72" s="37" t="str">
        <x:v>Codex_AI_precheck_1</x:v>
      </x:c>
      <x:c r="J72" s="37" t="str">
        <x:v>2026-09-15</x:v>
      </x:c>
      <x:c r="K72" s="37" t="str">
        <x:v>판독불가</x:v>
      </x:c>
      <x:c r="L72" s="37" t="str">
        <x:v>판독불가</x:v>
      </x:c>
      <x:c r="M72" s="37" t="str">
        <x:v>지오메트리불일치</x:v>
      </x:c>
      <x:c r="N72" s="37" t="str">
        <x:v>unknown</x:v>
      </x:c>
      <x:c r="O72" s="37" t="str">
        <x:v>접근부 추정점과 영상의 실제 횡단 착지부가 정합하지 않음</x:v>
      </x:c>
      <x:c r="P72" s="37" t="str">
        <x:v>Codex_AI_precheck_2</x:v>
      </x:c>
      <x:c r="Q72" s="37" t="str">
        <x:v>2026-09-15</x:v>
      </x:c>
      <x:c r="R72" s="37" t="str">
        <x:v>판독불가</x:v>
      </x:c>
      <x:c r="S72" s="37" t="str">
        <x:v>판독불가</x:v>
      </x:c>
      <x:c r="T72" s="37" t="str">
        <x:v>지오메트리불일치</x:v>
      </x:c>
      <x:c r="U72" s="37" t="str">
        <x:v>unknown</x:v>
      </x:c>
      <x:c r="V72" s="37" t="str">
        <x:v>접근부 추정점과 영상의 실제 횡단 착지부가 정합하지 않음</x:v>
      </x:c>
      <x:c r="W72" s="37" t="str">
        <x:v>판독불가</x:v>
      </x:c>
      <x:c r="X72" s="37" t="str">
        <x:v>판독불가</x:v>
      </x:c>
      <x:c r="Y72" s="37" t="str">
        <x:v>지오메트리불일치</x:v>
      </x:c>
      <x:c r="Z72" s="205" t="str">
        <x:v>unknown</x:v>
      </x:c>
      <x:c r="AA72" s="37" t="str">
        <x:v>접근부 추정점과 영상의 실제 횡단 착지부가 정합하지 않음</x:v>
      </x:c>
      <x:c r="AB72" s="37" t="str">
        <x:v>geometry_mismatch_candidate</x:v>
      </x:c>
      <x:c r="AC72" s="203" t="n">
        <x:v>0.58</x:v>
      </x:c>
      <x:c r="AD72" s="37" t="str">
        <x:v>Y</x:v>
      </x:c>
      <x:c r="AE72" s="44" t="str"/>
      <x:c r="AF72" s="37" t="str">
        <x:v>미반영(사람 승인 전)</x:v>
      </x:c>
      <x:c r="AG72" s="109" t="str">
        <x:v>위치 불일치·판독보류</x:v>
      </x:c>
      <x:c r="AH72" s="109" t="str">
        <x:v>위치 불일치·판독보류</x:v>
      </x:c>
      <x:c r="AI72" s="109" t="str">
        <x:v>N</x:v>
      </x:c>
      <x:c r="AJ72" s="109" t="str">
        <x:v>위치보정 필요</x:v>
      </x:c>
      <x:c r="AK72" s="109" t="str">
        <x:v>위치보정 전 사용 금지</x:v>
      </x:c>
      <x:c r="AL72" s="109" t="str">
        <x:v>추정 접근부와 실제 착지부 정합성 재설정 필요</x:v>
      </x:c>
    </x:row>
    <x:row r="73" ht="34" customHeight="1">
      <x:c r="A73" s="37" t="str">
        <x:v>CW34-A</x:v>
      </x:c>
      <x:c r="B73" s="37" t="str">
        <x:v>CW34</x:v>
      </x:c>
      <x:c r="C73" s="37" t="str">
        <x:v>A</x:v>
      </x:c>
      <x:c r="D73" s="37" t="str">
        <x:v>Y</x:v>
      </x:c>
      <x:c r="E73" s="37" t="str">
        <x:v>2025-11-17 13:10:05</x:v>
      </x:c>
      <x:c r="F73" s="42" t="n">
        <x:v>10.36</x:v>
      </x:c>
      <x:c r="G73" s="37" t="str">
        <x:v>https://map.kakao.com/link/roadview/37.3896222,126.9254856</x:v>
      </x:c>
      <x:c r="H73" s="37" t="str">
        <x:v>https://map.kakao.com/?panoid=1202970045&amp;pan=233.1&amp;zoom=0&amp;map_type=TYPE_MAP&amp;map_attribute=ROADVIEW&amp;urlX=483504.0&amp;urlY=1080615.0</x:v>
      </x:c>
      <x:c r="I73" s="37" t="str">
        <x:v>Codex_AI_precheck_1</x:v>
      </x:c>
      <x:c r="J73" s="37" t="str">
        <x:v>2026-09-15</x:v>
      </x:c>
      <x:c r="K73" s="37" t="str">
        <x:v>있음</x:v>
      </x:c>
      <x:c r="L73" s="37" t="str">
        <x:v>있음</x:v>
      </x:c>
      <x:c r="M73" s="37" t="str">
        <x:v>없음</x:v>
      </x:c>
      <x:c r="N73" s="37" t="str">
        <x:v>pass</x:v>
      </x:c>
      <x:c r="O73" s="37" t="str">
        <x:v>경사로와 점자블록이 보이고 통행공간이 열려 있음</x:v>
      </x:c>
      <x:c r="P73" s="37" t="str">
        <x:v>Codex_AI_precheck_2</x:v>
      </x:c>
      <x:c r="Q73" s="37" t="str">
        <x:v>2026-09-15</x:v>
      </x:c>
      <x:c r="R73" s="37" t="str">
        <x:v>있음</x:v>
      </x:c>
      <x:c r="S73" s="37" t="str">
        <x:v>있음</x:v>
      </x:c>
      <x:c r="T73" s="37" t="str">
        <x:v>없음</x:v>
      </x:c>
      <x:c r="U73" s="37" t="str">
        <x:v>pass</x:v>
      </x:c>
      <x:c r="V73" s="37" t="str">
        <x:v>역순·착지부 중심 재판독에서 경사로와 점자블록을 확인</x:v>
      </x:c>
      <x:c r="W73" s="37" t="str">
        <x:v>있음</x:v>
      </x:c>
      <x:c r="X73" s="37" t="str">
        <x:v>있음</x:v>
      </x:c>
      <x:c r="Y73" s="37" t="str">
        <x:v>없음</x:v>
      </x:c>
      <x:c r="Z73" s="205" t="str">
        <x:v>pass</x:v>
      </x:c>
      <x:c r="AA73" s="37" t="str">
        <x:v>경사로와 점자블록이 보이고 통행공간이 열려 있음</x:v>
      </x:c>
      <x:c r="AB73" s="37" t="str">
        <x:v>likely_accessible_candidate</x:v>
      </x:c>
      <x:c r="AC73" s="203" t="n">
        <x:v>0.82</x:v>
      </x:c>
      <x:c r="AD73" s="37" t="str">
        <x:v>Y</x:v>
      </x:c>
      <x:c r="AE73" s="44" t="str"/>
      <x:c r="AF73" s="37" t="str">
        <x:v>미반영(사람 승인 전)</x:v>
      </x:c>
      <x:c r="AG73" s="109" t="str">
        <x:v>통과 가능 후보</x:v>
      </x:c>
      <x:c r="AH73" s="109" t="str">
        <x:v>안내시설 양호 후보</x:v>
      </x:c>
      <x:c r="AI73" s="109" t="str">
        <x:v>N</x:v>
      </x:c>
      <x:c r="AJ73" s="109" t="str">
        <x:v>정적 후보</x:v>
      </x:c>
      <x:c r="AK73" s="109" t="str">
        <x:v>사람검수 전 후보</x:v>
      </x:c>
      <x:c r="AL73" s="109" t="str">
        <x:v>영상 관찰 후보이며 verified pass가 아님</x:v>
      </x:c>
    </x:row>
    <x:row r="74" ht="34" customHeight="1">
      <x:c r="A74" s="37" t="str">
        <x:v>CW34-B</x:v>
      </x:c>
      <x:c r="B74" s="37" t="str">
        <x:v>CW34</x:v>
      </x:c>
      <x:c r="C74" s="37" t="str">
        <x:v>B</x:v>
      </x:c>
      <x:c r="D74" s="37" t="str">
        <x:v>Y</x:v>
      </x:c>
      <x:c r="E74" s="37" t="str">
        <x:v>2025-11-17 11:57:08</x:v>
      </x:c>
      <x:c r="F74" s="42" t="n">
        <x:v>1.29</x:v>
      </x:c>
      <x:c r="G74" s="37" t="str">
        <x:v>https://map.kakao.com/link/roadview/37.3896570,126.9256144</x:v>
      </x:c>
      <x:c r="H74" s="37" t="str">
        <x:v>https://map.kakao.com/?panoid=1202969653&amp;pan=339.7&amp;zoom=0&amp;map_type=TYPE_MAP&amp;map_attribute=ROADVIEW&amp;urlX=483529.0&amp;urlY=1080649.0</x:v>
      </x:c>
      <x:c r="I74" s="37" t="str">
        <x:v>Codex_AI_precheck_1</x:v>
      </x:c>
      <x:c r="J74" s="37" t="str">
        <x:v>2026-09-15</x:v>
      </x:c>
      <x:c r="K74" s="37" t="str">
        <x:v>판독불가</x:v>
      </x:c>
      <x:c r="L74" s="37" t="str">
        <x:v>판독불가</x:v>
      </x:c>
      <x:c r="M74" s="37" t="str">
        <x:v>시야불충분</x:v>
      </x:c>
      <x:c r="N74" s="37" t="str">
        <x:v>unknown</x:v>
      </x:c>
      <x:c r="O74" s="37" t="str">
        <x:v>착지부가 카메라 직하부·화면 밖에 있어 핵심 시설을 확인할 수 없음</x:v>
      </x:c>
      <x:c r="P74" s="37" t="str">
        <x:v>Codex_AI_precheck_2</x:v>
      </x:c>
      <x:c r="Q74" s="37" t="str">
        <x:v>2026-09-15</x:v>
      </x:c>
      <x:c r="R74" s="37" t="str">
        <x:v>있음</x:v>
      </x:c>
      <x:c r="S74" s="37" t="str">
        <x:v>있음</x:v>
      </x:c>
      <x:c r="T74" s="37" t="str">
        <x:v>없음</x:v>
      </x:c>
      <x:c r="U74" s="37" t="str">
        <x:v>pass</x:v>
      </x:c>
      <x:c r="V74" s="37" t="str">
        <x:v>역순·착지부 중심 재판독에서 경사로와 점자블록을 확인</x:v>
      </x:c>
      <x:c r="W74" s="37" t="str">
        <x:v>판독불가</x:v>
      </x:c>
      <x:c r="X74" s="37" t="str">
        <x:v>판독불가</x:v>
      </x:c>
      <x:c r="Y74" s="37" t="str">
        <x:v>판독불일치</x:v>
      </x:c>
      <x:c r="Z74" s="205" t="str">
        <x:v>unknown</x:v>
      </x:c>
      <x:c r="AA74" s="37" t="str">
        <x:v>AI 반복판독 불일치(unknown↔pass); 사람 조정 필요</x:v>
      </x:c>
      <x:c r="AB74" s="37" t="str">
        <x:v>visibility_review_needed</x:v>
      </x:c>
      <x:c r="AC74" s="203" t="n">
        <x:v>0.52</x:v>
      </x:c>
      <x:c r="AD74" s="37" t="str">
        <x:v>Y</x:v>
      </x:c>
      <x:c r="AE74" s="44" t="str"/>
      <x:c r="AF74" s="37" t="str">
        <x:v>미반영(사람 승인 전)</x:v>
      </x:c>
      <x:c r="AG74" s="109" t="str">
        <x:v>시야 부족·판독보류</x:v>
      </x:c>
      <x:c r="AH74" s="109" t="str">
        <x:v>시야 부족·판독보류</x:v>
      </x:c>
      <x:c r="AI74" s="109" t="str">
        <x:v>N</x:v>
      </x:c>
      <x:c r="AJ74" s="109" t="str">
        <x:v>재관측 필요</x:v>
      </x:c>
      <x:c r="AK74" s="109" t="str">
        <x:v>사람검수 전 후보</x:v>
      </x:c>
      <x:c r="AL74" s="109" t="str">
        <x:v>식별 불가를 차단 또는 통과로 치환하지 않음</x:v>
      </x:c>
    </x:row>
    <x:row r="75" ht="34" customHeight="1">
      <x:c r="A75" s="37" t="str">
        <x:v>CW35-A</x:v>
      </x:c>
      <x:c r="B75" s="37" t="str">
        <x:v>CW35</x:v>
      </x:c>
      <x:c r="C75" s="37" t="str">
        <x:v>A</x:v>
      </x:c>
      <x:c r="D75" s="37" t="str">
        <x:v>N</x:v>
      </x:c>
      <x:c r="E75" s="37" t="str">
        <x:v>2025-11-17 11:57:07</x:v>
      </x:c>
      <x:c r="F75" s="42" t="n">
        <x:v>3.97</x:v>
      </x:c>
      <x:c r="G75" s="37" t="str">
        <x:v>https://map.kakao.com/link/roadview/37.3895655,126.9256825</x:v>
      </x:c>
      <x:c r="H75" s="37" t="str">
        <x:v>https://map.kakao.com/?panoid=1202969652&amp;pan=339.6&amp;zoom=0&amp;map_type=TYPE_MAP&amp;map_attribute=ROADVIEW&amp;urlX=483537.0&amp;urlY=1080625.0</x:v>
      </x:c>
      <x:c r="I75" s="37" t="str">
        <x:v>Codex_AI_precheck_1</x:v>
      </x:c>
      <x:c r="J75" s="37" t="str">
        <x:v>2026-09-15</x:v>
      </x:c>
      <x:c r="K75" s="37" t="str">
        <x:v>있음</x:v>
      </x:c>
      <x:c r="L75" s="37" t="str">
        <x:v>있음</x:v>
      </x:c>
      <x:c r="M75" s="37" t="str">
        <x:v>없음</x:v>
      </x:c>
      <x:c r="N75" s="37" t="str">
        <x:v>pass</x:v>
      </x:c>
      <x:c r="O75" s="37" t="str">
        <x:v>경사로와 점자블록이 보이고 통행공간이 열려 있음</x:v>
      </x:c>
      <x:c r="P75" s="37" t="str"/>
      <x:c r="Q75" s="37" t="str"/>
      <x:c r="R75" s="37" t="str"/>
      <x:c r="S75" s="37" t="str"/>
      <x:c r="T75" s="37" t="str"/>
      <x:c r="U75" s="37" t="str"/>
      <x:c r="V75" s="37" t="str"/>
      <x:c r="W75" s="37" t="str">
        <x:v>있음</x:v>
      </x:c>
      <x:c r="X75" s="37" t="str">
        <x:v>있음</x:v>
      </x:c>
      <x:c r="Y75" s="37" t="str">
        <x:v>없음</x:v>
      </x:c>
      <x:c r="Z75" s="205" t="str">
        <x:v>pass</x:v>
      </x:c>
      <x:c r="AA75" s="37" t="str">
        <x:v>경사로와 점자블록이 보이고 통행공간이 열려 있음</x:v>
      </x:c>
      <x:c r="AB75" s="37" t="str">
        <x:v>likely_accessible_candidate</x:v>
      </x:c>
      <x:c r="AC75" s="203" t="n">
        <x:v>0.82</x:v>
      </x:c>
      <x:c r="AD75" s="37" t="str">
        <x:v>Y</x:v>
      </x:c>
      <x:c r="AE75" s="44" t="str"/>
      <x:c r="AF75" s="37" t="str">
        <x:v>미반영(사람 승인 전)</x:v>
      </x:c>
      <x:c r="AG75" s="109" t="str">
        <x:v>통과 가능 후보</x:v>
      </x:c>
      <x:c r="AH75" s="109" t="str">
        <x:v>안내시설 양호 후보</x:v>
      </x:c>
      <x:c r="AI75" s="109" t="str">
        <x:v>N</x:v>
      </x:c>
      <x:c r="AJ75" s="109" t="str">
        <x:v>정적 후보</x:v>
      </x:c>
      <x:c r="AK75" s="109" t="str">
        <x:v>사람검수 전 후보</x:v>
      </x:c>
      <x:c r="AL75" s="109" t="str">
        <x:v>영상 관찰 후보이며 verified pass가 아님</x:v>
      </x:c>
    </x:row>
    <x:row r="76" ht="34" customHeight="1">
      <x:c r="A76" s="37" t="str">
        <x:v>CW35-B</x:v>
      </x:c>
      <x:c r="B76" s="37" t="str">
        <x:v>CW35</x:v>
      </x:c>
      <x:c r="C76" s="37" t="str">
        <x:v>B</x:v>
      </x:c>
      <x:c r="D76" s="37" t="str">
        <x:v>N</x:v>
      </x:c>
      <x:c r="E76" s="37" t="str">
        <x:v>2025-11-17 11:57:08</x:v>
      </x:c>
      <x:c r="F76" s="42" t="n">
        <x:v>3.92</x:v>
      </x:c>
      <x:c r="G76" s="37" t="str">
        <x:v>https://map.kakao.com/link/roadview/37.3896352,126.9256407</x:v>
      </x:c>
      <x:c r="H76" s="37" t="str">
        <x:v>https://map.kakao.com/?panoid=1202969653&amp;pan=339.7&amp;zoom=0&amp;map_type=TYPE_MAP&amp;map_attribute=ROADVIEW&amp;urlX=483529.0&amp;urlY=1080649.0</x:v>
      </x:c>
      <x:c r="I76" s="37" t="str">
        <x:v>Codex_AI_precheck_1</x:v>
      </x:c>
      <x:c r="J76" s="37" t="str">
        <x:v>2026-09-15</x:v>
      </x:c>
      <x:c r="K76" s="37" t="str">
        <x:v>판독불가</x:v>
      </x:c>
      <x:c r="L76" s="37" t="str">
        <x:v>판독불가</x:v>
      </x:c>
      <x:c r="M76" s="37" t="str">
        <x:v>지오메트리불일치</x:v>
      </x:c>
      <x:c r="N76" s="37" t="str">
        <x:v>unknown</x:v>
      </x:c>
      <x:c r="O76" s="37" t="str">
        <x:v>접근부 추정점과 영상의 실제 횡단 착지부가 정합하지 않음</x:v>
      </x:c>
      <x:c r="P76" s="37" t="str"/>
      <x:c r="Q76" s="37" t="str"/>
      <x:c r="R76" s="37" t="str"/>
      <x:c r="S76" s="37" t="str"/>
      <x:c r="T76" s="37" t="str"/>
      <x:c r="U76" s="37" t="str"/>
      <x:c r="V76" s="37" t="str"/>
      <x:c r="W76" s="37" t="str">
        <x:v>판독불가</x:v>
      </x:c>
      <x:c r="X76" s="37" t="str">
        <x:v>판독불가</x:v>
      </x:c>
      <x:c r="Y76" s="37" t="str">
        <x:v>지오메트리불일치</x:v>
      </x:c>
      <x:c r="Z76" s="205" t="str">
        <x:v>unknown</x:v>
      </x:c>
      <x:c r="AA76" s="37" t="str">
        <x:v>접근부 추정점과 영상의 실제 횡단 착지부가 정합하지 않음</x:v>
      </x:c>
      <x:c r="AB76" s="37" t="str">
        <x:v>geometry_mismatch_candidate</x:v>
      </x:c>
      <x:c r="AC76" s="203" t="n">
        <x:v>0.58</x:v>
      </x:c>
      <x:c r="AD76" s="37" t="str">
        <x:v>Y</x:v>
      </x:c>
      <x:c r="AE76" s="44" t="str"/>
      <x:c r="AF76" s="37" t="str">
        <x:v>미반영(사람 승인 전)</x:v>
      </x:c>
      <x:c r="AG76" s="109" t="str">
        <x:v>위치 불일치·판독보류</x:v>
      </x:c>
      <x:c r="AH76" s="109" t="str">
        <x:v>위치 불일치·판독보류</x:v>
      </x:c>
      <x:c r="AI76" s="109" t="str">
        <x:v>N</x:v>
      </x:c>
      <x:c r="AJ76" s="109" t="str">
        <x:v>위치보정 필요</x:v>
      </x:c>
      <x:c r="AK76" s="109" t="str">
        <x:v>위치보정 전 사용 금지</x:v>
      </x:c>
      <x:c r="AL76" s="109" t="str">
        <x:v>추정 접근부와 실제 착지부 정합성 재설정 필요</x:v>
      </x:c>
    </x:row>
    <x:row r="77" ht="34" customHeight="1">
      <x:c r="A77" s="37" t="str">
        <x:v>CW36-A</x:v>
      </x:c>
      <x:c r="B77" s="37" t="str">
        <x:v>CW36</x:v>
      </x:c>
      <x:c r="C77" s="37" t="str">
        <x:v>A</x:v>
      </x:c>
      <x:c r="D77" s="37" t="str">
        <x:v>Y</x:v>
      </x:c>
      <x:c r="E77" s="37" t="str">
        <x:v>2025-11-17 13:10:05</x:v>
      </x:c>
      <x:c r="F77" s="42" t="n">
        <x:v>8.73</x:v>
      </x:c>
      <x:c r="G77" s="37" t="str">
        <x:v>https://map.kakao.com/link/roadview/37.3894609,126.9255376</x:v>
      </x:c>
      <x:c r="H77" s="37" t="str">
        <x:v>https://map.kakao.com/?panoid=1202970045&amp;pan=233.1&amp;zoom=0&amp;map_type=TYPE_MAP&amp;map_attribute=ROADVIEW&amp;urlX=483504.0&amp;urlY=1080615.0</x:v>
      </x:c>
      <x:c r="I77" s="37" t="str">
        <x:v>Codex_AI_precheck_1</x:v>
      </x:c>
      <x:c r="J77" s="37" t="str">
        <x:v>2026-09-15</x:v>
      </x:c>
      <x:c r="K77" s="37" t="str">
        <x:v>있음</x:v>
      </x:c>
      <x:c r="L77" s="37" t="str">
        <x:v>있음</x:v>
      </x:c>
      <x:c r="M77" s="37" t="str">
        <x:v>없음</x:v>
      </x:c>
      <x:c r="N77" s="37" t="str">
        <x:v>pass</x:v>
      </x:c>
      <x:c r="O77" s="37" t="str">
        <x:v>원거리 착지부에 경사로와 점자블록이 있는 것으로 1차 판독</x:v>
      </x:c>
      <x:c r="P77" s="37" t="str">
        <x:v>Codex_AI_precheck_2</x:v>
      </x:c>
      <x:c r="Q77" s="37" t="str">
        <x:v>2026-09-15</x:v>
      </x:c>
      <x:c r="R77" s="37" t="str">
        <x:v>판독불가</x:v>
      </x:c>
      <x:c r="S77" s="37" t="str">
        <x:v>판독불가</x:v>
      </x:c>
      <x:c r="T77" s="37" t="str">
        <x:v>시야불충분</x:v>
      </x:c>
      <x:c r="U77" s="37" t="str">
        <x:v>unknown</x:v>
      </x:c>
      <x:c r="V77" s="37" t="str">
        <x:v>착지부가 카메라 직하부·화면 밖에 있어 핵심 시설을 확인할 수 없음</x:v>
      </x:c>
      <x:c r="W77" s="37" t="str">
        <x:v>판독불가</x:v>
      </x:c>
      <x:c r="X77" s="37" t="str">
        <x:v>판독불가</x:v>
      </x:c>
      <x:c r="Y77" s="37" t="str">
        <x:v>판독불일치</x:v>
      </x:c>
      <x:c r="Z77" s="205" t="str">
        <x:v>unknown</x:v>
      </x:c>
      <x:c r="AA77" s="37" t="str">
        <x:v>AI 반복판독 불일치(pass↔unknown); 사람 조정 필요</x:v>
      </x:c>
      <x:c r="AB77" s="37" t="str">
        <x:v>visibility_review_needed</x:v>
      </x:c>
      <x:c r="AC77" s="203" t="n">
        <x:v>0.52</x:v>
      </x:c>
      <x:c r="AD77" s="37" t="str">
        <x:v>Y</x:v>
      </x:c>
      <x:c r="AE77" s="44" t="str"/>
      <x:c r="AF77" s="37" t="str">
        <x:v>미반영(사람 승인 전)</x:v>
      </x:c>
      <x:c r="AG77" s="109" t="str">
        <x:v>시야 부족·판독보류</x:v>
      </x:c>
      <x:c r="AH77" s="109" t="str">
        <x:v>시야 부족·판독보류</x:v>
      </x:c>
      <x:c r="AI77" s="109" t="str">
        <x:v>N</x:v>
      </x:c>
      <x:c r="AJ77" s="109" t="str">
        <x:v>재관측 필요</x:v>
      </x:c>
      <x:c r="AK77" s="109" t="str">
        <x:v>사람검수 전 후보</x:v>
      </x:c>
      <x:c r="AL77" s="109" t="str">
        <x:v>식별 불가를 차단 또는 통과로 치환하지 않음</x:v>
      </x:c>
    </x:row>
    <x:row r="78" ht="34" customHeight="1">
      <x:c r="A78" s="37" t="str">
        <x:v>CW36-B</x:v>
      </x:c>
      <x:c r="B78" s="37" t="str">
        <x:v>CW36</x:v>
      </x:c>
      <x:c r="C78" s="37" t="str">
        <x:v>B</x:v>
      </x:c>
      <x:c r="D78" s="37" t="str">
        <x:v>Y</x:v>
      </x:c>
      <x:c r="E78" s="37" t="str">
        <x:v>2025-11-17 13:10:05</x:v>
      </x:c>
      <x:c r="F78" s="42" t="n">
        <x:v>2.83</x:v>
      </x:c>
      <x:c r="G78" s="37" t="str">
        <x:v>https://map.kakao.com/link/roadview/37.3895284,126.9254566</x:v>
      </x:c>
      <x:c r="H78" s="37" t="str">
        <x:v>https://map.kakao.com/?panoid=1202970045&amp;pan=233.1&amp;zoom=0&amp;map_type=TYPE_MAP&amp;map_attribute=ROADVIEW&amp;urlX=483504.0&amp;urlY=1080615.0</x:v>
      </x:c>
      <x:c r="I78" s="37" t="str">
        <x:v>Codex_AI_precheck_1</x:v>
      </x:c>
      <x:c r="J78" s="37" t="str">
        <x:v>2026-09-15</x:v>
      </x:c>
      <x:c r="K78" s="37" t="str">
        <x:v>판독불가</x:v>
      </x:c>
      <x:c r="L78" s="37" t="str">
        <x:v>판독불가</x:v>
      </x:c>
      <x:c r="M78" s="37" t="str">
        <x:v>지오메트리불일치</x:v>
      </x:c>
      <x:c r="N78" s="37" t="str">
        <x:v>unknown</x:v>
      </x:c>
      <x:c r="O78" s="37" t="str">
        <x:v>접근부 추정점과 영상의 실제 횡단 착지부가 정합하지 않음</x:v>
      </x:c>
      <x:c r="P78" s="37" t="str">
        <x:v>Codex_AI_precheck_2</x:v>
      </x:c>
      <x:c r="Q78" s="37" t="str">
        <x:v>2026-09-15</x:v>
      </x:c>
      <x:c r="R78" s="37" t="str">
        <x:v>판독불가</x:v>
      </x:c>
      <x:c r="S78" s="37" t="str">
        <x:v>판독불가</x:v>
      </x:c>
      <x:c r="T78" s="37" t="str">
        <x:v>지오메트리불일치</x:v>
      </x:c>
      <x:c r="U78" s="37" t="str">
        <x:v>unknown</x:v>
      </x:c>
      <x:c r="V78" s="37" t="str">
        <x:v>접근부 추정점과 영상의 실제 횡단 착지부가 정합하지 않음</x:v>
      </x:c>
      <x:c r="W78" s="37" t="str">
        <x:v>판독불가</x:v>
      </x:c>
      <x:c r="X78" s="37" t="str">
        <x:v>판독불가</x:v>
      </x:c>
      <x:c r="Y78" s="37" t="str">
        <x:v>지오메트리불일치</x:v>
      </x:c>
      <x:c r="Z78" s="205" t="str">
        <x:v>unknown</x:v>
      </x:c>
      <x:c r="AA78" s="37" t="str">
        <x:v>접근부 추정점과 영상의 실제 횡단 착지부가 정합하지 않음</x:v>
      </x:c>
      <x:c r="AB78" s="37" t="str">
        <x:v>geometry_mismatch_candidate</x:v>
      </x:c>
      <x:c r="AC78" s="203" t="n">
        <x:v>0.58</x:v>
      </x:c>
      <x:c r="AD78" s="37" t="str">
        <x:v>Y</x:v>
      </x:c>
      <x:c r="AE78" s="44" t="str"/>
      <x:c r="AF78" s="37" t="str">
        <x:v>미반영(사람 승인 전)</x:v>
      </x:c>
      <x:c r="AG78" s="109" t="str">
        <x:v>위치 불일치·판독보류</x:v>
      </x:c>
      <x:c r="AH78" s="109" t="str">
        <x:v>위치 불일치·판독보류</x:v>
      </x:c>
      <x:c r="AI78" s="109" t="str">
        <x:v>N</x:v>
      </x:c>
      <x:c r="AJ78" s="109" t="str">
        <x:v>위치보정 필요</x:v>
      </x:c>
      <x:c r="AK78" s="109" t="str">
        <x:v>위치보정 전 사용 금지</x:v>
      </x:c>
      <x:c r="AL78" s="109" t="str">
        <x:v>추정 접근부와 실제 착지부 정합성 재설정 필요</x:v>
      </x:c>
    </x:row>
    <x:row r="79" ht="34" customHeight="1">
      <x:c r="A79" s="37" t="str">
        <x:v>CW37-A</x:v>
      </x:c>
      <x:c r="B79" s="37" t="str">
        <x:v>CW37</x:v>
      </x:c>
      <x:c r="C79" s="37" t="str">
        <x:v>A</x:v>
      </x:c>
      <x:c r="D79" s="37" t="str">
        <x:v>N</x:v>
      </x:c>
      <x:c r="E79" s="37" t="str">
        <x:v>2025-11-17 11:57:06</x:v>
      </x:c>
      <x:c r="F79" s="42" t="n">
        <x:v>8.46</x:v>
      </x:c>
      <x:c r="G79" s="37" t="str">
        <x:v>https://map.kakao.com/link/roadview/37.3894277,126.9256118</x:v>
      </x:c>
      <x:c r="H79" s="37" t="str">
        <x:v>https://map.kakao.com/?panoid=1202969651&amp;pan=339.3&amp;zoom=0&amp;map_type=TYPE_MAP&amp;map_attribute=ROADVIEW&amp;urlX=483546.0&amp;urlY=1080602.0</x:v>
      </x:c>
      <x:c r="I79" s="37" t="str">
        <x:v>Codex_AI_precheck_1</x:v>
      </x:c>
      <x:c r="J79" s="37" t="str">
        <x:v>2026-09-15</x:v>
      </x:c>
      <x:c r="K79" s="37" t="str">
        <x:v>판독불가</x:v>
      </x:c>
      <x:c r="L79" s="37" t="str">
        <x:v>판독불가</x:v>
      </x:c>
      <x:c r="M79" s="37" t="str">
        <x:v>차량/적치물가림</x:v>
      </x:c>
      <x:c r="N79" s="37" t="str">
        <x:v>unknown</x:v>
      </x:c>
      <x:c r="O79" s="37" t="str">
        <x:v>차량·적치물 또는 공사물로 핵심 시설이 가려짐</x:v>
      </x:c>
      <x:c r="P79" s="37" t="str"/>
      <x:c r="Q79" s="37" t="str"/>
      <x:c r="R79" s="37" t="str"/>
      <x:c r="S79" s="37" t="str"/>
      <x:c r="T79" s="37" t="str"/>
      <x:c r="U79" s="37" t="str"/>
      <x:c r="V79" s="37" t="str"/>
      <x:c r="W79" s="37" t="str">
        <x:v>판독불가</x:v>
      </x:c>
      <x:c r="X79" s="37" t="str">
        <x:v>판독불가</x:v>
      </x:c>
      <x:c r="Y79" s="37" t="str">
        <x:v>차량/적치물가림</x:v>
      </x:c>
      <x:c r="Z79" s="205" t="str">
        <x:v>unknown</x:v>
      </x:c>
      <x:c r="AA79" s="37" t="str">
        <x:v>차량·적치물 또는 공사물로 핵심 시설이 가려짐</x:v>
      </x:c>
      <x:c r="AB79" s="37" t="str">
        <x:v>occlusion_review_needed</x:v>
      </x:c>
      <x:c r="AC79" s="203" t="n">
        <x:v>0.52</x:v>
      </x:c>
      <x:c r="AD79" s="37" t="str">
        <x:v>Y</x:v>
      </x:c>
      <x:c r="AE79" s="44" t="str"/>
      <x:c r="AF79" s="37" t="str">
        <x:v>미반영(사람 승인 전)</x:v>
      </x:c>
      <x:c r="AG79" s="109" t="str">
        <x:v>가림·판독보류</x:v>
      </x:c>
      <x:c r="AH79" s="109" t="str">
        <x:v>가림·판독보류</x:v>
      </x:c>
      <x:c r="AI79" s="109" t="str">
        <x:v>N</x:v>
      </x:c>
      <x:c r="AJ79" s="109" t="str">
        <x:v>재관측 필요</x:v>
      </x:c>
      <x:c r="AK79" s="109" t="str">
        <x:v>사람검수 전 후보</x:v>
      </x:c>
      <x:c r="AL79" s="109" t="str">
        <x:v>가림 상태는 접근성 결론이 아님</x:v>
      </x:c>
    </x:row>
    <x:row r="80" ht="34" customHeight="1">
      <x:c r="A80" s="37" t="str">
        <x:v>CW37-B</x:v>
      </x:c>
      <x:c r="B80" s="37" t="str">
        <x:v>CW37</x:v>
      </x:c>
      <x:c r="C80" s="37" t="str">
        <x:v>B</x:v>
      </x:c>
      <x:c r="D80" s="37" t="str">
        <x:v>N</x:v>
      </x:c>
      <x:c r="E80" s="37" t="str">
        <x:v>2025-11-17 11:57:06</x:v>
      </x:c>
      <x:c r="F80" s="42" t="n">
        <x:v>3.87</x:v>
      </x:c>
      <x:c r="G80" s="37" t="str">
        <x:v>https://map.kakao.com/link/roadview/37.3894543,126.9257042</x:v>
      </x:c>
      <x:c r="H80" s="37" t="str">
        <x:v>https://map.kakao.com/?panoid=1202969651&amp;pan=339.3&amp;zoom=0&amp;map_type=TYPE_MAP&amp;map_attribute=ROADVIEW&amp;urlX=483546.0&amp;urlY=1080602.0</x:v>
      </x:c>
      <x:c r="I80" s="37" t="str">
        <x:v>Codex_AI_precheck_1</x:v>
      </x:c>
      <x:c r="J80" s="37" t="str">
        <x:v>2026-09-15</x:v>
      </x:c>
      <x:c r="K80" s="37" t="str">
        <x:v>판독불가</x:v>
      </x:c>
      <x:c r="L80" s="37" t="str">
        <x:v>판독불가</x:v>
      </x:c>
      <x:c r="M80" s="37" t="str">
        <x:v>시야불충분</x:v>
      </x:c>
      <x:c r="N80" s="37" t="str">
        <x:v>unknown</x:v>
      </x:c>
      <x:c r="O80" s="37" t="str">
        <x:v>착지부가 카메라 직하부·화면 밖에 있어 핵심 시설을 확인할 수 없음</x:v>
      </x:c>
      <x:c r="P80" s="37" t="str"/>
      <x:c r="Q80" s="37" t="str"/>
      <x:c r="R80" s="37" t="str"/>
      <x:c r="S80" s="37" t="str"/>
      <x:c r="T80" s="37" t="str"/>
      <x:c r="U80" s="37" t="str"/>
      <x:c r="V80" s="37" t="str"/>
      <x:c r="W80" s="37" t="str">
        <x:v>판독불가</x:v>
      </x:c>
      <x:c r="X80" s="37" t="str">
        <x:v>판독불가</x:v>
      </x:c>
      <x:c r="Y80" s="37" t="str">
        <x:v>시야불충분</x:v>
      </x:c>
      <x:c r="Z80" s="205" t="str">
        <x:v>unknown</x:v>
      </x:c>
      <x:c r="AA80" s="37" t="str">
        <x:v>착지부가 카메라 직하부·화면 밖에 있어 핵심 시설을 확인할 수 없음</x:v>
      </x:c>
      <x:c r="AB80" s="37" t="str">
        <x:v>visibility_review_needed</x:v>
      </x:c>
      <x:c r="AC80" s="203" t="n">
        <x:v>0.52</x:v>
      </x:c>
      <x:c r="AD80" s="37" t="str">
        <x:v>Y</x:v>
      </x:c>
      <x:c r="AE80" s="44" t="str"/>
      <x:c r="AF80" s="37" t="str">
        <x:v>미반영(사람 승인 전)</x:v>
      </x:c>
      <x:c r="AG80" s="109" t="str">
        <x:v>시야 부족·판독보류</x:v>
      </x:c>
      <x:c r="AH80" s="109" t="str">
        <x:v>시야 부족·판독보류</x:v>
      </x:c>
      <x:c r="AI80" s="109" t="str">
        <x:v>N</x:v>
      </x:c>
      <x:c r="AJ80" s="109" t="str">
        <x:v>재관측 필요</x:v>
      </x:c>
      <x:c r="AK80" s="109" t="str">
        <x:v>사람검수 전 후보</x:v>
      </x:c>
      <x:c r="AL80" s="109" t="str">
        <x:v>식별 불가를 차단 또는 통과로 치환하지 않음</x:v>
      </x:c>
    </x:row>
    <x:row r="81" ht="34" customHeight="1">
      <x:c r="A81" s="37" t="str">
        <x:v>CW38-A</x:v>
      </x:c>
      <x:c r="B81" s="37" t="str">
        <x:v>CW38</x:v>
      </x:c>
      <x:c r="C81" s="37" t="str">
        <x:v>A</x:v>
      </x:c>
      <x:c r="D81" s="37" t="str">
        <x:v>Y</x:v>
      </x:c>
      <x:c r="E81" s="37" t="str">
        <x:v>2025-11-17 13:10:10</x:v>
      </x:c>
      <x:c r="F81" s="42" t="n">
        <x:v>6.02</x:v>
      </x:c>
      <x:c r="G81" s="37" t="str">
        <x:v>https://map.kakao.com/link/roadview/37.3892483,126.9252018</x:v>
      </x:c>
      <x:c r="H81" s="37" t="str">
        <x:v>https://map.kakao.com/?panoid=1202970049&amp;pan=225.5&amp;zoom=0&amp;map_type=TYPE_MAP&amp;map_attribute=ROADVIEW&amp;urlX=483430.0&amp;urlY=1080548.0</x:v>
      </x:c>
      <x:c r="I81" s="37" t="str">
        <x:v>Codex_AI_precheck_1</x:v>
      </x:c>
      <x:c r="J81" s="37" t="str">
        <x:v>2026-09-15</x:v>
      </x:c>
      <x:c r="K81" s="37" t="str">
        <x:v>있음</x:v>
      </x:c>
      <x:c r="L81" s="37" t="str">
        <x:v>있음</x:v>
      </x:c>
      <x:c r="M81" s="37" t="str">
        <x:v>없음</x:v>
      </x:c>
      <x:c r="N81" s="37" t="str">
        <x:v>pass</x:v>
      </x:c>
      <x:c r="O81" s="37" t="str">
        <x:v>경사로와 점자블록이 보이고 통행공간이 열려 있음</x:v>
      </x:c>
      <x:c r="P81" s="37" t="str">
        <x:v>Codex_AI_precheck_2</x:v>
      </x:c>
      <x:c r="Q81" s="37" t="str">
        <x:v>2026-09-15</x:v>
      </x:c>
      <x:c r="R81" s="37" t="str">
        <x:v>있음</x:v>
      </x:c>
      <x:c r="S81" s="37" t="str">
        <x:v>있음</x:v>
      </x:c>
      <x:c r="T81" s="37" t="str">
        <x:v>없음</x:v>
      </x:c>
      <x:c r="U81" s="37" t="str">
        <x:v>pass</x:v>
      </x:c>
      <x:c r="V81" s="37" t="str">
        <x:v>역순·착지부 중심 재판독에서 경사로와 점자블록을 확인</x:v>
      </x:c>
      <x:c r="W81" s="37" t="str">
        <x:v>있음</x:v>
      </x:c>
      <x:c r="X81" s="37" t="str">
        <x:v>있음</x:v>
      </x:c>
      <x:c r="Y81" s="37" t="str">
        <x:v>없음</x:v>
      </x:c>
      <x:c r="Z81" s="205" t="str">
        <x:v>pass</x:v>
      </x:c>
      <x:c r="AA81" s="37" t="str">
        <x:v>경사로와 점자블록이 보이고 통행공간이 열려 있음</x:v>
      </x:c>
      <x:c r="AB81" s="37" t="str">
        <x:v>likely_accessible_candidate</x:v>
      </x:c>
      <x:c r="AC81" s="203" t="n">
        <x:v>0.82</x:v>
      </x:c>
      <x:c r="AD81" s="37" t="str">
        <x:v>Y</x:v>
      </x:c>
      <x:c r="AE81" s="44" t="str"/>
      <x:c r="AF81" s="37" t="str">
        <x:v>미반영(사람 승인 전)</x:v>
      </x:c>
      <x:c r="AG81" s="109" t="str">
        <x:v>통과 가능 후보</x:v>
      </x:c>
      <x:c r="AH81" s="109" t="str">
        <x:v>안내시설 양호 후보</x:v>
      </x:c>
      <x:c r="AI81" s="109" t="str">
        <x:v>N</x:v>
      </x:c>
      <x:c r="AJ81" s="109" t="str">
        <x:v>정적 후보</x:v>
      </x:c>
      <x:c r="AK81" s="109" t="str">
        <x:v>사람검수 전 후보</x:v>
      </x:c>
      <x:c r="AL81" s="109" t="str">
        <x:v>영상 관찰 후보이며 verified pass가 아님</x:v>
      </x:c>
    </x:row>
    <x:row r="82" ht="34" customHeight="1">
      <x:c r="A82" s="37" t="str">
        <x:v>CW38-B</x:v>
      </x:c>
      <x:c r="B82" s="37" t="str">
        <x:v>CW38</x:v>
      </x:c>
      <x:c r="C82" s="37" t="str">
        <x:v>B</x:v>
      </x:c>
      <x:c r="D82" s="37" t="str">
        <x:v>Y</x:v>
      </x:c>
      <x:c r="E82" s="37" t="str">
        <x:v>2025-11-17 13:10:10</x:v>
      </x:c>
      <x:c r="F82" s="42" t="n">
        <x:v>2.17</x:v>
      </x:c>
      <x:c r="G82" s="37" t="str">
        <x:v>https://map.kakao.com/link/roadview/37.3893016,126.9251378</x:v>
      </x:c>
      <x:c r="H82" s="37" t="str">
        <x:v>https://map.kakao.com/?panoid=1202970049&amp;pan=225.5&amp;zoom=0&amp;map_type=TYPE_MAP&amp;map_attribute=ROADVIEW&amp;urlX=483430.0&amp;urlY=1080548.0</x:v>
      </x:c>
      <x:c r="I82" s="37" t="str">
        <x:v>Codex_AI_precheck_1</x:v>
      </x:c>
      <x:c r="J82" s="37" t="str">
        <x:v>2026-09-15</x:v>
      </x:c>
      <x:c r="K82" s="37" t="str">
        <x:v>있음</x:v>
      </x:c>
      <x:c r="L82" s="37" t="str">
        <x:v>있음</x:v>
      </x:c>
      <x:c r="M82" s="37" t="str">
        <x:v>없음</x:v>
      </x:c>
      <x:c r="N82" s="37" t="str">
        <x:v>pass</x:v>
      </x:c>
      <x:c r="O82" s="37" t="str">
        <x:v>경사로와 점자블록이 보이고 통행공간이 열려 있음</x:v>
      </x:c>
      <x:c r="P82" s="37" t="str">
        <x:v>Codex_AI_precheck_2</x:v>
      </x:c>
      <x:c r="Q82" s="37" t="str">
        <x:v>2026-09-15</x:v>
      </x:c>
      <x:c r="R82" s="37" t="str">
        <x:v>있음</x:v>
      </x:c>
      <x:c r="S82" s="37" t="str">
        <x:v>있음</x:v>
      </x:c>
      <x:c r="T82" s="37" t="str">
        <x:v>없음</x:v>
      </x:c>
      <x:c r="U82" s="37" t="str">
        <x:v>pass</x:v>
      </x:c>
      <x:c r="V82" s="37" t="str">
        <x:v>역순·착지부 중심 재판독에서 경사로와 점자블록을 확인</x:v>
      </x:c>
      <x:c r="W82" s="37" t="str">
        <x:v>있음</x:v>
      </x:c>
      <x:c r="X82" s="37" t="str">
        <x:v>있음</x:v>
      </x:c>
      <x:c r="Y82" s="37" t="str">
        <x:v>없음</x:v>
      </x:c>
      <x:c r="Z82" s="205" t="str">
        <x:v>pass</x:v>
      </x:c>
      <x:c r="AA82" s="37" t="str">
        <x:v>경사로와 점자블록이 보이고 통행공간이 열려 있음</x:v>
      </x:c>
      <x:c r="AB82" s="37" t="str">
        <x:v>likely_accessible_candidate</x:v>
      </x:c>
      <x:c r="AC82" s="203" t="n">
        <x:v>0.82</x:v>
      </x:c>
      <x:c r="AD82" s="37" t="str">
        <x:v>Y</x:v>
      </x:c>
      <x:c r="AE82" s="44" t="str"/>
      <x:c r="AF82" s="37" t="str">
        <x:v>미반영(사람 승인 전)</x:v>
      </x:c>
      <x:c r="AG82" s="109" t="str">
        <x:v>통과 가능 후보</x:v>
      </x:c>
      <x:c r="AH82" s="109" t="str">
        <x:v>안내시설 양호 후보</x:v>
      </x:c>
      <x:c r="AI82" s="109" t="str">
        <x:v>N</x:v>
      </x:c>
      <x:c r="AJ82" s="109" t="str">
        <x:v>정적 후보</x:v>
      </x:c>
      <x:c r="AK82" s="109" t="str">
        <x:v>사람검수 전 후보</x:v>
      </x:c>
      <x:c r="AL82" s="109" t="str">
        <x:v>영상 관찰 후보이며 verified pass가 아님</x:v>
      </x:c>
    </x:row>
    <x:row r="83" ht="34" customHeight="1">
      <x:c r="A83" s="37" t="str">
        <x:v>CW39-A</x:v>
      </x:c>
      <x:c r="B83" s="37" t="str">
        <x:v>CW39</x:v>
      </x:c>
      <x:c r="C83" s="37" t="str">
        <x:v>A</x:v>
      </x:c>
      <x:c r="D83" s="37" t="str">
        <x:v>N</x:v>
      </x:c>
      <x:c r="E83" s="37" t="str">
        <x:v>2025-11-17 13:10:11</x:v>
      </x:c>
      <x:c r="F83" s="42" t="n">
        <x:v>3.12</x:v>
      </x:c>
      <x:c r="G83" s="37" t="str">
        <x:v>https://map.kakao.com/link/roadview/37.3892446,126.9250951</x:v>
      </x:c>
      <x:c r="H83" s="37" t="str">
        <x:v>https://map.kakao.com/?panoid=1202970050&amp;pan=224.2&amp;zoom=0&amp;map_type=TYPE_MAP&amp;map_attribute=ROADVIEW&amp;urlX=483412.0&amp;urlY=1080530.0</x:v>
      </x:c>
      <x:c r="I83" s="37" t="str">
        <x:v>Codex_AI_precheck_1</x:v>
      </x:c>
      <x:c r="J83" s="37" t="str">
        <x:v>2026-09-15</x:v>
      </x:c>
      <x:c r="K83" s="37" t="str">
        <x:v>판독불가</x:v>
      </x:c>
      <x:c r="L83" s="37" t="str">
        <x:v>판독불가</x:v>
      </x:c>
      <x:c r="M83" s="37" t="str">
        <x:v>지오메트리불일치</x:v>
      </x:c>
      <x:c r="N83" s="37" t="str">
        <x:v>unknown</x:v>
      </x:c>
      <x:c r="O83" s="37" t="str">
        <x:v>접근부 추정점과 영상의 실제 횡단 착지부가 정합하지 않음</x:v>
      </x:c>
      <x:c r="P83" s="37" t="str"/>
      <x:c r="Q83" s="37" t="str"/>
      <x:c r="R83" s="37" t="str"/>
      <x:c r="S83" s="37" t="str"/>
      <x:c r="T83" s="37" t="str"/>
      <x:c r="U83" s="37" t="str"/>
      <x:c r="V83" s="37" t="str"/>
      <x:c r="W83" s="37" t="str">
        <x:v>판독불가</x:v>
      </x:c>
      <x:c r="X83" s="37" t="str">
        <x:v>판독불가</x:v>
      </x:c>
      <x:c r="Y83" s="37" t="str">
        <x:v>지오메트리불일치</x:v>
      </x:c>
      <x:c r="Z83" s="205" t="str">
        <x:v>unknown</x:v>
      </x:c>
      <x:c r="AA83" s="37" t="str">
        <x:v>접근부 추정점과 영상의 실제 횡단 착지부가 정합하지 않음</x:v>
      </x:c>
      <x:c r="AB83" s="37" t="str">
        <x:v>geometry_mismatch_candidate</x:v>
      </x:c>
      <x:c r="AC83" s="203" t="n">
        <x:v>0.58</x:v>
      </x:c>
      <x:c r="AD83" s="37" t="str">
        <x:v>Y</x:v>
      </x:c>
      <x:c r="AE83" s="44" t="str"/>
      <x:c r="AF83" s="37" t="str">
        <x:v>미반영(사람 승인 전)</x:v>
      </x:c>
      <x:c r="AG83" s="109" t="str">
        <x:v>위치 불일치·판독보류</x:v>
      </x:c>
      <x:c r="AH83" s="109" t="str">
        <x:v>위치 불일치·판독보류</x:v>
      </x:c>
      <x:c r="AI83" s="109" t="str">
        <x:v>N</x:v>
      </x:c>
      <x:c r="AJ83" s="109" t="str">
        <x:v>위치보정 필요</x:v>
      </x:c>
      <x:c r="AK83" s="109" t="str">
        <x:v>위치보정 전 사용 금지</x:v>
      </x:c>
      <x:c r="AL83" s="109" t="str">
        <x:v>추정 접근부와 실제 착지부 정합성 재설정 필요</x:v>
      </x:c>
    </x:row>
    <x:row r="84" ht="34" customHeight="1">
      <x:c r="A84" s="37" t="str">
        <x:v>CW39-B</x:v>
      </x:c>
      <x:c r="B84" s="37" t="str">
        <x:v>CW39</x:v>
      </x:c>
      <x:c r="C84" s="37" t="str">
        <x:v>B</x:v>
      </x:c>
      <x:c r="D84" s="37" t="str">
        <x:v>N</x:v>
      </x:c>
      <x:c r="E84" s="37" t="str">
        <x:v>2025-11-17 13:10:11</x:v>
      </x:c>
      <x:c r="F84" s="42" t="n">
        <x:v>9.44</x:v>
      </x:c>
      <x:c r="G84" s="37" t="str">
        <x:v>https://map.kakao.com/link/roadview/37.3892997,126.9250289</x:v>
      </x:c>
      <x:c r="H84" s="37" t="str">
        <x:v>https://map.kakao.com/?panoid=1202970050&amp;pan=224.2&amp;zoom=0&amp;map_type=TYPE_MAP&amp;map_attribute=ROADVIEW&amp;urlX=483412.0&amp;urlY=1080530.0</x:v>
      </x:c>
      <x:c r="I84" s="37" t="str">
        <x:v>Codex_AI_precheck_1</x:v>
      </x:c>
      <x:c r="J84" s="37" t="str">
        <x:v>2026-09-15</x:v>
      </x:c>
      <x:c r="K84" s="37" t="str">
        <x:v>판독불가</x:v>
      </x:c>
      <x:c r="L84" s="37" t="str">
        <x:v>판독불가</x:v>
      </x:c>
      <x:c r="M84" s="37" t="str">
        <x:v>지오메트리불일치</x:v>
      </x:c>
      <x:c r="N84" s="37" t="str">
        <x:v>unknown</x:v>
      </x:c>
      <x:c r="O84" s="37" t="str">
        <x:v>접근부 추정점과 영상의 실제 횡단 착지부가 정합하지 않음</x:v>
      </x:c>
      <x:c r="P84" s="37" t="str"/>
      <x:c r="Q84" s="37" t="str"/>
      <x:c r="R84" s="37" t="str"/>
      <x:c r="S84" s="37" t="str"/>
      <x:c r="T84" s="37" t="str"/>
      <x:c r="U84" s="37" t="str"/>
      <x:c r="V84" s="37" t="str"/>
      <x:c r="W84" s="37" t="str">
        <x:v>판독불가</x:v>
      </x:c>
      <x:c r="X84" s="37" t="str">
        <x:v>판독불가</x:v>
      </x:c>
      <x:c r="Y84" s="37" t="str">
        <x:v>지오메트리불일치</x:v>
      </x:c>
      <x:c r="Z84" s="205" t="str">
        <x:v>unknown</x:v>
      </x:c>
      <x:c r="AA84" s="37" t="str">
        <x:v>접근부 추정점과 영상의 실제 횡단 착지부가 정합하지 않음</x:v>
      </x:c>
      <x:c r="AB84" s="37" t="str">
        <x:v>geometry_mismatch_candidate</x:v>
      </x:c>
      <x:c r="AC84" s="203" t="n">
        <x:v>0.58</x:v>
      </x:c>
      <x:c r="AD84" s="37" t="str">
        <x:v>Y</x:v>
      </x:c>
      <x:c r="AE84" s="44" t="str"/>
      <x:c r="AF84" s="37" t="str">
        <x:v>미반영(사람 승인 전)</x:v>
      </x:c>
      <x:c r="AG84" s="109" t="str">
        <x:v>위치 불일치·판독보류</x:v>
      </x:c>
      <x:c r="AH84" s="109" t="str">
        <x:v>위치 불일치·판독보류</x:v>
      </x:c>
      <x:c r="AI84" s="109" t="str">
        <x:v>N</x:v>
      </x:c>
      <x:c r="AJ84" s="109" t="str">
        <x:v>위치보정 필요</x:v>
      </x:c>
      <x:c r="AK84" s="109" t="str">
        <x:v>위치보정 전 사용 금지</x:v>
      </x:c>
      <x:c r="AL84" s="109" t="str">
        <x:v>추정 접근부와 실제 착지부 정합성 재설정 필요</x:v>
      </x:c>
    </x:row>
    <x:row r="85" ht="34" customHeight="1">
      <x:c r="A85" s="37" t="str">
        <x:v>CW40-A</x:v>
      </x:c>
      <x:c r="B85" s="37" t="str">
        <x:v>CW40</x:v>
      </x:c>
      <x:c r="C85" s="37" t="str">
        <x:v>A</x:v>
      </x:c>
      <x:c r="D85" s="37" t="str">
        <x:v>N</x:v>
      </x:c>
      <x:c r="E85" s="37" t="str">
        <x:v>2025-11-17 13:10:12</x:v>
      </x:c>
      <x:c r="F85" s="42" t="n">
        <x:v>6.44</x:v>
      </x:c>
      <x:c r="G85" s="37" t="str">
        <x:v>https://map.kakao.com/link/roadview/37.3891477,126.9250639</x:v>
      </x:c>
      <x:c r="H85" s="37" t="str">
        <x:v>https://map.kakao.com/?panoid=1202970051&amp;pan=225.5&amp;zoom=0&amp;map_type=TYPE_MAP&amp;map_attribute=ROADVIEW&amp;urlX=483394.0&amp;urlY=1080512.0</x:v>
      </x:c>
      <x:c r="I85" s="37" t="str">
        <x:v>Codex_AI_precheck_1</x:v>
      </x:c>
      <x:c r="J85" s="37" t="str">
        <x:v>2026-09-15</x:v>
      </x:c>
      <x:c r="K85" s="37" t="str">
        <x:v>있음</x:v>
      </x:c>
      <x:c r="L85" s="37" t="str">
        <x:v>있음</x:v>
      </x:c>
      <x:c r="M85" s="37" t="str">
        <x:v>없음</x:v>
      </x:c>
      <x:c r="N85" s="37" t="str">
        <x:v>pass</x:v>
      </x:c>
      <x:c r="O85" s="37" t="str">
        <x:v>착지부 가장자리에서 점자블록과 낮춤부가 보임</x:v>
      </x:c>
      <x:c r="P85" s="37" t="str"/>
      <x:c r="Q85" s="37" t="str"/>
      <x:c r="R85" s="37" t="str"/>
      <x:c r="S85" s="37" t="str"/>
      <x:c r="T85" s="37" t="str"/>
      <x:c r="U85" s="37" t="str"/>
      <x:c r="V85" s="37" t="str"/>
      <x:c r="W85" s="37" t="str">
        <x:v>있음</x:v>
      </x:c>
      <x:c r="X85" s="37" t="str">
        <x:v>있음</x:v>
      </x:c>
      <x:c r="Y85" s="37" t="str">
        <x:v>없음</x:v>
      </x:c>
      <x:c r="Z85" s="205" t="str">
        <x:v>pass</x:v>
      </x:c>
      <x:c r="AA85" s="37" t="str">
        <x:v>착지부 가장자리에서 점자블록과 낮춤부가 보임</x:v>
      </x:c>
      <x:c r="AB85" s="37" t="str">
        <x:v>likely_accessible_candidate</x:v>
      </x:c>
      <x:c r="AC85" s="203" t="n">
        <x:v>0.82</x:v>
      </x:c>
      <x:c r="AD85" s="37" t="str">
        <x:v>Y</x:v>
      </x:c>
      <x:c r="AE85" s="44" t="str"/>
      <x:c r="AF85" s="37" t="str">
        <x:v>미반영(사람 승인 전)</x:v>
      </x:c>
      <x:c r="AG85" s="109" t="str">
        <x:v>통과 가능 후보</x:v>
      </x:c>
      <x:c r="AH85" s="109" t="str">
        <x:v>안내시설 양호 후보</x:v>
      </x:c>
      <x:c r="AI85" s="109" t="str">
        <x:v>N</x:v>
      </x:c>
      <x:c r="AJ85" s="109" t="str">
        <x:v>정적 후보</x:v>
      </x:c>
      <x:c r="AK85" s="109" t="str">
        <x:v>사람검수 전 후보</x:v>
      </x:c>
      <x:c r="AL85" s="109" t="str">
        <x:v>영상 관찰 후보이며 verified pass가 아님</x:v>
      </x:c>
    </x:row>
    <x:row r="86" ht="34" customHeight="1">
      <x:c r="A86" s="37" t="str">
        <x:v>CW40-B</x:v>
      </x:c>
      <x:c r="B86" s="37" t="str">
        <x:v>CW40</x:v>
      </x:c>
      <x:c r="C86" s="37" t="str">
        <x:v>B</x:v>
      </x:c>
      <x:c r="D86" s="37" t="str">
        <x:v>N</x:v>
      </x:c>
      <x:c r="E86" s="37" t="str">
        <x:v>2025-11-17 13:10:12</x:v>
      </x:c>
      <x:c r="F86" s="42" t="n">
        <x:v>4.88</x:v>
      </x:c>
      <x:c r="G86" s="37" t="str">
        <x:v>https://map.kakao.com/link/roadview/37.3892009,126.9250001</x:v>
      </x:c>
      <x:c r="H86" s="37" t="str">
        <x:v>https://map.kakao.com/?panoid=1202970051&amp;pan=225.5&amp;zoom=0&amp;map_type=TYPE_MAP&amp;map_attribute=ROADVIEW&amp;urlX=483394.0&amp;urlY=1080512.0</x:v>
      </x:c>
      <x:c r="I86" s="37" t="str">
        <x:v>Codex_AI_precheck_1</x:v>
      </x:c>
      <x:c r="J86" s="37" t="str">
        <x:v>2026-09-15</x:v>
      </x:c>
      <x:c r="K86" s="37" t="str">
        <x:v>판독불가</x:v>
      </x:c>
      <x:c r="L86" s="37" t="str">
        <x:v>판독불가</x:v>
      </x:c>
      <x:c r="M86" s="37" t="str">
        <x:v>지오메트리불일치</x:v>
      </x:c>
      <x:c r="N86" s="37" t="str">
        <x:v>unknown</x:v>
      </x:c>
      <x:c r="O86" s="37" t="str">
        <x:v>접근부 추정점과 영상의 실제 횡단 착지부가 정합하지 않음</x:v>
      </x:c>
      <x:c r="P86" s="37" t="str"/>
      <x:c r="Q86" s="37" t="str"/>
      <x:c r="R86" s="37" t="str"/>
      <x:c r="S86" s="37" t="str"/>
      <x:c r="T86" s="37" t="str"/>
      <x:c r="U86" s="37" t="str"/>
      <x:c r="V86" s="37" t="str"/>
      <x:c r="W86" s="37" t="str">
        <x:v>판독불가</x:v>
      </x:c>
      <x:c r="X86" s="37" t="str">
        <x:v>판독불가</x:v>
      </x:c>
      <x:c r="Y86" s="37" t="str">
        <x:v>지오메트리불일치</x:v>
      </x:c>
      <x:c r="Z86" s="205" t="str">
        <x:v>unknown</x:v>
      </x:c>
      <x:c r="AA86" s="37" t="str">
        <x:v>접근부 추정점과 영상의 실제 횡단 착지부가 정합하지 않음</x:v>
      </x:c>
      <x:c r="AB86" s="37" t="str">
        <x:v>geometry_mismatch_candidate</x:v>
      </x:c>
      <x:c r="AC86" s="203" t="n">
        <x:v>0.58</x:v>
      </x:c>
      <x:c r="AD86" s="37" t="str">
        <x:v>Y</x:v>
      </x:c>
      <x:c r="AE86" s="44" t="str"/>
      <x:c r="AF86" s="37" t="str">
        <x:v>미반영(사람 승인 전)</x:v>
      </x:c>
      <x:c r="AG86" s="109" t="str">
        <x:v>위치 불일치·판독보류</x:v>
      </x:c>
      <x:c r="AH86" s="109" t="str">
        <x:v>위치 불일치·판독보류</x:v>
      </x:c>
      <x:c r="AI86" s="109" t="str">
        <x:v>N</x:v>
      </x:c>
      <x:c r="AJ86" s="109" t="str">
        <x:v>위치보정 필요</x:v>
      </x:c>
      <x:c r="AK86" s="109" t="str">
        <x:v>위치보정 전 사용 금지</x:v>
      </x:c>
      <x:c r="AL86" s="109" t="str">
        <x:v>추정 접근부와 실제 착지부 정합성 재설정 필요</x:v>
      </x:c>
    </x:row>
  </x:sheetData>
  <x:conditionalFormatting sqref="N7:N86">
    <x:cfRule type="containsText" dxfId="3" priority="1" operator="containsText" text="pass"/>
    <x:cfRule type="containsText" dxfId="4" priority="2" operator="containsText" text="block"/>
    <x:cfRule type="containsText" dxfId="5" priority="3" operator="containsText" text="unknown"/>
  </x:conditionalFormatting>
  <x:conditionalFormatting sqref="U7:U86">
    <x:cfRule type="containsText" dxfId="6" priority="4" operator="containsText" text="pass"/>
    <x:cfRule type="containsText" dxfId="7" priority="5" operator="containsText" text="block"/>
    <x:cfRule type="containsText" dxfId="8" priority="6" operator="containsText" text="unknown"/>
  </x:conditionalFormatting>
  <x:conditionalFormatting sqref="Z7:Z86">
    <x:cfRule type="containsText" dxfId="9" priority="7" operator="containsText" text="pass"/>
    <x:cfRule type="containsText" dxfId="10" priority="8" operator="containsText" text="block"/>
    <x:cfRule type="containsText" dxfId="11" priority="9" operator="containsText" text="unknown"/>
  </x:conditionalFormatting>
  <x:conditionalFormatting sqref="AG7:AH86">
    <x:cfRule type="containsText" dxfId="34" priority="10" operator="containsText" text="차단"/>
    <x:cfRule type="containsText" dxfId="35" priority="11" operator="containsText" text="통과"/>
    <x:cfRule type="containsText" dxfId="36" priority="12" operator="containsText" text="보류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57D76"/>
  </x:sheetPr>
  <x:sheetViews>
    <x:sheetView showGridLines="0" workbookViewId="0">
      <x:pane xSplit="4" ySplit="6" topLeftCell="E7" activePane="bottomRight" state="frozen"/>
    </x:sheetView>
  </x:sheetViews>
  <x:sheetFormatPr defaultRowHeight="15"/>
  <x:cols>
    <x:col min="1" max="1" width="15" hidden="0" customWidth="1"/>
    <x:col min="2" max="2" width="10" hidden="0" customWidth="1"/>
    <x:col min="3" max="3" width="15" hidden="0" customWidth="1"/>
    <x:col min="4" max="4" width="7" hidden="0" customWidth="1"/>
    <x:col min="5" max="5" width="13" hidden="0" customWidth="1"/>
    <x:col min="6" max="6" width="13" hidden="0" customWidth="1"/>
    <x:col min="7" max="7" width="23" hidden="0" customWidth="1"/>
    <x:col min="8" max="8" width="14" hidden="0" customWidth="1"/>
    <x:col min="9" max="9" width="15" hidden="0" customWidth="1"/>
    <x:col min="10" max="10" width="20" hidden="0" customWidth="1"/>
    <x:col min="11" max="11" width="12" hidden="0" customWidth="1"/>
    <x:col min="12" max="12" width="10" hidden="0" customWidth="1"/>
    <x:col min="13" max="13" width="22" hidden="0" customWidth="1"/>
    <x:col min="14" max="14" width="13" hidden="0" customWidth="1"/>
    <x:col min="15" max="15" width="12" hidden="0" customWidth="1"/>
    <x:col min="16" max="16" width="12" hidden="0" customWidth="1"/>
    <x:col min="17" max="17" width="13" hidden="0" customWidth="1"/>
    <x:col min="18" max="18" width="13" hidden="0" customWidth="1"/>
    <x:col min="19" max="19" width="11" hidden="0" customWidth="1"/>
    <x:col min="20" max="20" width="24" hidden="0" customWidth="1"/>
    <x:col min="21" max="21" width="13" hidden="0" customWidth="1"/>
    <x:col min="22" max="22" width="12" hidden="0" customWidth="1"/>
    <x:col min="23" max="23" width="12" hidden="0" customWidth="1"/>
    <x:col min="24" max="24" width="13" hidden="0" customWidth="1"/>
    <x:col min="25" max="25" width="13" hidden="0" customWidth="1"/>
    <x:col min="26" max="26" width="11" hidden="0" customWidth="1"/>
    <x:col min="27" max="27" width="24" hidden="0" customWidth="1"/>
    <x:col min="28" max="28" width="13" hidden="0" customWidth="1"/>
    <x:col min="29" max="29" width="20" hidden="0" customWidth="1"/>
    <x:col min="30" max="30" width="18" hidden="0" customWidth="1"/>
    <x:col min="31" max="31" width="13" hidden="0" customWidth="1"/>
    <x:col min="32" max="32" width="12" hidden="0" customWidth="1"/>
    <x:col min="33" max="33" width="48" hidden="0" customWidth="1"/>
    <x:col min="34" max="34" width="31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21" hidden="0" customWidth="1"/>
    <x:col min="43" max="43" width="21" hidden="0" customWidth="1"/>
    <x:col min="44" max="44" width="23" hidden="0" customWidth="1"/>
    <x:col min="45" max="45" width="23" hidden="0" customWidth="1"/>
    <x:col min="46" max="46" width="17" hidden="0" customWidth="1"/>
    <x:col min="47" max="47" width="17" hidden="0" customWidth="1"/>
    <x:col min="48" max="48" width="18" hidden="0" customWidth="1"/>
    <x:col min="49" max="49" width="20" hidden="0" customWidth="1"/>
  </x:cols>
  <x:sheetData>
    <x:row r="1">
      <x:c r="A1" s="39"/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  <x:c r="AA1" s="39"/>
      <x:c r="AB1" s="39"/>
      <x:c r="AC1" s="39"/>
      <x:c r="AD1" s="39"/>
      <x:c r="AE1" s="39"/>
      <x:c r="AF1" s="39"/>
      <x:c r="AG1" s="39"/>
      <x:c r="AH1" s="39"/>
    </x:row>
    <x:row r="2" ht="22" customHeight="1">
      <x:c r="A2" s="1" t="str">
        <x:v>양단 접근부 사람 검수 대장</x:v>
      </x:c>
    </x:row>
    <x:row r="3" ht="22" customHeight="1">
      <x:c r="A3" s="2" t="str">
        <x:v>통합검수 v2 · AI:AK열에서 두 지도 열기 · 영상 근거에 출처별 관찰, 기존 노란 칸에 사람 최종 판정 입력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  <x:c r="AA4" s="3"/>
      <x:c r="AB4" s="3"/>
      <x:c r="AC4" s="3"/>
      <x:c r="AD4" s="3"/>
      <x:c r="AE4" s="3"/>
      <x:c r="AF4" s="3"/>
      <x:c r="AG4" s="3"/>
      <x:c r="AH4" s="3"/>
    </x:row>
    <x:row r="5">
      <x:c r="A5" s="2" t="str">
        <x:v>AI 후보와 다른 사람의 결과를 가리고 독립 판독합니다. 채택 영상은 AL:AM열, 선택 이유는 기존 메모 1·2에 기록합니다.</x:v>
      </x:c>
    </x:row>
    <x:row r="6" ht="32" customHeight="1">
      <x:c r="A6" s="12" t="str">
        <x:v>접근부 ID</x:v>
      </x:c>
      <x:c r="B6" s="34" t="str">
        <x:v>표본 ID</x:v>
      </x:c>
      <x:c r="C6" s="34" t="str">
        <x:v>관리번호</x:v>
      </x:c>
      <x:c r="D6" s="34" t="str">
        <x:v>측면</x:v>
      </x:c>
      <x:c r="E6" s="34" t="str">
        <x:v>위도</x:v>
      </x:c>
      <x:c r="F6" s="34" t="str">
        <x:v>경도</x:v>
      </x:c>
      <x:c r="G6" s="34" t="str">
        <x:v>공공 상태</x:v>
      </x:c>
      <x:c r="H6" s="34" t="str">
        <x:v>보도턱(원자료)</x:v>
      </x:c>
      <x:c r="I6" s="34" t="str">
        <x:v>점자블록(원자료)</x:v>
      </x:c>
      <x:c r="J6" s="34" t="str">
        <x:v>지오메트리 품질</x:v>
      </x:c>
      <x:c r="K6" s="34" t="str">
        <x:v>도로 스냅(m)</x:v>
      </x:c>
      <x:c r="L6" s="34" t="str">
        <x:v>2인 검수</x:v>
      </x:c>
      <x:c r="M6" s="34" t="str">
        <x:v>검수 상태</x:v>
      </x:c>
      <x:c r="N6" s="34" t="str">
        <x:v>검수자 1</x:v>
      </x:c>
      <x:c r="O6" s="34" t="str">
        <x:v>검수일 1</x:v>
      </x:c>
      <x:c r="P6" s="34" t="str">
        <x:v>보도턱 1</x:v>
      </x:c>
      <x:c r="Q6" s="34" t="str">
        <x:v>점자블록 1</x:v>
      </x:c>
      <x:c r="R6" s="34" t="str">
        <x:v>장애물 1</x:v>
      </x:c>
      <x:c r="S6" s="34" t="str">
        <x:v>결과 1</x:v>
      </x:c>
      <x:c r="T6" s="34" t="str">
        <x:v>메모 1</x:v>
      </x:c>
      <x:c r="U6" s="34" t="str">
        <x:v>검수자 2</x:v>
      </x:c>
      <x:c r="V6" s="34" t="str">
        <x:v>검수일 2</x:v>
      </x:c>
      <x:c r="W6" s="34" t="str">
        <x:v>보도턱 2</x:v>
      </x:c>
      <x:c r="X6" s="34" t="str">
        <x:v>점자블록 2</x:v>
      </x:c>
      <x:c r="Y6" s="34" t="str">
        <x:v>장애물 2</x:v>
      </x:c>
      <x:c r="Z6" s="34" t="str">
        <x:v>결과 2</x:v>
      </x:c>
      <x:c r="AA6" s="34" t="str">
        <x:v>메모 2</x:v>
      </x:c>
      <x:c r="AB6" s="34" t="str">
        <x:v>최종 조정</x:v>
      </x:c>
      <x:c r="AC6" s="34" t="str">
        <x:v>AI 후보</x:v>
      </x:c>
      <x:c r="AD6" s="34" t="str">
        <x:v>검수 우선순위 점수(규칙값)</x:v>
      </x:c>
      <x:c r="AE6" s="34" t="str">
        <x:v>AI 사람승인</x:v>
      </x:c>
      <x:c r="AF6" s="34" t="str">
        <x:v>근거일</x:v>
      </x:c>
      <x:c r="AG6" s="34" t="str">
        <x:v>로드뷰</x:v>
      </x:c>
      <x:c r="AH6" s="13" t="str">
        <x:v>원자료 범위</x:v>
      </x:c>
      <x:c r="AI6" s="78" t="str">
        <x:v>네이버 열기</x:v>
      </x:c>
      <x:c r="AJ6" s="79" t="str">
        <x:v>카카오 고정뷰</x:v>
      </x:c>
      <x:c r="AK6" s="79" t="str">
        <x:v>영상 근거 보기</x:v>
      </x:c>
      <x:c r="AL6" s="79" t="str">
        <x:v>채택 영상 1</x:v>
      </x:c>
      <x:c r="AM6" s="79" t="str">
        <x:v>채택 영상 2</x:v>
      </x:c>
      <x:c r="AN6" s="79" t="str">
        <x:v>교차 상태 1</x:v>
      </x:c>
      <x:c r="AO6" s="79" t="str">
        <x:v>교차 상태 2</x:v>
      </x:c>
      <x:c r="AP6" s="79" t="str">
        <x:v>네이버 추가정보 1</x:v>
      </x:c>
      <x:c r="AQ6" s="80" t="str">
        <x:v>네이버 추가정보 2</x:v>
      </x:c>
      <x:c r="AR6" s="197" t="str">
        <x:v>휠체어 후보</x:v>
      </x:c>
      <x:c r="AS6" s="198" t="str">
        <x:v>시각장애 후보</x:v>
      </x:c>
      <x:c r="AT6" s="198" t="str">
        <x:v>위치보정 상태</x:v>
      </x:c>
      <x:c r="AU6" s="198" t="str">
        <x:v>근거 수준</x:v>
      </x:c>
      <x:c r="AV6" s="198" t="str">
        <x:v>경로 반영 가능</x:v>
      </x:c>
      <x:c r="AW6" s="199" t="str">
        <x:v>제출 상태</x:v>
      </x:c>
    </x:row>
    <x:row r="7" ht="34" customHeight="1">
      <x:c r="A7" s="26" t="str">
        <x:v>CW01-A</x:v>
      </x:c>
      <x:c r="B7" s="26" t="str">
        <x:v>CW01</x:v>
      </x:c>
      <x:c r="C7" s="26" t="str">
        <x:v>2024121199</x:v>
      </x:c>
      <x:c r="D7" s="26" t="str">
        <x:v>A</x:v>
      </x:c>
      <x:c r="E7" s="47" t="n">
        <x:v>37.40240149538004</x:v>
      </x:c>
      <x:c r="F7" s="47" t="n">
        <x:v>126.92264614190194</x:v>
      </x:c>
      <x:c r="G7" s="26" t="str">
        <x:v>unknown</x:v>
      </x:c>
      <x:c r="H7" s="26" t="str"/>
      <x:c r="I7" s="26" t="str"/>
      <x:c r="J7" s="26" t="str">
        <x:v>provisional_high</x:v>
      </x:c>
      <x:c r="K7" s="49" t="n">
        <x:v>5.35</x:v>
      </x:c>
      <x:c r="L7" s="26" t="str">
        <x:v>Y</x:v>
      </x:c>
      <x:c r="M7" s="32" t="str">
        <x:f>IF(S7="","pending_1st_review",IF(L7="Y",IF(Z7="","pending_2nd_review",IF(S7=Z7,"reviewed_agree",IF(AB7="","needs_adjudication","adjudicated"))),"reviewed_once"))</x:f>
        <x:v>pending_1st_review</x:v>
      </x:c>
      <x:c r="N7" s="45" t="str"/>
      <x:c r="O7" s="52" t="str"/>
      <x:c r="P7" s="45" t="str"/>
      <x:c r="Q7" s="45" t="str"/>
      <x:c r="R7" s="45" t="str"/>
      <x:c r="S7" s="45" t="str"/>
      <x:c r="T7" s="45" t="str"/>
      <x:c r="U7" s="45" t="str"/>
      <x:c r="V7" s="52" t="str"/>
      <x:c r="W7" s="45" t="str"/>
      <x:c r="X7" s="45" t="str"/>
      <x:c r="Y7" s="45" t="str"/>
      <x:c r="Z7" s="45" t="str"/>
      <x:c r="AA7" s="45" t="str"/>
      <x:c r="AB7" s="45" t="str"/>
      <x:c r="AC7" s="45" t="str">
        <x:v>tactile_absent_candidate</x:v>
      </x:c>
      <x:c r="AD7" s="50" t="n">
        <x:v>0.76</x:v>
      </x:c>
      <x:c r="AE7" s="45" t="str"/>
      <x:c r="AF7" s="52" t="str">
        <x:v>2025-11-17 14:28:24</x:v>
      </x:c>
      <x:c r="AG7" s="26" t="str">
        <x:v>https://map.kakao.com/link/roadview/37.4024015,126.9226461</x:v>
      </x:c>
      <x:c r="AH7" s="26" t="str">
        <x:v>asset_level_inherited_not_endpoint_verified</x:v>
      </x:c>
      <x:c r="AI7" s="105" t="e">
        <x:f>HYPERLINK(IF(INDEX('영상 근거'!$F$7:$F$166,MATCH($A7&amp;"-N",'영상 근거'!$A$7:$A$166,0))=0,INDEX('영상 근거'!$Q$7:$Q$166,MATCH($A7&amp;"-N",'영상 근거'!$A$7:$A$166,0)),INDEX('영상 근거'!$F$7:$F$166,MATCH($A7&amp;"-N",'영상 근거'!$A$7:$A$166,0))),IF(INDEX('영상 근거'!$F$7:$F$166,MATCH($A7&amp;"-N",'영상 근거'!$A$7:$A$166,0))=0,"네이버 위치","네이버 거리뷰"))</x:f>
        <x:v>HYPERLINK is not implemented. linkLocation=https://map.naver.com/p/entry/coordinates/3zfl93,2AFa5V?c=15.00,0,0,0,dh, friendlyName=네이버 위치</x:v>
      </x:c>
      <x:c r="AJ7" s="105" t="e">
        <x:f>HYPERLINK(IF(INDEX('영상 근거'!$F$7:$F$166,MATCH($A7&amp;"-K",'영상 근거'!$A$7:$A$166,0))=0,INDEX('영상 근거'!$Q$7:$Q$166,MATCH($A7&amp;"-K",'영상 근거'!$A$7:$A$166,0)),INDEX('영상 근거'!$F$7:$F$166,MATCH($A7&amp;"-K",'영상 근거'!$A$7:$A$166,0))),"카카오 거리뷰")</x:f>
        <x:v>HYPERLINK is not implemented. linkLocation=https://map.kakao.com/?panoid=1202971200&amp;pan=327.8&amp;zoom=0&amp;map_type=TYPE_MAP&amp;map_attribute=ROADVIEW&amp;urlX=482904.0&amp;urlY=1084204.0, friendlyName=카카오 거리뷰</x:v>
      </x:c>
      <x:c r="AK7" s="105" t="e">
        <x:f>HYPERLINK("#'영상 근거'!A"&amp;(MATCH($A7&amp;"-N",'영상 근거'!$A$7:$A$166,0)+6),"두 영상 기록")</x:f>
        <x:v>HYPERLINK is not implemented. linkLocation=#'영상 근거'!A7, friendlyName=두 영상 기록</x:v>
      </x:c>
      <x:c r="AL7" s="106"/>
      <x:c r="AM7" s="106"/>
      <x:c r="AN7" s="67" t="str">
        <x:f>IF(COUNTIFS('영상 근거'!$B$7:$B$166,$A7,'영상 근거'!$H$7:$H$166,"pass")+COUNTIFS('영상 근거'!$B$7:$B$166,$A7,'영상 근거'!$H$7:$H$166,"block")+COUNTIFS('영상 근거'!$B$7:$B$166,$A7,'영상 근거'!$H$7:$H$166,"unknown")&lt;2,"미입력",IF(COUNTIFS('영상 근거'!$B$7:$B$166,$A7,'영상 근거'!$H$7:$H$166,"pass")=2,"pass 일치",IF(COUNTIFS('영상 근거'!$B$7:$B$166,$A7,'영상 근거'!$H$7:$H$166,"block")=2,"block 일치",IF(COUNTIFS('영상 근거'!$B$7:$B$166,$A7,'영상 근거'!$H$7:$H$166,"unknown")=2,"모두 unknown",IF(AND(COUNTIFS('영상 근거'!$B$7:$B$166,$A7,'영상 근거'!$H$7:$H$166,"pass")=1,COUNTIFS('영상 근거'!$B$7:$B$166,$A7,'영상 근거'!$H$7:$H$166,"block")=1),"불일치","한쪽 unknown")))))</x:f>
        <x:v>미입력</x:v>
      </x:c>
      <x:c r="AO7" s="67" t="str">
        <x:f>IF(COUNTIFS('영상 근거'!$B$7:$B$166,$A7,'영상 근거'!$K$7:$K$166,"pass")+COUNTIFS('영상 근거'!$B$7:$B$166,$A7,'영상 근거'!$K$7:$K$166,"block")+COUNTIFS('영상 근거'!$B$7:$B$166,$A7,'영상 근거'!$K$7:$K$166,"unknown")&lt;2,"미입력",IF(COUNTIFS('영상 근거'!$B$7:$B$166,$A7,'영상 근거'!$K$7:$K$166,"pass")=2,"pass 일치",IF(COUNTIFS('영상 근거'!$B$7:$B$166,$A7,'영상 근거'!$K$7:$K$166,"block")=2,"block 일치",IF(COUNTIFS('영상 근거'!$B$7:$B$166,$A7,'영상 근거'!$K$7:$K$166,"unknown")=2,"모두 unknown",IF(AND(COUNTIFS('영상 근거'!$B$7:$B$166,$A7,'영상 근거'!$K$7:$K$166,"pass")=1,COUNTIFS('영상 근거'!$B$7:$B$166,$A7,'영상 근거'!$K$7:$K$166,"block")=1),"불일치","한쪽 unknown")))))</x:f>
        <x:v>미입력</x:v>
      </x:c>
      <x:c r="AP7" s="106"/>
      <x:c r="AQ7" s="106"/>
      <x:c r="AR7" s="109" t="str">
        <x:v>점자 사유 차단 아님</x:v>
      </x:c>
      <x:c r="AS7" s="109" t="str">
        <x:v>점자 유도 결함 후보</x:v>
      </x:c>
      <x:c r="AT7" s="109" t="str">
        <x:v>보정 비대상</x:v>
      </x:c>
      <x:c r="AU7" s="162" t="str">
        <x:v>AI candidate</x:v>
      </x:c>
      <x:c r="AV7" s="162" t="str">
        <x:v>N</x:v>
      </x:c>
      <x:c r="AW7" s="206" t="str">
        <x:v>사람검수 대기</x:v>
      </x:c>
    </x:row>
    <x:row r="8" ht="34" customHeight="1">
      <x:c r="A8" s="28" t="str">
        <x:v>CW01-B</x:v>
      </x:c>
      <x:c r="B8" s="28" t="str">
        <x:v>CW01</x:v>
      </x:c>
      <x:c r="C8" s="28" t="str">
        <x:v>2024121199</x:v>
      </x:c>
      <x:c r="D8" s="28" t="str">
        <x:v>B</x:v>
      </x:c>
      <x:c r="E8" s="48" t="n">
        <x:v>37.40244836461997</x:v>
      </x:c>
      <x:c r="F8" s="48" t="n">
        <x:v>126.92273045809807</x:v>
      </x:c>
      <x:c r="G8" s="28" t="str">
        <x:v>unknown</x:v>
      </x:c>
      <x:c r="H8" s="28" t="str"/>
      <x:c r="I8" s="28" t="str"/>
      <x:c r="J8" s="28" t="str">
        <x:v>provisional_high</x:v>
      </x:c>
      <x:c r="K8" s="30" t="n">
        <x:v>5.35</x:v>
      </x:c>
      <x:c r="L8" s="28" t="str">
        <x:v>Y</x:v>
      </x:c>
      <x:c r="M8" s="33" t="str">
        <x:f>IF(S8="","pending_1st_review",IF(L8="Y",IF(Z8="","pending_2nd_review",IF(S8=Z8,"reviewed_agree",IF(AB8="","needs_adjudication","adjudicated"))),"reviewed_once"))</x:f>
        <x:v>pending_1st_review</x:v>
      </x:c>
      <x:c r="N8" s="46" t="str"/>
      <x:c r="O8" s="53" t="str"/>
      <x:c r="P8" s="46" t="str"/>
      <x:c r="Q8" s="46" t="str"/>
      <x:c r="R8" s="46" t="str"/>
      <x:c r="S8" s="46" t="str"/>
      <x:c r="T8" s="46" t="str"/>
      <x:c r="U8" s="46" t="str"/>
      <x:c r="V8" s="53" t="str"/>
      <x:c r="W8" s="46" t="str"/>
      <x:c r="X8" s="46" t="str"/>
      <x:c r="Y8" s="46" t="str"/>
      <x:c r="Z8" s="46" t="str"/>
      <x:c r="AA8" s="46" t="str"/>
      <x:c r="AB8" s="46" t="str"/>
      <x:c r="AC8" s="46" t="str">
        <x:v>visibility_review_needed</x:v>
      </x:c>
      <x:c r="AD8" s="51" t="n">
        <x:v>0.52</x:v>
      </x:c>
      <x:c r="AE8" s="46" t="str"/>
      <x:c r="AF8" s="53" t="str">
        <x:v>2025-11-17 14:28:24</x:v>
      </x:c>
      <x:c r="AG8" s="28" t="str">
        <x:v>https://map.kakao.com/link/roadview/37.4024484,126.9227305</x:v>
      </x:c>
      <x:c r="AH8" s="28" t="str">
        <x:v>asset_level_inherited_not_endpoint_verified</x:v>
      </x:c>
      <x:c r="AI8" s="105" t="e">
        <x:f>HYPERLINK(IF(INDEX('영상 근거'!$F$7:$F$166,MATCH($A8&amp;"-N",'영상 근거'!$A$7:$A$166,0))=0,INDEX('영상 근거'!$Q$7:$Q$166,MATCH($A8&amp;"-N",'영상 근거'!$A$7:$A$166,0)),INDEX('영상 근거'!$F$7:$F$166,MATCH($A8&amp;"-N",'영상 근거'!$A$7:$A$166,0))),IF(INDEX('영상 근거'!$F$7:$F$166,MATCH($A8&amp;"-N",'영상 근거'!$A$7:$A$166,0))=0,"네이버 위치","네이버 거리뷰"))</x:f>
        <x:v>HYPERLINK is not implemented. linkLocation=https://map.naver.com/p/entry/coordinates/3zflmF,2AFadu?c=15.00,0,0,0,dh, friendlyName=네이버 위치</x:v>
      </x:c>
      <x:c r="AJ8" s="105" t="e">
        <x:f>HYPERLINK(IF(INDEX('영상 근거'!$F$7:$F$166,MATCH($A8&amp;"-K",'영상 근거'!$A$7:$A$166,0))=0,INDEX('영상 근거'!$Q$7:$Q$166,MATCH($A8&amp;"-K",'영상 근거'!$A$7:$A$166,0)),INDEX('영상 근거'!$F$7:$F$166,MATCH($A8&amp;"-K",'영상 근거'!$A$7:$A$166,0))),"카카오 거리뷰")</x:f>
        <x:v>HYPERLINK is not implemented. linkLocation=https://map.kakao.com/?panoid=1202971200&amp;pan=327.8&amp;zoom=0&amp;map_type=TYPE_MAP&amp;map_attribute=ROADVIEW&amp;urlX=482904.0&amp;urlY=1084204.0, friendlyName=카카오 거리뷰</x:v>
      </x:c>
      <x:c r="AK8" s="105" t="e">
        <x:f>HYPERLINK("#'영상 근거'!A"&amp;(MATCH($A8&amp;"-N",'영상 근거'!$A$7:$A$166,0)+6),"두 영상 기록")</x:f>
        <x:v>HYPERLINK is not implemented. linkLocation=#'영상 근거'!A9, friendlyName=두 영상 기록</x:v>
      </x:c>
      <x:c r="AL8" s="106"/>
      <x:c r="AM8" s="106"/>
      <x:c r="AN8" s="67" t="str">
        <x:f>IF(COUNTIFS('영상 근거'!$B$7:$B$166,$A8,'영상 근거'!$H$7:$H$166,"pass")+COUNTIFS('영상 근거'!$B$7:$B$166,$A8,'영상 근거'!$H$7:$H$166,"block")+COUNTIFS('영상 근거'!$B$7:$B$166,$A8,'영상 근거'!$H$7:$H$166,"unknown")&lt;2,"미입력",IF(COUNTIFS('영상 근거'!$B$7:$B$166,$A8,'영상 근거'!$H$7:$H$166,"pass")=2,"pass 일치",IF(COUNTIFS('영상 근거'!$B$7:$B$166,$A8,'영상 근거'!$H$7:$H$166,"block")=2,"block 일치",IF(COUNTIFS('영상 근거'!$B$7:$B$166,$A8,'영상 근거'!$H$7:$H$166,"unknown")=2,"모두 unknown",IF(AND(COUNTIFS('영상 근거'!$B$7:$B$166,$A8,'영상 근거'!$H$7:$H$166,"pass")=1,COUNTIFS('영상 근거'!$B$7:$B$166,$A8,'영상 근거'!$H$7:$H$166,"block")=1),"불일치","한쪽 unknown")))))</x:f>
        <x:v>미입력</x:v>
      </x:c>
      <x:c r="AO8" s="67" t="str">
        <x:f>IF(COUNTIFS('영상 근거'!$B$7:$B$166,$A8,'영상 근거'!$K$7:$K$166,"pass")+COUNTIFS('영상 근거'!$B$7:$B$166,$A8,'영상 근거'!$K$7:$K$166,"block")+COUNTIFS('영상 근거'!$B$7:$B$166,$A8,'영상 근거'!$K$7:$K$166,"unknown")&lt;2,"미입력",IF(COUNTIFS('영상 근거'!$B$7:$B$166,$A8,'영상 근거'!$K$7:$K$166,"pass")=2,"pass 일치",IF(COUNTIFS('영상 근거'!$B$7:$B$166,$A8,'영상 근거'!$K$7:$K$166,"block")=2,"block 일치",IF(COUNTIFS('영상 근거'!$B$7:$B$166,$A8,'영상 근거'!$K$7:$K$166,"unknown")=2,"모두 unknown",IF(AND(COUNTIFS('영상 근거'!$B$7:$B$166,$A8,'영상 근거'!$K$7:$K$166,"pass")=1,COUNTIFS('영상 근거'!$B$7:$B$166,$A8,'영상 근거'!$K$7:$K$166,"block")=1),"불일치","한쪽 unknown")))))</x:f>
        <x:v>미입력</x:v>
      </x:c>
      <x:c r="AP8" s="106"/>
      <x:c r="AQ8" s="106"/>
      <x:c r="AR8" s="109" t="str">
        <x:v>시야 부족·판독보류</x:v>
      </x:c>
      <x:c r="AS8" s="109" t="str">
        <x:v>시야 부족·판독보류</x:v>
      </x:c>
      <x:c r="AT8" s="109" t="str">
        <x:v>보정 비대상</x:v>
      </x:c>
      <x:c r="AU8" s="162" t="str">
        <x:v>AI candidate</x:v>
      </x:c>
      <x:c r="AV8" s="162" t="str">
        <x:v>N</x:v>
      </x:c>
      <x:c r="AW8" s="206" t="str">
        <x:v>사람검수 대기</x:v>
      </x:c>
    </x:row>
    <x:row r="9" ht="34" customHeight="1">
      <x:c r="A9" s="28" t="str">
        <x:v>CW02-A</x:v>
      </x:c>
      <x:c r="B9" s="28" t="str">
        <x:v>CW02</x:v>
      </x:c>
      <x:c r="C9" s="28" t="str">
        <x:v>2024121207</x:v>
      </x:c>
      <x:c r="D9" s="28" t="str">
        <x:v>A</x:v>
      </x:c>
      <x:c r="E9" s="48" t="n">
        <x:v>37.402241089845866</x:v>
      </x:c>
      <x:c r="F9" s="48" t="n">
        <x:v>126.9216533145511</x:v>
      </x:c>
      <x:c r="G9" s="28" t="str">
        <x:v>unknown</x:v>
      </x:c>
      <x:c r="H9" s="28" t="str"/>
      <x:c r="I9" s="28" t="str"/>
      <x:c r="J9" s="28" t="str">
        <x:v>provisional_high</x:v>
      </x:c>
      <x:c r="K9" s="30" t="n">
        <x:v>0.64</x:v>
      </x:c>
      <x:c r="L9" s="28" t="str">
        <x:v>N</x:v>
      </x:c>
      <x:c r="M9" s="33" t="str">
        <x:f>IF(S9="","pending_1st_review",IF(L9="Y",IF(Z9="","pending_2nd_review",IF(S9=Z9,"reviewed_agree",IF(AB9="","needs_adjudication","adjudicated"))),"reviewed_once"))</x:f>
        <x:v>pending_1st_review</x:v>
      </x:c>
      <x:c r="N9" s="46" t="str"/>
      <x:c r="O9" s="53" t="str"/>
      <x:c r="P9" s="46" t="str"/>
      <x:c r="Q9" s="46" t="str"/>
      <x:c r="R9" s="46" t="str"/>
      <x:c r="S9" s="46" t="str"/>
      <x:c r="T9" s="46" t="str"/>
      <x:c r="U9" s="46" t="str"/>
      <x:c r="V9" s="53" t="str"/>
      <x:c r="W9" s="46" t="str"/>
      <x:c r="X9" s="46" t="str"/>
      <x:c r="Y9" s="46" t="str"/>
      <x:c r="Z9" s="46" t="str"/>
      <x:c r="AA9" s="46" t="str"/>
      <x:c r="AB9" s="46" t="str"/>
      <x:c r="AC9" s="46" t="str">
        <x:v>geometry_mismatch_candidate</x:v>
      </x:c>
      <x:c r="AD9" s="51" t="n">
        <x:v>0.58</x:v>
      </x:c>
      <x:c r="AE9" s="46" t="str"/>
      <x:c r="AF9" s="53" t="str">
        <x:v>2025-12-01 13:09:30</x:v>
      </x:c>
      <x:c r="AG9" s="28" t="str">
        <x:v>https://map.kakao.com/link/roadview/37.4022411,126.9216533</x:v>
      </x:c>
      <x:c r="AH9" s="28" t="str">
        <x:v>asset_level_inherited_not_endpoint_verified</x:v>
      </x:c>
      <x:c r="AI9" s="105" t="e">
        <x:f>HYPERLINK(IF(INDEX('영상 근거'!$F$7:$F$166,MATCH($A9&amp;"-N",'영상 근거'!$A$7:$A$166,0))=0,INDEX('영상 근거'!$Q$7:$Q$166,MATCH($A9&amp;"-N",'영상 근거'!$A$7:$A$166,0)),INDEX('영상 근거'!$F$7:$F$166,MATCH($A9&amp;"-N",'영상 근거'!$A$7:$A$166,0))),IF(INDEX('영상 근거'!$F$7:$F$166,MATCH($A9&amp;"-N",'영상 근거'!$A$7:$A$166,0))=0,"네이버 위치","네이버 거리뷰"))</x:f>
        <x:v>HYPERLINK is not implemented. linkLocation=https://map.naver.com/p/entry/coordinates/3zfiyV,2AF9G3?c=15.00,0,0,0,dh, friendlyName=네이버 위치</x:v>
      </x:c>
      <x:c r="AJ9" s="105" t="e">
        <x:f>HYPERLINK(IF(INDEX('영상 근거'!$F$7:$F$166,MATCH($A9&amp;"-K",'영상 근거'!$A$7:$A$166,0))=0,INDEX('영상 근거'!$Q$7:$Q$166,MATCH($A9&amp;"-K",'영상 근거'!$A$7:$A$166,0)),INDEX('영상 근거'!$F$7:$F$166,MATCH($A9&amp;"-K",'영상 근거'!$A$7:$A$166,0))),"카카오 거리뷰")</x:f>
        <x:v>HYPERLINK is not implemented. linkLocation=https://map.kakao.com/?panoid=1203476225&amp;pan=326.4&amp;zoom=0&amp;map_type=TYPE_MAP&amp;map_attribute=ROADVIEW&amp;urlX=482616.0&amp;urlY=1084126.0, friendlyName=카카오 거리뷰</x:v>
      </x:c>
      <x:c r="AK9" s="105" t="e">
        <x:f>HYPERLINK("#'영상 근거'!A"&amp;(MATCH($A9&amp;"-N",'영상 근거'!$A$7:$A$166,0)+6),"두 영상 기록")</x:f>
        <x:v>HYPERLINK is not implemented. linkLocation=#'영상 근거'!A11, friendlyName=두 영상 기록</x:v>
      </x:c>
      <x:c r="AL9" s="106"/>
      <x:c r="AM9" s="106"/>
      <x:c r="AN9" s="67" t="str">
        <x:f>IF(COUNTIFS('영상 근거'!$B$7:$B$166,$A9,'영상 근거'!$H$7:$H$166,"pass")+COUNTIFS('영상 근거'!$B$7:$B$166,$A9,'영상 근거'!$H$7:$H$166,"block")+COUNTIFS('영상 근거'!$B$7:$B$166,$A9,'영상 근거'!$H$7:$H$166,"unknown")&lt;2,"미입력",IF(COUNTIFS('영상 근거'!$B$7:$B$166,$A9,'영상 근거'!$H$7:$H$166,"pass")=2,"pass 일치",IF(COUNTIFS('영상 근거'!$B$7:$B$166,$A9,'영상 근거'!$H$7:$H$166,"block")=2,"block 일치",IF(COUNTIFS('영상 근거'!$B$7:$B$166,$A9,'영상 근거'!$H$7:$H$166,"unknown")=2,"모두 unknown",IF(AND(COUNTIFS('영상 근거'!$B$7:$B$166,$A9,'영상 근거'!$H$7:$H$166,"pass")=1,COUNTIFS('영상 근거'!$B$7:$B$166,$A9,'영상 근거'!$H$7:$H$166,"block")=1),"불일치","한쪽 unknown")))))</x:f>
        <x:v>미입력</x:v>
      </x:c>
      <x:c r="AO9" s="67" t="str">
        <x:f>IF(COUNTIFS('영상 근거'!$B$7:$B$166,$A9,'영상 근거'!$K$7:$K$166,"pass")+COUNTIFS('영상 근거'!$B$7:$B$166,$A9,'영상 근거'!$K$7:$K$166,"block")+COUNTIFS('영상 근거'!$B$7:$B$166,$A9,'영상 근거'!$K$7:$K$166,"unknown")&lt;2,"미입력",IF(COUNTIFS('영상 근거'!$B$7:$B$166,$A9,'영상 근거'!$K$7:$K$166,"pass")=2,"pass 일치",IF(COUNTIFS('영상 근거'!$B$7:$B$166,$A9,'영상 근거'!$K$7:$K$166,"block")=2,"block 일치",IF(COUNTIFS('영상 근거'!$B$7:$B$166,$A9,'영상 근거'!$K$7:$K$166,"unknown")=2,"모두 unknown",IF(AND(COUNTIFS('영상 근거'!$B$7:$B$166,$A9,'영상 근거'!$K$7:$K$166,"pass")=1,COUNTIFS('영상 근거'!$B$7:$B$166,$A9,'영상 근거'!$K$7:$K$166,"block")=1),"불일치","한쪽 unknown")))))</x:f>
        <x:v>미입력</x:v>
      </x:c>
      <x:c r="AP9" s="106"/>
      <x:c r="AQ9" s="106"/>
      <x:c r="AR9" s="109" t="str">
        <x:v>위치 불일치·판독보류</x:v>
      </x:c>
      <x:c r="AS9" s="109" t="str">
        <x:v>위치 불일치·판독보류</x:v>
      </x:c>
      <x:c r="AT9" s="109" t="str">
        <x:v>보정 필요</x:v>
      </x:c>
      <x:c r="AU9" s="162" t="str">
        <x:v>AI candidate</x:v>
      </x:c>
      <x:c r="AV9" s="162" t="str">
        <x:v>N</x:v>
      </x:c>
      <x:c r="AW9" s="206" t="str">
        <x:v>사람검수 대기</x:v>
      </x:c>
    </x:row>
    <x:row r="10" ht="34" customHeight="1">
      <x:c r="A10" s="28" t="str">
        <x:v>CW02-B</x:v>
      </x:c>
      <x:c r="B10" s="28" t="str">
        <x:v>CW02</x:v>
      </x:c>
      <x:c r="C10" s="28" t="str">
        <x:v>2024121207</x:v>
      </x:c>
      <x:c r="D10" s="28" t="str">
        <x:v>B</x:v>
      </x:c>
      <x:c r="E10" s="48" t="n">
        <x:v>37.40226767015414</x:v>
      </x:c>
      <x:c r="F10" s="48" t="n">
        <x:v>126.92157948544892</x:v>
      </x:c>
      <x:c r="G10" s="28" t="str">
        <x:v>unknown</x:v>
      </x:c>
      <x:c r="H10" s="28" t="str"/>
      <x:c r="I10" s="28" t="str"/>
      <x:c r="J10" s="28" t="str">
        <x:v>provisional_high</x:v>
      </x:c>
      <x:c r="K10" s="30" t="n">
        <x:v>0.64</x:v>
      </x:c>
      <x:c r="L10" s="28" t="str">
        <x:v>N</x:v>
      </x:c>
      <x:c r="M10" s="33" t="str">
        <x:f>IF(S10="","pending_1st_review",IF(L10="Y",IF(Z10="","pending_2nd_review",IF(S10=Z10,"reviewed_agree",IF(AB10="","needs_adjudication","adjudicated"))),"reviewed_once"))</x:f>
        <x:v>pending_1st_review</x:v>
      </x:c>
      <x:c r="N10" s="46" t="str"/>
      <x:c r="O10" s="53" t="str"/>
      <x:c r="P10" s="46" t="str"/>
      <x:c r="Q10" s="46" t="str"/>
      <x:c r="R10" s="46" t="str"/>
      <x:c r="S10" s="46" t="str"/>
      <x:c r="T10" s="46" t="str"/>
      <x:c r="U10" s="46" t="str"/>
      <x:c r="V10" s="53" t="str"/>
      <x:c r="W10" s="46" t="str"/>
      <x:c r="X10" s="46" t="str"/>
      <x:c r="Y10" s="46" t="str"/>
      <x:c r="Z10" s="46" t="str"/>
      <x:c r="AA10" s="46" t="str"/>
      <x:c r="AB10" s="46" t="str"/>
      <x:c r="AC10" s="46" t="str">
        <x:v>geometry_mismatch_candidate</x:v>
      </x:c>
      <x:c r="AD10" s="51" t="n">
        <x:v>0.58</x:v>
      </x:c>
      <x:c r="AE10" s="46" t="str"/>
      <x:c r="AF10" s="53" t="str">
        <x:v>2025-12-01 13:09:30</x:v>
      </x:c>
      <x:c r="AG10" s="28" t="str">
        <x:v>https://map.kakao.com/link/roadview/37.4022677,126.9215795</x:v>
      </x:c>
      <x:c r="AH10" s="28" t="str">
        <x:v>asset_level_inherited_not_endpoint_verified</x:v>
      </x:c>
      <x:c r="AI10" s="105" t="e">
        <x:f>HYPERLINK(IF(INDEX('영상 근거'!$F$7:$F$166,MATCH($A10&amp;"-N",'영상 근거'!$A$7:$A$166,0))=0,INDEX('영상 근거'!$Q$7:$Q$166,MATCH($A10&amp;"-N",'영상 근거'!$A$7:$A$166,0)),INDEX('영상 근거'!$F$7:$F$166,MATCH($A10&amp;"-N",'영상 근거'!$A$7:$A$166,0))),IF(INDEX('영상 근거'!$F$7:$F$166,MATCH($A10&amp;"-N",'영상 근거'!$A$7:$A$166,0))=0,"네이버 위치","네이버 거리뷰"))</x:f>
        <x:v>HYPERLINK is not implemented. linkLocation=https://map.naver.com/p/entry/coordinates/3zfin1,2AF9Kl?c=15.00,0,0,0,dh, friendlyName=네이버 위치</x:v>
      </x:c>
      <x:c r="AJ10" s="105" t="e">
        <x:f>HYPERLINK(IF(INDEX('영상 근거'!$F$7:$F$166,MATCH($A10&amp;"-K",'영상 근거'!$A$7:$A$166,0))=0,INDEX('영상 근거'!$Q$7:$Q$166,MATCH($A10&amp;"-K",'영상 근거'!$A$7:$A$166,0)),INDEX('영상 근거'!$F$7:$F$166,MATCH($A10&amp;"-K",'영상 근거'!$A$7:$A$166,0))),"카카오 거리뷰")</x:f>
        <x:v>HYPERLINK is not implemented. linkLocation=https://map.kakao.com/?panoid=1203476225&amp;pan=326.4&amp;zoom=0&amp;map_type=TYPE_MAP&amp;map_attribute=ROADVIEW&amp;urlX=482616.0&amp;urlY=1084126.0, friendlyName=카카오 거리뷰</x:v>
      </x:c>
      <x:c r="AK10" s="105" t="e">
        <x:f>HYPERLINK("#'영상 근거'!A"&amp;(MATCH($A10&amp;"-N",'영상 근거'!$A$7:$A$166,0)+6),"두 영상 기록")</x:f>
        <x:v>HYPERLINK is not implemented. linkLocation=#'영상 근거'!A13, friendlyName=두 영상 기록</x:v>
      </x:c>
      <x:c r="AL10" s="106"/>
      <x:c r="AM10" s="106"/>
      <x:c r="AN10" s="67" t="str">
        <x:f>IF(COUNTIFS('영상 근거'!$B$7:$B$166,$A10,'영상 근거'!$H$7:$H$166,"pass")+COUNTIFS('영상 근거'!$B$7:$B$166,$A10,'영상 근거'!$H$7:$H$166,"block")+COUNTIFS('영상 근거'!$B$7:$B$166,$A10,'영상 근거'!$H$7:$H$166,"unknown")&lt;2,"미입력",IF(COUNTIFS('영상 근거'!$B$7:$B$166,$A10,'영상 근거'!$H$7:$H$166,"pass")=2,"pass 일치",IF(COUNTIFS('영상 근거'!$B$7:$B$166,$A10,'영상 근거'!$H$7:$H$166,"block")=2,"block 일치",IF(COUNTIFS('영상 근거'!$B$7:$B$166,$A10,'영상 근거'!$H$7:$H$166,"unknown")=2,"모두 unknown",IF(AND(COUNTIFS('영상 근거'!$B$7:$B$166,$A10,'영상 근거'!$H$7:$H$166,"pass")=1,COUNTIFS('영상 근거'!$B$7:$B$166,$A10,'영상 근거'!$H$7:$H$166,"block")=1),"불일치","한쪽 unknown")))))</x:f>
        <x:v>미입력</x:v>
      </x:c>
      <x:c r="AO10" s="67" t="str">
        <x:f>IF(COUNTIFS('영상 근거'!$B$7:$B$166,$A10,'영상 근거'!$K$7:$K$166,"pass")+COUNTIFS('영상 근거'!$B$7:$B$166,$A10,'영상 근거'!$K$7:$K$166,"block")+COUNTIFS('영상 근거'!$B$7:$B$166,$A10,'영상 근거'!$K$7:$K$166,"unknown")&lt;2,"미입력",IF(COUNTIFS('영상 근거'!$B$7:$B$166,$A10,'영상 근거'!$K$7:$K$166,"pass")=2,"pass 일치",IF(COUNTIFS('영상 근거'!$B$7:$B$166,$A10,'영상 근거'!$K$7:$K$166,"block")=2,"block 일치",IF(COUNTIFS('영상 근거'!$B$7:$B$166,$A10,'영상 근거'!$K$7:$K$166,"unknown")=2,"모두 unknown",IF(AND(COUNTIFS('영상 근거'!$B$7:$B$166,$A10,'영상 근거'!$K$7:$K$166,"pass")=1,COUNTIFS('영상 근거'!$B$7:$B$166,$A10,'영상 근거'!$K$7:$K$166,"block")=1),"불일치","한쪽 unknown")))))</x:f>
        <x:v>미입력</x:v>
      </x:c>
      <x:c r="AP10" s="106"/>
      <x:c r="AQ10" s="106"/>
      <x:c r="AR10" s="109" t="str">
        <x:v>위치 불일치·판독보류</x:v>
      </x:c>
      <x:c r="AS10" s="109" t="str">
        <x:v>위치 불일치·판독보류</x:v>
      </x:c>
      <x:c r="AT10" s="109" t="str">
        <x:v>보정 필요</x:v>
      </x:c>
      <x:c r="AU10" s="162" t="str">
        <x:v>AI candidate</x:v>
      </x:c>
      <x:c r="AV10" s="162" t="str">
        <x:v>N</x:v>
      </x:c>
      <x:c r="AW10" s="206" t="str">
        <x:v>사람검수 대기</x:v>
      </x:c>
    </x:row>
    <x:row r="11" ht="34" customHeight="1">
      <x:c r="A11" s="28" t="str">
        <x:v>CW03-A</x:v>
      </x:c>
      <x:c r="B11" s="28" t="str">
        <x:v>CW03</x:v>
      </x:c>
      <x:c r="C11" s="28" t="str">
        <x:v>2024121198</x:v>
      </x:c>
      <x:c r="D11" s="28" t="str">
        <x:v>A</x:v>
      </x:c>
      <x:c r="E11" s="48" t="n">
        <x:v>37.40300229204492</x:v>
      </x:c>
      <x:c r="F11" s="48" t="n">
        <x:v>126.92225900640435</x:v>
      </x:c>
      <x:c r="G11" s="28" t="str">
        <x:v>unknown</x:v>
      </x:c>
      <x:c r="H11" s="28" t="str"/>
      <x:c r="I11" s="28" t="str"/>
      <x:c r="J11" s="28" t="str">
        <x:v>provisional_high</x:v>
      </x:c>
      <x:c r="K11" s="30" t="n">
        <x:v>3.4</x:v>
      </x:c>
      <x:c r="L11" s="28" t="str">
        <x:v>Y</x:v>
      </x:c>
      <x:c r="M11" s="33" t="str">
        <x:f>IF(S11="","pending_1st_review",IF(L11="Y",IF(Z11="","pending_2nd_review",IF(S11=Z11,"reviewed_agree",IF(AB11="","needs_adjudication","adjudicated"))),"reviewed_once"))</x:f>
        <x:v>pending_1st_review</x:v>
      </x:c>
      <x:c r="N11" s="46" t="str"/>
      <x:c r="O11" s="53" t="str"/>
      <x:c r="P11" s="46" t="str"/>
      <x:c r="Q11" s="46" t="str"/>
      <x:c r="R11" s="46" t="str"/>
      <x:c r="S11" s="46" t="str"/>
      <x:c r="T11" s="46" t="str"/>
      <x:c r="U11" s="46" t="str"/>
      <x:c r="V11" s="53" t="str"/>
      <x:c r="W11" s="46" t="str"/>
      <x:c r="X11" s="46" t="str"/>
      <x:c r="Y11" s="46" t="str"/>
      <x:c r="Z11" s="46" t="str"/>
      <x:c r="AA11" s="46" t="str"/>
      <x:c r="AB11" s="46" t="str"/>
      <x:c r="AC11" s="46" t="str">
        <x:v>occlusion_review_needed</x:v>
      </x:c>
      <x:c r="AD11" s="51" t="n">
        <x:v>0.52</x:v>
      </x:c>
      <x:c r="AE11" s="46" t="str"/>
      <x:c r="AF11" s="53" t="str">
        <x:v>2025-11-17 14:28:34</x:v>
      </x:c>
      <x:c r="AG11" s="28" t="str">
        <x:v>https://map.kakao.com/link/roadview/37.4030023,126.9222590</x:v>
      </x:c>
      <x:c r="AH11" s="28" t="str">
        <x:v>asset_level_inherited_not_endpoint_verified</x:v>
      </x:c>
      <x:c r="AI11" s="105" t="e">
        <x:f>HYPERLINK(IF(INDEX('영상 근거'!$F$7:$F$166,MATCH($A11&amp;"-N",'영상 근거'!$A$7:$A$166,0))=0,INDEX('영상 근거'!$Q$7:$Q$166,MATCH($A11&amp;"-N",'영상 근거'!$A$7:$A$166,0)),INDEX('영상 근거'!$F$7:$F$166,MATCH($A11&amp;"-N",'영상 근거'!$A$7:$A$166,0))),IF(INDEX('영상 근거'!$F$7:$F$166,MATCH($A11&amp;"-N",'영상 근거'!$A$7:$A$166,0))=0,"네이버 위치","네이버 거리뷰"))</x:f>
        <x:v>HYPERLINK is not implemented. linkLocation=https://map.naver.com/p/entry/coordinates/3zfk8C,2AFbEP?c=15.00,0,0,0,dh, friendlyName=네이버 위치</x:v>
      </x:c>
      <x:c r="AJ11" s="105" t="e">
        <x:f>HYPERLINK(IF(INDEX('영상 근거'!$F$7:$F$166,MATCH($A11&amp;"-K",'영상 근거'!$A$7:$A$166,0))=0,INDEX('영상 근거'!$Q$7:$Q$166,MATCH($A11&amp;"-K",'영상 근거'!$A$7:$A$166,0)),INDEX('영상 근거'!$F$7:$F$166,MATCH($A11&amp;"-K",'영상 근거'!$A$7:$A$166,0))),"카카오 거리뷰")</x:f>
        <x:v>HYPERLINK is not implemented. linkLocation=https://map.kakao.com/?panoid=1202971207&amp;pan=327.3&amp;zoom=0&amp;map_type=TYPE_MAP&amp;map_attribute=ROADVIEW&amp;urlX=482811.0&amp;urlY=1084352.0, friendlyName=카카오 거리뷰</x:v>
      </x:c>
      <x:c r="AK11" s="105" t="e">
        <x:f>HYPERLINK("#'영상 근거'!A"&amp;(MATCH($A11&amp;"-N",'영상 근거'!$A$7:$A$166,0)+6),"두 영상 기록")</x:f>
        <x:v>HYPERLINK is not implemented. linkLocation=#'영상 근거'!A15, friendlyName=두 영상 기록</x:v>
      </x:c>
      <x:c r="AL11" s="106"/>
      <x:c r="AM11" s="106"/>
      <x:c r="AN11" s="67" t="str">
        <x:f>IF(COUNTIFS('영상 근거'!$B$7:$B$166,$A11,'영상 근거'!$H$7:$H$166,"pass")+COUNTIFS('영상 근거'!$B$7:$B$166,$A11,'영상 근거'!$H$7:$H$166,"block")+COUNTIFS('영상 근거'!$B$7:$B$166,$A11,'영상 근거'!$H$7:$H$166,"unknown")&lt;2,"미입력",IF(COUNTIFS('영상 근거'!$B$7:$B$166,$A11,'영상 근거'!$H$7:$H$166,"pass")=2,"pass 일치",IF(COUNTIFS('영상 근거'!$B$7:$B$166,$A11,'영상 근거'!$H$7:$H$166,"block")=2,"block 일치",IF(COUNTIFS('영상 근거'!$B$7:$B$166,$A11,'영상 근거'!$H$7:$H$166,"unknown")=2,"모두 unknown",IF(AND(COUNTIFS('영상 근거'!$B$7:$B$166,$A11,'영상 근거'!$H$7:$H$166,"pass")=1,COUNTIFS('영상 근거'!$B$7:$B$166,$A11,'영상 근거'!$H$7:$H$166,"block")=1),"불일치","한쪽 unknown")))))</x:f>
        <x:v>미입력</x:v>
      </x:c>
      <x:c r="AO11" s="67" t="str">
        <x:f>IF(COUNTIFS('영상 근거'!$B$7:$B$166,$A11,'영상 근거'!$K$7:$K$166,"pass")+COUNTIFS('영상 근거'!$B$7:$B$166,$A11,'영상 근거'!$K$7:$K$166,"block")+COUNTIFS('영상 근거'!$B$7:$B$166,$A11,'영상 근거'!$K$7:$K$166,"unknown")&lt;2,"미입력",IF(COUNTIFS('영상 근거'!$B$7:$B$166,$A11,'영상 근거'!$K$7:$K$166,"pass")=2,"pass 일치",IF(COUNTIFS('영상 근거'!$B$7:$B$166,$A11,'영상 근거'!$K$7:$K$166,"block")=2,"block 일치",IF(COUNTIFS('영상 근거'!$B$7:$B$166,$A11,'영상 근거'!$K$7:$K$166,"unknown")=2,"모두 unknown",IF(AND(COUNTIFS('영상 근거'!$B$7:$B$166,$A11,'영상 근거'!$K$7:$K$166,"pass")=1,COUNTIFS('영상 근거'!$B$7:$B$166,$A11,'영상 근거'!$K$7:$K$166,"block")=1),"불일치","한쪽 unknown")))))</x:f>
        <x:v>미입력</x:v>
      </x:c>
      <x:c r="AP11" s="106"/>
      <x:c r="AQ11" s="106"/>
      <x:c r="AR11" s="109" t="str">
        <x:v>가림·판독보류</x:v>
      </x:c>
      <x:c r="AS11" s="109" t="str">
        <x:v>가림·판독보류</x:v>
      </x:c>
      <x:c r="AT11" s="109" t="str">
        <x:v>보정 비대상</x:v>
      </x:c>
      <x:c r="AU11" s="162" t="str">
        <x:v>AI candidate</x:v>
      </x:c>
      <x:c r="AV11" s="162" t="str">
        <x:v>N</x:v>
      </x:c>
      <x:c r="AW11" s="206" t="str">
        <x:v>사람검수 대기</x:v>
      </x:c>
    </x:row>
    <x:row r="12" ht="34" customHeight="1">
      <x:c r="A12" s="28" t="str">
        <x:v>CW03-B</x:v>
      </x:c>
      <x:c r="B12" s="28" t="str">
        <x:v>CW03</x:v>
      </x:c>
      <x:c r="C12" s="28" t="str">
        <x:v>2024121198</x:v>
      </x:c>
      <x:c r="D12" s="28" t="str">
        <x:v>B</x:v>
      </x:c>
      <x:c r="E12" s="48" t="n">
        <x:v>37.40303852795509</x:v>
      </x:c>
      <x:c r="F12" s="48" t="n">
        <x:v>126.92232419359563</x:v>
      </x:c>
      <x:c r="G12" s="28" t="str">
        <x:v>unknown</x:v>
      </x:c>
      <x:c r="H12" s="28" t="str"/>
      <x:c r="I12" s="28" t="str"/>
      <x:c r="J12" s="28" t="str">
        <x:v>provisional_high</x:v>
      </x:c>
      <x:c r="K12" s="30" t="n">
        <x:v>3.4</x:v>
      </x:c>
      <x:c r="L12" s="28" t="str">
        <x:v>Y</x:v>
      </x:c>
      <x:c r="M12" s="33" t="str">
        <x:f>IF(S12="","pending_1st_review",IF(L12="Y",IF(Z12="","pending_2nd_review",IF(S12=Z12,"reviewed_agree",IF(AB12="","needs_adjudication","adjudicated"))),"reviewed_once"))</x:f>
        <x:v>pending_1st_review</x:v>
      </x:c>
      <x:c r="N12" s="46" t="str"/>
      <x:c r="O12" s="53" t="str"/>
      <x:c r="P12" s="46" t="str"/>
      <x:c r="Q12" s="46" t="str"/>
      <x:c r="R12" s="46" t="str"/>
      <x:c r="S12" s="46" t="str"/>
      <x:c r="T12" s="46" t="str"/>
      <x:c r="U12" s="46" t="str"/>
      <x:c r="V12" s="53" t="str"/>
      <x:c r="W12" s="46" t="str"/>
      <x:c r="X12" s="46" t="str"/>
      <x:c r="Y12" s="46" t="str"/>
      <x:c r="Z12" s="46" t="str"/>
      <x:c r="AA12" s="46" t="str"/>
      <x:c r="AB12" s="46" t="str"/>
      <x:c r="AC12" s="46" t="str">
        <x:v>geometry_mismatch_candidate</x:v>
      </x:c>
      <x:c r="AD12" s="51" t="n">
        <x:v>0.58</x:v>
      </x:c>
      <x:c r="AE12" s="46" t="str"/>
      <x:c r="AF12" s="53" t="str">
        <x:v>2025-11-17 14:28:34</x:v>
      </x:c>
      <x:c r="AG12" s="28" t="str">
        <x:v>https://map.kakao.com/link/roadview/37.4030385,126.9223242</x:v>
      </x:c>
      <x:c r="AH12" s="28" t="str">
        <x:v>asset_level_inherited_not_endpoint_verified</x:v>
      </x:c>
      <x:c r="AI12" s="105" t="e">
        <x:f>HYPERLINK(IF(INDEX('영상 근거'!$F$7:$F$166,MATCH($A12&amp;"-N",'영상 근거'!$A$7:$A$166,0))=0,INDEX('영상 근거'!$Q$7:$Q$166,MATCH($A12&amp;"-N",'영상 근거'!$A$7:$A$166,0)),INDEX('영상 근거'!$F$7:$F$166,MATCH($A12&amp;"-N",'영상 근거'!$A$7:$A$166,0))),IF(INDEX('영상 근거'!$F$7:$F$166,MATCH($A12&amp;"-N",'영상 근거'!$A$7:$A$166,0))=0,"네이버 위치","네이버 거리뷰"))</x:f>
        <x:v>HYPERLINK is not implemented. linkLocation=https://map.naver.com/p/entry/coordinates/3zfkj8,2AFbKF?c=15.00,0,0,0,dh, friendlyName=네이버 위치</x:v>
      </x:c>
      <x:c r="AJ12" s="105" t="e">
        <x:f>HYPERLINK(IF(INDEX('영상 근거'!$F$7:$F$166,MATCH($A12&amp;"-K",'영상 근거'!$A$7:$A$166,0))=0,INDEX('영상 근거'!$Q$7:$Q$166,MATCH($A12&amp;"-K",'영상 근거'!$A$7:$A$166,0)),INDEX('영상 근거'!$F$7:$F$166,MATCH($A12&amp;"-K",'영상 근거'!$A$7:$A$166,0))),"카카오 거리뷰")</x:f>
        <x:v>HYPERLINK is not implemented. linkLocation=https://map.kakao.com/?panoid=1202971207&amp;pan=327.3&amp;zoom=0&amp;map_type=TYPE_MAP&amp;map_attribute=ROADVIEW&amp;urlX=482811.0&amp;urlY=1084352.0, friendlyName=카카오 거리뷰</x:v>
      </x:c>
      <x:c r="AK12" s="105" t="e">
        <x:f>HYPERLINK("#'영상 근거'!A"&amp;(MATCH($A12&amp;"-N",'영상 근거'!$A$7:$A$166,0)+6),"두 영상 기록")</x:f>
        <x:v>HYPERLINK is not implemented. linkLocation=#'영상 근거'!A17, friendlyName=두 영상 기록</x:v>
      </x:c>
      <x:c r="AL12" s="106"/>
      <x:c r="AM12" s="106"/>
      <x:c r="AN12" s="67" t="str">
        <x:f>IF(COUNTIFS('영상 근거'!$B$7:$B$166,$A12,'영상 근거'!$H$7:$H$166,"pass")+COUNTIFS('영상 근거'!$B$7:$B$166,$A12,'영상 근거'!$H$7:$H$166,"block")+COUNTIFS('영상 근거'!$B$7:$B$166,$A12,'영상 근거'!$H$7:$H$166,"unknown")&lt;2,"미입력",IF(COUNTIFS('영상 근거'!$B$7:$B$166,$A12,'영상 근거'!$H$7:$H$166,"pass")=2,"pass 일치",IF(COUNTIFS('영상 근거'!$B$7:$B$166,$A12,'영상 근거'!$H$7:$H$166,"block")=2,"block 일치",IF(COUNTIFS('영상 근거'!$B$7:$B$166,$A12,'영상 근거'!$H$7:$H$166,"unknown")=2,"모두 unknown",IF(AND(COUNTIFS('영상 근거'!$B$7:$B$166,$A12,'영상 근거'!$H$7:$H$166,"pass")=1,COUNTIFS('영상 근거'!$B$7:$B$166,$A12,'영상 근거'!$H$7:$H$166,"block")=1),"불일치","한쪽 unknown")))))</x:f>
        <x:v>미입력</x:v>
      </x:c>
      <x:c r="AO12" s="67" t="str">
        <x:f>IF(COUNTIFS('영상 근거'!$B$7:$B$166,$A12,'영상 근거'!$K$7:$K$166,"pass")+COUNTIFS('영상 근거'!$B$7:$B$166,$A12,'영상 근거'!$K$7:$K$166,"block")+COUNTIFS('영상 근거'!$B$7:$B$166,$A12,'영상 근거'!$K$7:$K$166,"unknown")&lt;2,"미입력",IF(COUNTIFS('영상 근거'!$B$7:$B$166,$A12,'영상 근거'!$K$7:$K$166,"pass")=2,"pass 일치",IF(COUNTIFS('영상 근거'!$B$7:$B$166,$A12,'영상 근거'!$K$7:$K$166,"block")=2,"block 일치",IF(COUNTIFS('영상 근거'!$B$7:$B$166,$A12,'영상 근거'!$K$7:$K$166,"unknown")=2,"모두 unknown",IF(AND(COUNTIFS('영상 근거'!$B$7:$B$166,$A12,'영상 근거'!$K$7:$K$166,"pass")=1,COUNTIFS('영상 근거'!$B$7:$B$166,$A12,'영상 근거'!$K$7:$K$166,"block")=1),"불일치","한쪽 unknown")))))</x:f>
        <x:v>미입력</x:v>
      </x:c>
      <x:c r="AP12" s="106"/>
      <x:c r="AQ12" s="106"/>
      <x:c r="AR12" s="109" t="str">
        <x:v>위치 불일치·판독보류</x:v>
      </x:c>
      <x:c r="AS12" s="109" t="str">
        <x:v>위치 불일치·판독보류</x:v>
      </x:c>
      <x:c r="AT12" s="109" t="str">
        <x:v>보정 필요</x:v>
      </x:c>
      <x:c r="AU12" s="162" t="str">
        <x:v>AI candidate</x:v>
      </x:c>
      <x:c r="AV12" s="162" t="str">
        <x:v>N</x:v>
      </x:c>
      <x:c r="AW12" s="206" t="str">
        <x:v>사람검수 대기</x:v>
      </x:c>
    </x:row>
    <x:row r="13" ht="34" customHeight="1">
      <x:c r="A13" s="28" t="str">
        <x:v>CW04-A</x:v>
      </x:c>
      <x:c r="B13" s="28" t="str">
        <x:v>CW04</x:v>
      </x:c>
      <x:c r="C13" s="28" t="str">
        <x:v>2024121191</x:v>
      </x:c>
      <x:c r="D13" s="28" t="str">
        <x:v>A</x:v>
      </x:c>
      <x:c r="E13" s="48" t="n">
        <x:v>37.402219732308936</x:v>
      </x:c>
      <x:c r="F13" s="48" t="n">
        <x:v>126.92134421014717</x:v>
      </x:c>
      <x:c r="G13" s="28" t="str">
        <x:v>unknown</x:v>
      </x:c>
      <x:c r="H13" s="28" t="str"/>
      <x:c r="I13" s="28" t="str"/>
      <x:c r="J13" s="28" t="str">
        <x:v>provisional_high</x:v>
      </x:c>
      <x:c r="K13" s="30" t="n">
        <x:v>4.72</x:v>
      </x:c>
      <x:c r="L13" s="28" t="str">
        <x:v>N</x:v>
      </x:c>
      <x:c r="M13" s="33" t="str">
        <x:f>IF(S13="","pending_1st_review",IF(L13="Y",IF(Z13="","pending_2nd_review",IF(S13=Z13,"reviewed_agree",IF(AB13="","needs_adjudication","adjudicated"))),"reviewed_once"))</x:f>
        <x:v>pending_1st_review</x:v>
      </x:c>
      <x:c r="N13" s="46" t="str"/>
      <x:c r="O13" s="53" t="str"/>
      <x:c r="P13" s="46" t="str"/>
      <x:c r="Q13" s="46" t="str"/>
      <x:c r="R13" s="46" t="str"/>
      <x:c r="S13" s="46" t="str"/>
      <x:c r="T13" s="46" t="str"/>
      <x:c r="U13" s="46" t="str"/>
      <x:c r="V13" s="53" t="str"/>
      <x:c r="W13" s="46" t="str"/>
      <x:c r="X13" s="46" t="str"/>
      <x:c r="Y13" s="46" t="str"/>
      <x:c r="Z13" s="46" t="str"/>
      <x:c r="AA13" s="46" t="str"/>
      <x:c r="AB13" s="46" t="str"/>
      <x:c r="AC13" s="46" t="str">
        <x:v>construction_block_candidate</x:v>
      </x:c>
      <x:c r="AD13" s="51" t="n">
        <x:v>0.82</x:v>
      </x:c>
      <x:c r="AE13" s="46" t="str"/>
      <x:c r="AF13" s="53" t="str">
        <x:v>2025-12-01 13:09:31</x:v>
      </x:c>
      <x:c r="AG13" s="28" t="str">
        <x:v>https://map.kakao.com/link/roadview/37.4022197,126.9213442</x:v>
      </x:c>
      <x:c r="AH13" s="28" t="str">
        <x:v>asset_level_inherited_not_endpoint_verified</x:v>
      </x:c>
      <x:c r="AI13" s="105" t="e">
        <x:f>HYPERLINK(IF(INDEX('영상 근거'!$F$7:$F$166,MATCH($A13&amp;"-N",'영상 근거'!$A$7:$A$166,0))=0,INDEX('영상 근거'!$Q$7:$Q$166,MATCH($A13&amp;"-N",'영상 근거'!$A$7:$A$166,0)),INDEX('영상 근거'!$F$7:$F$166,MATCH($A13&amp;"-N",'영상 근거'!$A$7:$A$166,0))),IF(INDEX('영상 근거'!$F$7:$F$166,MATCH($A13&amp;"-N",'영상 근거'!$A$7:$A$166,0))=0,"네이버 위치","네이버 거리뷰"))</x:f>
        <x:v>HYPERLINK is not implemented. linkLocation=https://map.naver.com/p/entry/coordinates/3zfhL4,2AF9CB?c=15.00,0,0,0,dh, friendlyName=네이버 위치</x:v>
      </x:c>
      <x:c r="AJ13" s="105" t="e">
        <x:f>HYPERLINK(IF(INDEX('영상 근거'!$F$7:$F$166,MATCH($A13&amp;"-K",'영상 근거'!$A$7:$A$166,0))=0,INDEX('영상 근거'!$Q$7:$Q$166,MATCH($A13&amp;"-K",'영상 근거'!$A$7:$A$166,0)),INDEX('영상 근거'!$F$7:$F$166,MATCH($A13&amp;"-K",'영상 근거'!$A$7:$A$166,0))),"카카오 거리뷰")</x:f>
        <x:v>HYPERLINK is not implemented. linkLocation=https://map.kakao.com/?panoid=1203476229&amp;pan=326.3&amp;zoom=0&amp;map_type=TYPE_MAP&amp;map_attribute=ROADVIEW&amp;urlX=482602.0&amp;urlY=1084147.0, friendlyName=카카오 거리뷰</x:v>
      </x:c>
      <x:c r="AK13" s="105" t="e">
        <x:f>HYPERLINK("#'영상 근거'!A"&amp;(MATCH($A13&amp;"-N",'영상 근거'!$A$7:$A$166,0)+6),"두 영상 기록")</x:f>
        <x:v>HYPERLINK is not implemented. linkLocation=#'영상 근거'!A19, friendlyName=두 영상 기록</x:v>
      </x:c>
      <x:c r="AL13" s="106"/>
      <x:c r="AM13" s="106"/>
      <x:c r="AN13" s="67" t="str">
        <x:f>IF(COUNTIFS('영상 근거'!$B$7:$B$166,$A13,'영상 근거'!$H$7:$H$166,"pass")+COUNTIFS('영상 근거'!$B$7:$B$166,$A13,'영상 근거'!$H$7:$H$166,"block")+COUNTIFS('영상 근거'!$B$7:$B$166,$A13,'영상 근거'!$H$7:$H$166,"unknown")&lt;2,"미입력",IF(COUNTIFS('영상 근거'!$B$7:$B$166,$A13,'영상 근거'!$H$7:$H$166,"pass")=2,"pass 일치",IF(COUNTIFS('영상 근거'!$B$7:$B$166,$A13,'영상 근거'!$H$7:$H$166,"block")=2,"block 일치",IF(COUNTIFS('영상 근거'!$B$7:$B$166,$A13,'영상 근거'!$H$7:$H$166,"unknown")=2,"모두 unknown",IF(AND(COUNTIFS('영상 근거'!$B$7:$B$166,$A13,'영상 근거'!$H$7:$H$166,"pass")=1,COUNTIFS('영상 근거'!$B$7:$B$166,$A13,'영상 근거'!$H$7:$H$166,"block")=1),"불일치","한쪽 unknown")))))</x:f>
        <x:v>미입력</x:v>
      </x:c>
      <x:c r="AO13" s="67" t="str">
        <x:f>IF(COUNTIFS('영상 근거'!$B$7:$B$166,$A13,'영상 근거'!$K$7:$K$166,"pass")+COUNTIFS('영상 근거'!$B$7:$B$166,$A13,'영상 근거'!$K$7:$K$166,"block")+COUNTIFS('영상 근거'!$B$7:$B$166,$A13,'영상 근거'!$K$7:$K$166,"unknown")&lt;2,"미입력",IF(COUNTIFS('영상 근거'!$B$7:$B$166,$A13,'영상 근거'!$K$7:$K$166,"pass")=2,"pass 일치",IF(COUNTIFS('영상 근거'!$B$7:$B$166,$A13,'영상 근거'!$K$7:$K$166,"block")=2,"block 일치",IF(COUNTIFS('영상 근거'!$B$7:$B$166,$A13,'영상 근거'!$K$7:$K$166,"unknown")=2,"모두 unknown",IF(AND(COUNTIFS('영상 근거'!$B$7:$B$166,$A13,'영상 근거'!$K$7:$K$166,"pass")=1,COUNTIFS('영상 근거'!$B$7:$B$166,$A13,'영상 근거'!$K$7:$K$166,"block")=1),"불일치","한쪽 unknown")))))</x:f>
        <x:v>미입력</x:v>
      </x:c>
      <x:c r="AP13" s="106"/>
      <x:c r="AQ13" s="106"/>
      <x:c r="AR13" s="109" t="str">
        <x:v>임시 차단 후보</x:v>
      </x:c>
      <x:c r="AS13" s="109" t="str">
        <x:v>임시 차단 후보</x:v>
      </x:c>
      <x:c r="AT13" s="109" t="str">
        <x:v>보정 비대상</x:v>
      </x:c>
      <x:c r="AU13" s="162" t="str">
        <x:v>AI candidate</x:v>
      </x:c>
      <x:c r="AV13" s="162" t="str">
        <x:v>N</x:v>
      </x:c>
      <x:c r="AW13" s="206" t="str">
        <x:v>사람검수 대기</x:v>
      </x:c>
    </x:row>
    <x:row r="14" ht="34" customHeight="1">
      <x:c r="A14" s="28" t="str">
        <x:v>CW04-B</x:v>
      </x:c>
      <x:c r="B14" s="28" t="str">
        <x:v>CW04</x:v>
      </x:c>
      <x:c r="C14" s="28" t="str">
        <x:v>2024121191</x:v>
      </x:c>
      <x:c r="D14" s="28" t="str">
        <x:v>B</x:v>
      </x:c>
      <x:c r="E14" s="48" t="n">
        <x:v>37.402296707691065</x:v>
      </x:c>
      <x:c r="F14" s="48" t="n">
        <x:v>126.92148278985283</x:v>
      </x:c>
      <x:c r="G14" s="28" t="str">
        <x:v>unknown</x:v>
      </x:c>
      <x:c r="H14" s="28" t="str"/>
      <x:c r="I14" s="28" t="str"/>
      <x:c r="J14" s="28" t="str">
        <x:v>provisional_high</x:v>
      </x:c>
      <x:c r="K14" s="30" t="n">
        <x:v>4.72</x:v>
      </x:c>
      <x:c r="L14" s="28" t="str">
        <x:v>N</x:v>
      </x:c>
      <x:c r="M14" s="33" t="str">
        <x:f>IF(S14="","pending_1st_review",IF(L14="Y",IF(Z14="","pending_2nd_review",IF(S14=Z14,"reviewed_agree",IF(AB14="","needs_adjudication","adjudicated"))),"reviewed_once"))</x:f>
        <x:v>pending_1st_review</x:v>
      </x:c>
      <x:c r="N14" s="46" t="str"/>
      <x:c r="O14" s="53" t="str"/>
      <x:c r="P14" s="46" t="str"/>
      <x:c r="Q14" s="46" t="str"/>
      <x:c r="R14" s="46" t="str"/>
      <x:c r="S14" s="46" t="str"/>
      <x:c r="T14" s="46" t="str"/>
      <x:c r="U14" s="46" t="str"/>
      <x:c r="V14" s="53" t="str"/>
      <x:c r="W14" s="46" t="str"/>
      <x:c r="X14" s="46" t="str"/>
      <x:c r="Y14" s="46" t="str"/>
      <x:c r="Z14" s="46" t="str"/>
      <x:c r="AA14" s="46" t="str"/>
      <x:c r="AB14" s="46" t="str"/>
      <x:c r="AC14" s="46" t="str">
        <x:v>likely_accessible_candidate</x:v>
      </x:c>
      <x:c r="AD14" s="51" t="n">
        <x:v>0.82</x:v>
      </x:c>
      <x:c r="AE14" s="46" t="str"/>
      <x:c r="AF14" s="53" t="str">
        <x:v>2025-12-01 13:09:31</x:v>
      </x:c>
      <x:c r="AG14" s="28" t="str">
        <x:v>https://map.kakao.com/link/roadview/37.4022967,126.9214828</x:v>
      </x:c>
      <x:c r="AH14" s="28" t="str">
        <x:v>asset_level_inherited_not_endpoint_verified</x:v>
      </x:c>
      <x:c r="AI14" s="105" t="e">
        <x:f>HYPERLINK(IF(INDEX('영상 근거'!$F$7:$F$166,MATCH($A14&amp;"-N",'영상 근거'!$A$7:$A$166,0))=0,INDEX('영상 근거'!$Q$7:$Q$166,MATCH($A14&amp;"-N",'영상 근거'!$A$7:$A$166,0)),INDEX('영상 근거'!$F$7:$F$166,MATCH($A14&amp;"-N",'영상 근거'!$A$7:$A$166,0))),IF(INDEX('영상 근거'!$F$7:$F$166,MATCH($A14&amp;"-N",'영상 근거'!$A$7:$A$166,0))=0,"네이버 위치","네이버 거리뷰"))</x:f>
        <x:v>HYPERLINK is not implemented. linkLocation=https://map.naver.com/p/entry/coordinates/3zfi7q,2AF9P1?c=15.00,0,0,0,dh, friendlyName=네이버 위치</x:v>
      </x:c>
      <x:c r="AJ14" s="105" t="e">
        <x:f>HYPERLINK(IF(INDEX('영상 근거'!$F$7:$F$166,MATCH($A14&amp;"-K",'영상 근거'!$A$7:$A$166,0))=0,INDEX('영상 근거'!$Q$7:$Q$166,MATCH($A14&amp;"-K",'영상 근거'!$A$7:$A$166,0)),INDEX('영상 근거'!$F$7:$F$166,MATCH($A14&amp;"-K",'영상 근거'!$A$7:$A$166,0))),"카카오 거리뷰")</x:f>
        <x:v>HYPERLINK is not implemented. linkLocation=https://map.kakao.com/?panoid=1203476229&amp;pan=326.3&amp;zoom=0&amp;map_type=TYPE_MAP&amp;map_attribute=ROADVIEW&amp;urlX=482602.0&amp;urlY=1084147.0, friendlyName=카카오 거리뷰</x:v>
      </x:c>
      <x:c r="AK14" s="105" t="e">
        <x:f>HYPERLINK("#'영상 근거'!A"&amp;(MATCH($A14&amp;"-N",'영상 근거'!$A$7:$A$166,0)+6),"두 영상 기록")</x:f>
        <x:v>HYPERLINK is not implemented. linkLocation=#'영상 근거'!A21, friendlyName=두 영상 기록</x:v>
      </x:c>
      <x:c r="AL14" s="106"/>
      <x:c r="AM14" s="106"/>
      <x:c r="AN14" s="67" t="str">
        <x:f>IF(COUNTIFS('영상 근거'!$B$7:$B$166,$A14,'영상 근거'!$H$7:$H$166,"pass")+COUNTIFS('영상 근거'!$B$7:$B$166,$A14,'영상 근거'!$H$7:$H$166,"block")+COUNTIFS('영상 근거'!$B$7:$B$166,$A14,'영상 근거'!$H$7:$H$166,"unknown")&lt;2,"미입력",IF(COUNTIFS('영상 근거'!$B$7:$B$166,$A14,'영상 근거'!$H$7:$H$166,"pass")=2,"pass 일치",IF(COUNTIFS('영상 근거'!$B$7:$B$166,$A14,'영상 근거'!$H$7:$H$166,"block")=2,"block 일치",IF(COUNTIFS('영상 근거'!$B$7:$B$166,$A14,'영상 근거'!$H$7:$H$166,"unknown")=2,"모두 unknown",IF(AND(COUNTIFS('영상 근거'!$B$7:$B$166,$A14,'영상 근거'!$H$7:$H$166,"pass")=1,COUNTIFS('영상 근거'!$B$7:$B$166,$A14,'영상 근거'!$H$7:$H$166,"block")=1),"불일치","한쪽 unknown")))))</x:f>
        <x:v>미입력</x:v>
      </x:c>
      <x:c r="AO14" s="67" t="str">
        <x:f>IF(COUNTIFS('영상 근거'!$B$7:$B$166,$A14,'영상 근거'!$K$7:$K$166,"pass")+COUNTIFS('영상 근거'!$B$7:$B$166,$A14,'영상 근거'!$K$7:$K$166,"block")+COUNTIFS('영상 근거'!$B$7:$B$166,$A14,'영상 근거'!$K$7:$K$166,"unknown")&lt;2,"미입력",IF(COUNTIFS('영상 근거'!$B$7:$B$166,$A14,'영상 근거'!$K$7:$K$166,"pass")=2,"pass 일치",IF(COUNTIFS('영상 근거'!$B$7:$B$166,$A14,'영상 근거'!$K$7:$K$166,"block")=2,"block 일치",IF(COUNTIFS('영상 근거'!$B$7:$B$166,$A14,'영상 근거'!$K$7:$K$166,"unknown")=2,"모두 unknown",IF(AND(COUNTIFS('영상 근거'!$B$7:$B$166,$A14,'영상 근거'!$K$7:$K$166,"pass")=1,COUNTIFS('영상 근거'!$B$7:$B$166,$A14,'영상 근거'!$K$7:$K$166,"block")=1),"불일치","한쪽 unknown")))))</x:f>
        <x:v>미입력</x:v>
      </x:c>
      <x:c r="AP14" s="106"/>
      <x:c r="AQ14" s="106"/>
      <x:c r="AR14" s="109" t="str">
        <x:v>통과 가능 후보</x:v>
      </x:c>
      <x:c r="AS14" s="109" t="str">
        <x:v>안내시설 양호 후보</x:v>
      </x:c>
      <x:c r="AT14" s="109" t="str">
        <x:v>보정 비대상</x:v>
      </x:c>
      <x:c r="AU14" s="162" t="str">
        <x:v>AI candidate</x:v>
      </x:c>
      <x:c r="AV14" s="162" t="str">
        <x:v>N</x:v>
      </x:c>
      <x:c r="AW14" s="206" t="str">
        <x:v>사람검수 대기</x:v>
      </x:c>
    </x:row>
    <x:row r="15" ht="34" customHeight="1">
      <x:c r="A15" s="28" t="str">
        <x:v>CW05-A</x:v>
      </x:c>
      <x:c r="B15" s="28" t="str">
        <x:v>CW05</x:v>
      </x:c>
      <x:c r="C15" s="28" t="str">
        <x:v>2024121201</x:v>
      </x:c>
      <x:c r="D15" s="28" t="str">
        <x:v>A</x:v>
      </x:c>
      <x:c r="E15" s="48" t="n">
        <x:v>37.40215763504363</x:v>
      </x:c>
      <x:c r="F15" s="48" t="n">
        <x:v>126.92291684588432</x:v>
      </x:c>
      <x:c r="G15" s="28" t="str">
        <x:v>unknown</x:v>
      </x:c>
      <x:c r="H15" s="28" t="str"/>
      <x:c r="I15" s="28" t="str"/>
      <x:c r="J15" s="28" t="str">
        <x:v>provisional_high</x:v>
      </x:c>
      <x:c r="K15" s="30" t="n">
        <x:v>0.47</x:v>
      </x:c>
      <x:c r="L15" s="28" t="str">
        <x:v>Y</x:v>
      </x:c>
      <x:c r="M15" s="33" t="str">
        <x:f>IF(S15="","pending_1st_review",IF(L15="Y",IF(Z15="","pending_2nd_review",IF(S15=Z15,"reviewed_agree",IF(AB15="","needs_adjudication","adjudicated"))),"reviewed_once"))</x:f>
        <x:v>pending_1st_review</x:v>
      </x:c>
      <x:c r="N15" s="46" t="str"/>
      <x:c r="O15" s="53" t="str"/>
      <x:c r="P15" s="46" t="str"/>
      <x:c r="Q15" s="46" t="str"/>
      <x:c r="R15" s="46" t="str"/>
      <x:c r="S15" s="46" t="str"/>
      <x:c r="T15" s="46" t="str"/>
      <x:c r="U15" s="46" t="str"/>
      <x:c r="V15" s="53" t="str"/>
      <x:c r="W15" s="46" t="str"/>
      <x:c r="X15" s="46" t="str"/>
      <x:c r="Y15" s="46" t="str"/>
      <x:c r="Z15" s="46" t="str"/>
      <x:c r="AA15" s="46" t="str"/>
      <x:c r="AB15" s="46" t="str"/>
      <x:c r="AC15" s="46" t="str">
        <x:v>likely_accessible_candidate</x:v>
      </x:c>
      <x:c r="AD15" s="51" t="n">
        <x:v>0.82</x:v>
      </x:c>
      <x:c r="AE15" s="46" t="str"/>
      <x:c r="AF15" s="53" t="str">
        <x:v>2025-11-17 14:28:18</x:v>
      </x:c>
      <x:c r="AG15" s="28" t="str">
        <x:v>https://map.kakao.com/link/roadview/37.4021576,126.9229168</x:v>
      </x:c>
      <x:c r="AH15" s="28" t="str">
        <x:v>asset_level_inherited_not_endpoint_verified</x:v>
      </x:c>
      <x:c r="AI15" s="105" t="e">
        <x:f>HYPERLINK(IF(INDEX('영상 근거'!$F$7:$F$166,MATCH($A15&amp;"-N",'영상 근거'!$A$7:$A$166,0))=0,INDEX('영상 근거'!$Q$7:$Q$166,MATCH($A15&amp;"-N",'영상 근거'!$A$7:$A$166,0)),INDEX('영상 근거'!$F$7:$F$166,MATCH($A15&amp;"-N",'영상 근거'!$A$7:$A$166,0))),IF(INDEX('영상 근거'!$F$7:$F$166,MATCH($A15&amp;"-N",'영상 근거'!$A$7:$A$166,0))=0,"네이버 위치","네이버 거리뷰"))</x:f>
        <x:v>HYPERLINK is not implemented. linkLocation=https://map.naver.com/p/entry/coordinates/3zflQI,2AF9sA?c=15.00,0,0,0,dh, friendlyName=네이버 위치</x:v>
      </x:c>
      <x:c r="AJ15" s="105" t="e">
        <x:f>HYPERLINK(IF(INDEX('영상 근거'!$F$7:$F$166,MATCH($A15&amp;"-K",'영상 근거'!$A$7:$A$166,0))=0,INDEX('영상 근거'!$Q$7:$Q$166,MATCH($A15&amp;"-K",'영상 근거'!$A$7:$A$166,0)),INDEX('영상 근거'!$F$7:$F$166,MATCH($A15&amp;"-K",'영상 근거'!$A$7:$A$166,0))),"카카오 거리뷰")</x:f>
        <x:v>HYPERLINK is not implemented. linkLocation=https://map.kakao.com/?panoid=1202971196&amp;pan=327.5&amp;zoom=0&amp;map_type=TYPE_MAP&amp;map_attribute=ROADVIEW&amp;urlX=482957.0&amp;urlY=1084120.0, friendlyName=카카오 거리뷰</x:v>
      </x:c>
      <x:c r="AK15" s="105" t="e">
        <x:f>HYPERLINK("#'영상 근거'!A"&amp;(MATCH($A15&amp;"-N",'영상 근거'!$A$7:$A$166,0)+6),"두 영상 기록")</x:f>
        <x:v>HYPERLINK is not implemented. linkLocation=#'영상 근거'!A23, friendlyName=두 영상 기록</x:v>
      </x:c>
      <x:c r="AL15" s="106"/>
      <x:c r="AM15" s="106"/>
      <x:c r="AN15" s="67" t="str">
        <x:f>IF(COUNTIFS('영상 근거'!$B$7:$B$166,$A15,'영상 근거'!$H$7:$H$166,"pass")+COUNTIFS('영상 근거'!$B$7:$B$166,$A15,'영상 근거'!$H$7:$H$166,"block")+COUNTIFS('영상 근거'!$B$7:$B$166,$A15,'영상 근거'!$H$7:$H$166,"unknown")&lt;2,"미입력",IF(COUNTIFS('영상 근거'!$B$7:$B$166,$A15,'영상 근거'!$H$7:$H$166,"pass")=2,"pass 일치",IF(COUNTIFS('영상 근거'!$B$7:$B$166,$A15,'영상 근거'!$H$7:$H$166,"block")=2,"block 일치",IF(COUNTIFS('영상 근거'!$B$7:$B$166,$A15,'영상 근거'!$H$7:$H$166,"unknown")=2,"모두 unknown",IF(AND(COUNTIFS('영상 근거'!$B$7:$B$166,$A15,'영상 근거'!$H$7:$H$166,"pass")=1,COUNTIFS('영상 근거'!$B$7:$B$166,$A15,'영상 근거'!$H$7:$H$166,"block")=1),"불일치","한쪽 unknown")))))</x:f>
        <x:v>미입력</x:v>
      </x:c>
      <x:c r="AO15" s="67" t="str">
        <x:f>IF(COUNTIFS('영상 근거'!$B$7:$B$166,$A15,'영상 근거'!$K$7:$K$166,"pass")+COUNTIFS('영상 근거'!$B$7:$B$166,$A15,'영상 근거'!$K$7:$K$166,"block")+COUNTIFS('영상 근거'!$B$7:$B$166,$A15,'영상 근거'!$K$7:$K$166,"unknown")&lt;2,"미입력",IF(COUNTIFS('영상 근거'!$B$7:$B$166,$A15,'영상 근거'!$K$7:$K$166,"pass")=2,"pass 일치",IF(COUNTIFS('영상 근거'!$B$7:$B$166,$A15,'영상 근거'!$K$7:$K$166,"block")=2,"block 일치",IF(COUNTIFS('영상 근거'!$B$7:$B$166,$A15,'영상 근거'!$K$7:$K$166,"unknown")=2,"모두 unknown",IF(AND(COUNTIFS('영상 근거'!$B$7:$B$166,$A15,'영상 근거'!$K$7:$K$166,"pass")=1,COUNTIFS('영상 근거'!$B$7:$B$166,$A15,'영상 근거'!$K$7:$K$166,"block")=1),"불일치","한쪽 unknown")))))</x:f>
        <x:v>미입력</x:v>
      </x:c>
      <x:c r="AP15" s="106"/>
      <x:c r="AQ15" s="106"/>
      <x:c r="AR15" s="109" t="str">
        <x:v>통과 가능 후보</x:v>
      </x:c>
      <x:c r="AS15" s="109" t="str">
        <x:v>안내시설 양호 후보</x:v>
      </x:c>
      <x:c r="AT15" s="109" t="str">
        <x:v>보정 비대상</x:v>
      </x:c>
      <x:c r="AU15" s="162" t="str">
        <x:v>AI candidate</x:v>
      </x:c>
      <x:c r="AV15" s="162" t="str">
        <x:v>N</x:v>
      </x:c>
      <x:c r="AW15" s="206" t="str">
        <x:v>사람검수 대기</x:v>
      </x:c>
    </x:row>
    <x:row r="16" ht="34" customHeight="1">
      <x:c r="A16" s="28" t="str">
        <x:v>CW05-B</x:v>
      </x:c>
      <x:c r="B16" s="28" t="str">
        <x:v>CW05</x:v>
      </x:c>
      <x:c r="C16" s="28" t="str">
        <x:v>2024121201</x:v>
      </x:c>
      <x:c r="D16" s="28" t="str">
        <x:v>B</x:v>
      </x:c>
      <x:c r="E16" s="48" t="n">
        <x:v>37.40219794495638</x:v>
      </x:c>
      <x:c r="F16" s="48" t="n">
        <x:v>126.92299535411566</x:v>
      </x:c>
      <x:c r="G16" s="28" t="str">
        <x:v>unknown</x:v>
      </x:c>
      <x:c r="H16" s="28" t="str"/>
      <x:c r="I16" s="28" t="str"/>
      <x:c r="J16" s="28" t="str">
        <x:v>provisional_high</x:v>
      </x:c>
      <x:c r="K16" s="30" t="n">
        <x:v>0.47</x:v>
      </x:c>
      <x:c r="L16" s="28" t="str">
        <x:v>Y</x:v>
      </x:c>
      <x:c r="M16" s="33" t="str">
        <x:f>IF(S16="","pending_1st_review",IF(L16="Y",IF(Z16="","pending_2nd_review",IF(S16=Z16,"reviewed_agree",IF(AB16="","needs_adjudication","adjudicated"))),"reviewed_once"))</x:f>
        <x:v>pending_1st_review</x:v>
      </x:c>
      <x:c r="N16" s="46" t="str"/>
      <x:c r="O16" s="53" t="str"/>
      <x:c r="P16" s="46" t="str"/>
      <x:c r="Q16" s="46" t="str"/>
      <x:c r="R16" s="46" t="str"/>
      <x:c r="S16" s="46" t="str"/>
      <x:c r="T16" s="46" t="str"/>
      <x:c r="U16" s="46" t="str"/>
      <x:c r="V16" s="53" t="str"/>
      <x:c r="W16" s="46" t="str"/>
      <x:c r="X16" s="46" t="str"/>
      <x:c r="Y16" s="46" t="str"/>
      <x:c r="Z16" s="46" t="str"/>
      <x:c r="AA16" s="46" t="str"/>
      <x:c r="AB16" s="46" t="str"/>
      <x:c r="AC16" s="46" t="str">
        <x:v>visibility_review_needed</x:v>
      </x:c>
      <x:c r="AD16" s="51" t="n">
        <x:v>0.52</x:v>
      </x:c>
      <x:c r="AE16" s="46" t="str"/>
      <x:c r="AF16" s="53" t="str">
        <x:v>2025-11-17 14:28:18</x:v>
      </x:c>
      <x:c r="AG16" s="28" t="str">
        <x:v>https://map.kakao.com/link/roadview/37.4021979,126.9229954</x:v>
      </x:c>
      <x:c r="AH16" s="28" t="str">
        <x:v>asset_level_inherited_not_endpoint_verified</x:v>
      </x:c>
      <x:c r="AI16" s="105" t="e">
        <x:f>HYPERLINK(IF(INDEX('영상 근거'!$F$7:$F$166,MATCH($A16&amp;"-N",'영상 근거'!$A$7:$A$166,0))=0,INDEX('영상 근거'!$Q$7:$Q$166,MATCH($A16&amp;"-N",'영상 근거'!$A$7:$A$166,0)),INDEX('영상 근거'!$F$7:$F$166,MATCH($A16&amp;"-N",'영상 근거'!$A$7:$A$166,0))),IF(INDEX('영상 근거'!$F$7:$F$166,MATCH($A16&amp;"-N",'영상 근거'!$A$7:$A$166,0))=0,"네이버 위치","네이버 거리뷰"))</x:f>
        <x:v>HYPERLINK is not implemented. linkLocation=https://map.naver.com/p/entry/coordinates/3zfm3o,2AF9z5?c=15.00,0,0,0,dh, friendlyName=네이버 위치</x:v>
      </x:c>
      <x:c r="AJ16" s="105" t="e">
        <x:f>HYPERLINK(IF(INDEX('영상 근거'!$F$7:$F$166,MATCH($A16&amp;"-K",'영상 근거'!$A$7:$A$166,0))=0,INDEX('영상 근거'!$Q$7:$Q$166,MATCH($A16&amp;"-K",'영상 근거'!$A$7:$A$166,0)),INDEX('영상 근거'!$F$7:$F$166,MATCH($A16&amp;"-K",'영상 근거'!$A$7:$A$166,0))),"카카오 거리뷰")</x:f>
        <x:v>HYPERLINK is not implemented. linkLocation=https://map.kakao.com/?panoid=1202971196&amp;pan=327.5&amp;zoom=0&amp;map_type=TYPE_MAP&amp;map_attribute=ROADVIEW&amp;urlX=482957.0&amp;urlY=1084120.0, friendlyName=카카오 거리뷰</x:v>
      </x:c>
      <x:c r="AK16" s="105" t="e">
        <x:f>HYPERLINK("#'영상 근거'!A"&amp;(MATCH($A16&amp;"-N",'영상 근거'!$A$7:$A$166,0)+6),"두 영상 기록")</x:f>
        <x:v>HYPERLINK is not implemented. linkLocation=#'영상 근거'!A25, friendlyName=두 영상 기록</x:v>
      </x:c>
      <x:c r="AL16" s="106"/>
      <x:c r="AM16" s="106"/>
      <x:c r="AN16" s="67" t="str">
        <x:f>IF(COUNTIFS('영상 근거'!$B$7:$B$166,$A16,'영상 근거'!$H$7:$H$166,"pass")+COUNTIFS('영상 근거'!$B$7:$B$166,$A16,'영상 근거'!$H$7:$H$166,"block")+COUNTIFS('영상 근거'!$B$7:$B$166,$A16,'영상 근거'!$H$7:$H$166,"unknown")&lt;2,"미입력",IF(COUNTIFS('영상 근거'!$B$7:$B$166,$A16,'영상 근거'!$H$7:$H$166,"pass")=2,"pass 일치",IF(COUNTIFS('영상 근거'!$B$7:$B$166,$A16,'영상 근거'!$H$7:$H$166,"block")=2,"block 일치",IF(COUNTIFS('영상 근거'!$B$7:$B$166,$A16,'영상 근거'!$H$7:$H$166,"unknown")=2,"모두 unknown",IF(AND(COUNTIFS('영상 근거'!$B$7:$B$166,$A16,'영상 근거'!$H$7:$H$166,"pass")=1,COUNTIFS('영상 근거'!$B$7:$B$166,$A16,'영상 근거'!$H$7:$H$166,"block")=1),"불일치","한쪽 unknown")))))</x:f>
        <x:v>미입력</x:v>
      </x:c>
      <x:c r="AO16" s="67" t="str">
        <x:f>IF(COUNTIFS('영상 근거'!$B$7:$B$166,$A16,'영상 근거'!$K$7:$K$166,"pass")+COUNTIFS('영상 근거'!$B$7:$B$166,$A16,'영상 근거'!$K$7:$K$166,"block")+COUNTIFS('영상 근거'!$B$7:$B$166,$A16,'영상 근거'!$K$7:$K$166,"unknown")&lt;2,"미입력",IF(COUNTIFS('영상 근거'!$B$7:$B$166,$A16,'영상 근거'!$K$7:$K$166,"pass")=2,"pass 일치",IF(COUNTIFS('영상 근거'!$B$7:$B$166,$A16,'영상 근거'!$K$7:$K$166,"block")=2,"block 일치",IF(COUNTIFS('영상 근거'!$B$7:$B$166,$A16,'영상 근거'!$K$7:$K$166,"unknown")=2,"모두 unknown",IF(AND(COUNTIFS('영상 근거'!$B$7:$B$166,$A16,'영상 근거'!$K$7:$K$166,"pass")=1,COUNTIFS('영상 근거'!$B$7:$B$166,$A16,'영상 근거'!$K$7:$K$166,"block")=1),"불일치","한쪽 unknown")))))</x:f>
        <x:v>미입력</x:v>
      </x:c>
      <x:c r="AP16" s="106"/>
      <x:c r="AQ16" s="106"/>
      <x:c r="AR16" s="109" t="str">
        <x:v>시야 부족·판독보류</x:v>
      </x:c>
      <x:c r="AS16" s="109" t="str">
        <x:v>시야 부족·판독보류</x:v>
      </x:c>
      <x:c r="AT16" s="109" t="str">
        <x:v>보정 비대상</x:v>
      </x:c>
      <x:c r="AU16" s="162" t="str">
        <x:v>AI candidate</x:v>
      </x:c>
      <x:c r="AV16" s="162" t="str">
        <x:v>N</x:v>
      </x:c>
      <x:c r="AW16" s="206" t="str">
        <x:v>사람검수 대기</x:v>
      </x:c>
    </x:row>
    <x:row r="17" ht="34" customHeight="1">
      <x:c r="A17" s="28" t="str">
        <x:v>CW06-A</x:v>
      </x:c>
      <x:c r="B17" s="28" t="str">
        <x:v>CW06</x:v>
      </x:c>
      <x:c r="C17" s="28" t="str">
        <x:v>2024121072</x:v>
      </x:c>
      <x:c r="D17" s="28" t="str">
        <x:v>A</x:v>
      </x:c>
      <x:c r="E17" s="48" t="n">
        <x:v>37.4017671465952</x:v>
      </x:c>
      <x:c r="F17" s="48" t="n">
        <x:v>126.92166571676718</x:v>
      </x:c>
      <x:c r="G17" s="28" t="str">
        <x:v>unknown</x:v>
      </x:c>
      <x:c r="H17" s="28" t="str"/>
      <x:c r="I17" s="28" t="str"/>
      <x:c r="J17" s="28" t="str">
        <x:v>provisional_high</x:v>
      </x:c>
      <x:c r="K17" s="30" t="n">
        <x:v>1.4</x:v>
      </x:c>
      <x:c r="L17" s="28" t="str">
        <x:v>N</x:v>
      </x:c>
      <x:c r="M17" s="33" t="str">
        <x:f>IF(S17="","pending_1st_review",IF(L17="Y",IF(Z17="","pending_2nd_review",IF(S17=Z17,"reviewed_agree",IF(AB17="","needs_adjudication","adjudicated"))),"reviewed_once"))</x:f>
        <x:v>pending_1st_review</x:v>
      </x:c>
      <x:c r="N17" s="46" t="str"/>
      <x:c r="O17" s="53" t="str"/>
      <x:c r="P17" s="46" t="str"/>
      <x:c r="Q17" s="46" t="str"/>
      <x:c r="R17" s="46" t="str"/>
      <x:c r="S17" s="46" t="str"/>
      <x:c r="T17" s="46" t="str"/>
      <x:c r="U17" s="46" t="str"/>
      <x:c r="V17" s="53" t="str"/>
      <x:c r="W17" s="46" t="str"/>
      <x:c r="X17" s="46" t="str"/>
      <x:c r="Y17" s="46" t="str"/>
      <x:c r="Z17" s="46" t="str"/>
      <x:c r="AA17" s="46" t="str"/>
      <x:c r="AB17" s="46" t="str"/>
      <x:c r="AC17" s="46" t="str">
        <x:v>occlusion_review_needed</x:v>
      </x:c>
      <x:c r="AD17" s="51" t="n">
        <x:v>0.52</x:v>
      </x:c>
      <x:c r="AE17" s="46" t="str"/>
      <x:c r="AF17" s="53" t="str">
        <x:v>2025-12-01 14:54:27</x:v>
      </x:c>
      <x:c r="AG17" s="28" t="str">
        <x:v>https://map.kakao.com/link/roadview/37.4017671,126.9216657</x:v>
      </x:c>
      <x:c r="AH17" s="28" t="str">
        <x:v>asset_level_inherited_not_endpoint_verified</x:v>
      </x:c>
      <x:c r="AI17" s="105" t="e">
        <x:f>HYPERLINK(IF(INDEX('영상 근거'!$F$7:$F$166,MATCH($A17&amp;"-N",'영상 근거'!$A$7:$A$166,0))=0,INDEX('영상 근거'!$Q$7:$Q$166,MATCH($A17&amp;"-N",'영상 근거'!$A$7:$A$166,0)),INDEX('영상 근거'!$F$7:$F$166,MATCH($A17&amp;"-N",'영상 근거'!$A$7:$A$166,0))),IF(INDEX('영상 근거'!$F$7:$F$166,MATCH($A17&amp;"-N",'영상 근거'!$A$7:$A$166,0))=0,"네이버 위치","네이버 거리뷰"))</x:f>
        <x:v>HYPERLINK is not implemented. linkLocation=https://map.naver.com/p/entry/coordinates/3zfiAV,2AF8rB?c=15.00,0,0,0,dh, friendlyName=네이버 위치</x:v>
      </x:c>
      <x:c r="AJ17" s="105" t="e">
        <x:f>HYPERLINK(IF(INDEX('영상 근거'!$F$7:$F$166,MATCH($A17&amp;"-K",'영상 근거'!$A$7:$A$166,0))=0,INDEX('영상 근거'!$Q$7:$Q$166,MATCH($A17&amp;"-K",'영상 근거'!$A$7:$A$166,0)),INDEX('영상 근거'!$F$7:$F$166,MATCH($A17&amp;"-K",'영상 근거'!$A$7:$A$166,0))),"카카오 거리뷰")</x:f>
        <x:v>HYPERLINK is not implemented. linkLocation=https://map.kakao.com/?panoid=1203482543&amp;pan=57.9&amp;zoom=0&amp;map_type=TYPE_MAP&amp;map_attribute=ROADVIEW&amp;urlX=482642.0&amp;urlY=1084005.0, friendlyName=카카오 거리뷰</x:v>
      </x:c>
      <x:c r="AK17" s="105" t="e">
        <x:f>HYPERLINK("#'영상 근거'!A"&amp;(MATCH($A17&amp;"-N",'영상 근거'!$A$7:$A$166,0)+6),"두 영상 기록")</x:f>
        <x:v>HYPERLINK is not implemented. linkLocation=#'영상 근거'!A27, friendlyName=두 영상 기록</x:v>
      </x:c>
      <x:c r="AL17" s="106"/>
      <x:c r="AM17" s="106"/>
      <x:c r="AN17" s="67" t="str">
        <x:f>IF(COUNTIFS('영상 근거'!$B$7:$B$166,$A17,'영상 근거'!$H$7:$H$166,"pass")+COUNTIFS('영상 근거'!$B$7:$B$166,$A17,'영상 근거'!$H$7:$H$166,"block")+COUNTIFS('영상 근거'!$B$7:$B$166,$A17,'영상 근거'!$H$7:$H$166,"unknown")&lt;2,"미입력",IF(COUNTIFS('영상 근거'!$B$7:$B$166,$A17,'영상 근거'!$H$7:$H$166,"pass")=2,"pass 일치",IF(COUNTIFS('영상 근거'!$B$7:$B$166,$A17,'영상 근거'!$H$7:$H$166,"block")=2,"block 일치",IF(COUNTIFS('영상 근거'!$B$7:$B$166,$A17,'영상 근거'!$H$7:$H$166,"unknown")=2,"모두 unknown",IF(AND(COUNTIFS('영상 근거'!$B$7:$B$166,$A17,'영상 근거'!$H$7:$H$166,"pass")=1,COUNTIFS('영상 근거'!$B$7:$B$166,$A17,'영상 근거'!$H$7:$H$166,"block")=1),"불일치","한쪽 unknown")))))</x:f>
        <x:v>미입력</x:v>
      </x:c>
      <x:c r="AO17" s="67" t="str">
        <x:f>IF(COUNTIFS('영상 근거'!$B$7:$B$166,$A17,'영상 근거'!$K$7:$K$166,"pass")+COUNTIFS('영상 근거'!$B$7:$B$166,$A17,'영상 근거'!$K$7:$K$166,"block")+COUNTIFS('영상 근거'!$B$7:$B$166,$A17,'영상 근거'!$K$7:$K$166,"unknown")&lt;2,"미입력",IF(COUNTIFS('영상 근거'!$B$7:$B$166,$A17,'영상 근거'!$K$7:$K$166,"pass")=2,"pass 일치",IF(COUNTIFS('영상 근거'!$B$7:$B$166,$A17,'영상 근거'!$K$7:$K$166,"block")=2,"block 일치",IF(COUNTIFS('영상 근거'!$B$7:$B$166,$A17,'영상 근거'!$K$7:$K$166,"unknown")=2,"모두 unknown",IF(AND(COUNTIFS('영상 근거'!$B$7:$B$166,$A17,'영상 근거'!$K$7:$K$166,"pass")=1,COUNTIFS('영상 근거'!$B$7:$B$166,$A17,'영상 근거'!$K$7:$K$166,"block")=1),"불일치","한쪽 unknown")))))</x:f>
        <x:v>미입력</x:v>
      </x:c>
      <x:c r="AP17" s="106"/>
      <x:c r="AQ17" s="106"/>
      <x:c r="AR17" s="109" t="str">
        <x:v>가림·판독보류</x:v>
      </x:c>
      <x:c r="AS17" s="109" t="str">
        <x:v>가림·판독보류</x:v>
      </x:c>
      <x:c r="AT17" s="109" t="str">
        <x:v>보정 비대상</x:v>
      </x:c>
      <x:c r="AU17" s="162" t="str">
        <x:v>AI candidate</x:v>
      </x:c>
      <x:c r="AV17" s="162" t="str">
        <x:v>N</x:v>
      </x:c>
      <x:c r="AW17" s="206" t="str">
        <x:v>사람검수 대기</x:v>
      </x:c>
    </x:row>
    <x:row r="18" ht="34" customHeight="1">
      <x:c r="A18" s="28" t="str">
        <x:v>CW06-B</x:v>
      </x:c>
      <x:c r="B18" s="28" t="str">
        <x:v>CW06</x:v>
      </x:c>
      <x:c r="C18" s="28" t="str">
        <x:v>2024121072</x:v>
      </x:c>
      <x:c r="D18" s="28" t="str">
        <x:v>B</x:v>
      </x:c>
      <x:c r="E18" s="48" t="n">
        <x:v>37.401844893404814</x:v>
      </x:c>
      <x:c r="F18" s="48" t="n">
        <x:v>126.92158628323284</x:v>
      </x:c>
      <x:c r="G18" s="28" t="str">
        <x:v>unknown</x:v>
      </x:c>
      <x:c r="H18" s="28" t="str"/>
      <x:c r="I18" s="28" t="str"/>
      <x:c r="J18" s="28" t="str">
        <x:v>provisional_high</x:v>
      </x:c>
      <x:c r="K18" s="30" t="n">
        <x:v>1.4</x:v>
      </x:c>
      <x:c r="L18" s="28" t="str">
        <x:v>N</x:v>
      </x:c>
      <x:c r="M18" s="33" t="str">
        <x:f>IF(S18="","pending_1st_review",IF(L18="Y",IF(Z18="","pending_2nd_review",IF(S18=Z18,"reviewed_agree",IF(AB18="","needs_adjudication","adjudicated"))),"reviewed_once"))</x:f>
        <x:v>pending_1st_review</x:v>
      </x:c>
      <x:c r="N18" s="46" t="str"/>
      <x:c r="O18" s="53" t="str"/>
      <x:c r="P18" s="46" t="str"/>
      <x:c r="Q18" s="46" t="str"/>
      <x:c r="R18" s="46" t="str"/>
      <x:c r="S18" s="46" t="str"/>
      <x:c r="T18" s="46" t="str"/>
      <x:c r="U18" s="46" t="str"/>
      <x:c r="V18" s="53" t="str"/>
      <x:c r="W18" s="46" t="str"/>
      <x:c r="X18" s="46" t="str"/>
      <x:c r="Y18" s="46" t="str"/>
      <x:c r="Z18" s="46" t="str"/>
      <x:c r="AA18" s="46" t="str"/>
      <x:c r="AB18" s="46" t="str"/>
      <x:c r="AC18" s="46" t="str">
        <x:v>occlusion_review_needed</x:v>
      </x:c>
      <x:c r="AD18" s="51" t="n">
        <x:v>0.52</x:v>
      </x:c>
      <x:c r="AE18" s="46" t="str"/>
      <x:c r="AF18" s="53" t="str">
        <x:v>2025-12-01 14:54:27</x:v>
      </x:c>
      <x:c r="AG18" s="28" t="str">
        <x:v>https://map.kakao.com/link/roadview/37.4018449,126.9215863</x:v>
      </x:c>
      <x:c r="AH18" s="28" t="str">
        <x:v>asset_level_inherited_not_endpoint_verified</x:v>
      </x:c>
      <x:c r="AI18" s="105" t="e">
        <x:f>HYPERLINK(IF(INDEX('영상 근거'!$F$7:$F$166,MATCH($A18&amp;"-N",'영상 근거'!$A$7:$A$166,0))=0,INDEX('영상 근거'!$Q$7:$Q$166,MATCH($A18&amp;"-N",'영상 근거'!$A$7:$A$166,0)),INDEX('영상 근거'!$F$7:$F$166,MATCH($A18&amp;"-N",'영상 근거'!$A$7:$A$166,0))),IF(INDEX('영상 근거'!$F$7:$F$166,MATCH($A18&amp;"-N",'영상 근거'!$A$7:$A$166,0))=0,"네이버 위치","네이버 거리뷰"))</x:f>
        <x:v>HYPERLINK is not implemented. linkLocation=https://map.naver.com/p/entry/coordinates/3zfio7,2AF8E9?c=15.00,0,0,0,dh, friendlyName=네이버 위치</x:v>
      </x:c>
      <x:c r="AJ18" s="105" t="e">
        <x:f>HYPERLINK(IF(INDEX('영상 근거'!$F$7:$F$166,MATCH($A18&amp;"-K",'영상 근거'!$A$7:$A$166,0))=0,INDEX('영상 근거'!$Q$7:$Q$166,MATCH($A18&amp;"-K",'영상 근거'!$A$7:$A$166,0)),INDEX('영상 근거'!$F$7:$F$166,MATCH($A18&amp;"-K",'영상 근거'!$A$7:$A$166,0))),"카카오 거리뷰")</x:f>
        <x:v>HYPERLINK is not implemented. linkLocation=https://map.kakao.com/?panoid=1203482543&amp;pan=57.9&amp;zoom=0&amp;map_type=TYPE_MAP&amp;map_attribute=ROADVIEW&amp;urlX=482642.0&amp;urlY=1084005.0, friendlyName=카카오 거리뷰</x:v>
      </x:c>
      <x:c r="AK18" s="105" t="e">
        <x:f>HYPERLINK("#'영상 근거'!A"&amp;(MATCH($A18&amp;"-N",'영상 근거'!$A$7:$A$166,0)+6),"두 영상 기록")</x:f>
        <x:v>HYPERLINK is not implemented. linkLocation=#'영상 근거'!A29, friendlyName=두 영상 기록</x:v>
      </x:c>
      <x:c r="AL18" s="106"/>
      <x:c r="AM18" s="106"/>
      <x:c r="AN18" s="67" t="str">
        <x:f>IF(COUNTIFS('영상 근거'!$B$7:$B$166,$A18,'영상 근거'!$H$7:$H$166,"pass")+COUNTIFS('영상 근거'!$B$7:$B$166,$A18,'영상 근거'!$H$7:$H$166,"block")+COUNTIFS('영상 근거'!$B$7:$B$166,$A18,'영상 근거'!$H$7:$H$166,"unknown")&lt;2,"미입력",IF(COUNTIFS('영상 근거'!$B$7:$B$166,$A18,'영상 근거'!$H$7:$H$166,"pass")=2,"pass 일치",IF(COUNTIFS('영상 근거'!$B$7:$B$166,$A18,'영상 근거'!$H$7:$H$166,"block")=2,"block 일치",IF(COUNTIFS('영상 근거'!$B$7:$B$166,$A18,'영상 근거'!$H$7:$H$166,"unknown")=2,"모두 unknown",IF(AND(COUNTIFS('영상 근거'!$B$7:$B$166,$A18,'영상 근거'!$H$7:$H$166,"pass")=1,COUNTIFS('영상 근거'!$B$7:$B$166,$A18,'영상 근거'!$H$7:$H$166,"block")=1),"불일치","한쪽 unknown")))))</x:f>
        <x:v>미입력</x:v>
      </x:c>
      <x:c r="AO18" s="67" t="str">
        <x:f>IF(COUNTIFS('영상 근거'!$B$7:$B$166,$A18,'영상 근거'!$K$7:$K$166,"pass")+COUNTIFS('영상 근거'!$B$7:$B$166,$A18,'영상 근거'!$K$7:$K$166,"block")+COUNTIFS('영상 근거'!$B$7:$B$166,$A18,'영상 근거'!$K$7:$K$166,"unknown")&lt;2,"미입력",IF(COUNTIFS('영상 근거'!$B$7:$B$166,$A18,'영상 근거'!$K$7:$K$166,"pass")=2,"pass 일치",IF(COUNTIFS('영상 근거'!$B$7:$B$166,$A18,'영상 근거'!$K$7:$K$166,"block")=2,"block 일치",IF(COUNTIFS('영상 근거'!$B$7:$B$166,$A18,'영상 근거'!$K$7:$K$166,"unknown")=2,"모두 unknown",IF(AND(COUNTIFS('영상 근거'!$B$7:$B$166,$A18,'영상 근거'!$K$7:$K$166,"pass")=1,COUNTIFS('영상 근거'!$B$7:$B$166,$A18,'영상 근거'!$K$7:$K$166,"block")=1),"불일치","한쪽 unknown")))))</x:f>
        <x:v>미입력</x:v>
      </x:c>
      <x:c r="AP18" s="106"/>
      <x:c r="AQ18" s="106"/>
      <x:c r="AR18" s="109" t="str">
        <x:v>가림·판독보류</x:v>
      </x:c>
      <x:c r="AS18" s="109" t="str">
        <x:v>가림·판독보류</x:v>
      </x:c>
      <x:c r="AT18" s="109" t="str">
        <x:v>보정 비대상</x:v>
      </x:c>
      <x:c r="AU18" s="162" t="str">
        <x:v>AI candidate</x:v>
      </x:c>
      <x:c r="AV18" s="162" t="str">
        <x:v>N</x:v>
      </x:c>
      <x:c r="AW18" s="206" t="str">
        <x:v>사람검수 대기</x:v>
      </x:c>
    </x:row>
    <x:row r="19" ht="34" customHeight="1">
      <x:c r="A19" s="28" t="str">
        <x:v>CW07-A</x:v>
      </x:c>
      <x:c r="B19" s="28" t="str">
        <x:v>CW07</x:v>
      </x:c>
      <x:c r="C19" s="28" t="str">
        <x:v>2024121209</x:v>
      </x:c>
      <x:c r="D19" s="28" t="str">
        <x:v>A</x:v>
      </x:c>
      <x:c r="E19" s="48" t="n">
        <x:v>37.40172334566271</x:v>
      </x:c>
      <x:c r="F19" s="48" t="n">
        <x:v>126.92173024130342</x:v>
      </x:c>
      <x:c r="G19" s="28" t="str">
        <x:v>unknown</x:v>
      </x:c>
      <x:c r="H19" s="28" t="str"/>
      <x:c r="I19" s="28" t="str"/>
      <x:c r="J19" s="28" t="str">
        <x:v>provisional_high</x:v>
      </x:c>
      <x:c r="K19" s="30" t="n">
        <x:v>3.53</x:v>
      </x:c>
      <x:c r="L19" s="28" t="str">
        <x:v>Y</x:v>
      </x:c>
      <x:c r="M19" s="33" t="str">
        <x:f>IF(S19="","pending_1st_review",IF(L19="Y",IF(Z19="","pending_2nd_review",IF(S19=Z19,"reviewed_agree",IF(AB19="","needs_adjudication","adjudicated"))),"reviewed_once"))</x:f>
        <x:v>pending_1st_review</x:v>
      </x:c>
      <x:c r="N19" s="46" t="str"/>
      <x:c r="O19" s="53" t="str"/>
      <x:c r="P19" s="46" t="str"/>
      <x:c r="Q19" s="46" t="str"/>
      <x:c r="R19" s="46" t="str"/>
      <x:c r="S19" s="46" t="str"/>
      <x:c r="T19" s="46" t="str"/>
      <x:c r="U19" s="46" t="str"/>
      <x:c r="V19" s="53" t="str"/>
      <x:c r="W19" s="46" t="str"/>
      <x:c r="X19" s="46" t="str"/>
      <x:c r="Y19" s="46" t="str"/>
      <x:c r="Z19" s="46" t="str"/>
      <x:c r="AA19" s="46" t="str"/>
      <x:c r="AB19" s="46" t="str"/>
      <x:c r="AC19" s="46" t="str">
        <x:v>geometry_mismatch_candidate</x:v>
      </x:c>
      <x:c r="AD19" s="51" t="n">
        <x:v>0.58</x:v>
      </x:c>
      <x:c r="AE19" s="46" t="str"/>
      <x:c r="AF19" s="53" t="str">
        <x:v>2025-12-01 13:09:25</x:v>
      </x:c>
      <x:c r="AG19" s="28" t="str">
        <x:v>https://map.kakao.com/link/roadview/37.4017233,126.9217302</x:v>
      </x:c>
      <x:c r="AH19" s="28" t="str">
        <x:v>asset_level_inherited_not_endpoint_verified</x:v>
      </x:c>
      <x:c r="AI19" s="105" t="e">
        <x:f>HYPERLINK(IF(INDEX('영상 근거'!$F$7:$F$166,MATCH($A19&amp;"-N",'영상 근거'!$A$7:$A$166,0))=0,INDEX('영상 근거'!$Q$7:$Q$166,MATCH($A19&amp;"-N",'영상 근거'!$A$7:$A$166,0)),INDEX('영상 근거'!$F$7:$F$166,MATCH($A19&amp;"-N",'영상 근거'!$A$7:$A$166,0))),IF(INDEX('영상 근거'!$F$7:$F$166,MATCH($A19&amp;"-N",'영상 근거'!$A$7:$A$166,0))=0,"네이버 위치","네이버 거리뷰"))</x:f>
        <x:v>HYPERLINK is not implemented. linkLocation=https://map.naver.com/p/entry/coordinates/3zfiLk,2AF8kx?c=15.00,0,0,0,dh, friendlyName=네이버 위치</x:v>
      </x:c>
      <x:c r="AJ19" s="105" t="e">
        <x:f>HYPERLINK(IF(INDEX('영상 근거'!$F$7:$F$166,MATCH($A19&amp;"-K",'영상 근거'!$A$7:$A$166,0))=0,INDEX('영상 근거'!$Q$7:$Q$166,MATCH($A19&amp;"-K",'영상 근거'!$A$7:$A$166,0)),INDEX('영상 근거'!$F$7:$F$166,MATCH($A19&amp;"-K",'영상 근거'!$A$7:$A$166,0))),"카카오 거리뷰")</x:f>
        <x:v>HYPERLINK is not implemented. linkLocation=https://map.kakao.com/?panoid=1203476201&amp;pan=325.8&amp;zoom=0&amp;map_type=TYPE_MAP&amp;map_attribute=ROADVIEW&amp;urlX=482700.0&amp;urlY=1084002.0, friendlyName=카카오 거리뷰</x:v>
      </x:c>
      <x:c r="AK19" s="105" t="e">
        <x:f>HYPERLINK("#'영상 근거'!A"&amp;(MATCH($A19&amp;"-N",'영상 근거'!$A$7:$A$166,0)+6),"두 영상 기록")</x:f>
        <x:v>HYPERLINK is not implemented. linkLocation=#'영상 근거'!A31, friendlyName=두 영상 기록</x:v>
      </x:c>
      <x:c r="AL19" s="106"/>
      <x:c r="AM19" s="106"/>
      <x:c r="AN19" s="67" t="str">
        <x:f>IF(COUNTIFS('영상 근거'!$B$7:$B$166,$A19,'영상 근거'!$H$7:$H$166,"pass")+COUNTIFS('영상 근거'!$B$7:$B$166,$A19,'영상 근거'!$H$7:$H$166,"block")+COUNTIFS('영상 근거'!$B$7:$B$166,$A19,'영상 근거'!$H$7:$H$166,"unknown")&lt;2,"미입력",IF(COUNTIFS('영상 근거'!$B$7:$B$166,$A19,'영상 근거'!$H$7:$H$166,"pass")=2,"pass 일치",IF(COUNTIFS('영상 근거'!$B$7:$B$166,$A19,'영상 근거'!$H$7:$H$166,"block")=2,"block 일치",IF(COUNTIFS('영상 근거'!$B$7:$B$166,$A19,'영상 근거'!$H$7:$H$166,"unknown")=2,"모두 unknown",IF(AND(COUNTIFS('영상 근거'!$B$7:$B$166,$A19,'영상 근거'!$H$7:$H$166,"pass")=1,COUNTIFS('영상 근거'!$B$7:$B$166,$A19,'영상 근거'!$H$7:$H$166,"block")=1),"불일치","한쪽 unknown")))))</x:f>
        <x:v>미입력</x:v>
      </x:c>
      <x:c r="AO19" s="67" t="str">
        <x:f>IF(COUNTIFS('영상 근거'!$B$7:$B$166,$A19,'영상 근거'!$K$7:$K$166,"pass")+COUNTIFS('영상 근거'!$B$7:$B$166,$A19,'영상 근거'!$K$7:$K$166,"block")+COUNTIFS('영상 근거'!$B$7:$B$166,$A19,'영상 근거'!$K$7:$K$166,"unknown")&lt;2,"미입력",IF(COUNTIFS('영상 근거'!$B$7:$B$166,$A19,'영상 근거'!$K$7:$K$166,"pass")=2,"pass 일치",IF(COUNTIFS('영상 근거'!$B$7:$B$166,$A19,'영상 근거'!$K$7:$K$166,"block")=2,"block 일치",IF(COUNTIFS('영상 근거'!$B$7:$B$166,$A19,'영상 근거'!$K$7:$K$166,"unknown")=2,"모두 unknown",IF(AND(COUNTIFS('영상 근거'!$B$7:$B$166,$A19,'영상 근거'!$K$7:$K$166,"pass")=1,COUNTIFS('영상 근거'!$B$7:$B$166,$A19,'영상 근거'!$K$7:$K$166,"block")=1),"불일치","한쪽 unknown")))))</x:f>
        <x:v>미입력</x:v>
      </x:c>
      <x:c r="AP19" s="106"/>
      <x:c r="AQ19" s="106"/>
      <x:c r="AR19" s="109" t="str">
        <x:v>위치 불일치·판독보류</x:v>
      </x:c>
      <x:c r="AS19" s="109" t="str">
        <x:v>위치 불일치·판독보류</x:v>
      </x:c>
      <x:c r="AT19" s="109" t="str">
        <x:v>보정 필요</x:v>
      </x:c>
      <x:c r="AU19" s="162" t="str">
        <x:v>AI candidate</x:v>
      </x:c>
      <x:c r="AV19" s="162" t="str">
        <x:v>N</x:v>
      </x:c>
      <x:c r="AW19" s="206" t="str">
        <x:v>사람검수 대기</x:v>
      </x:c>
    </x:row>
    <x:row r="20" ht="34" customHeight="1">
      <x:c r="A20" s="28" t="str">
        <x:v>CW07-B</x:v>
      </x:c>
      <x:c r="B20" s="28" t="str">
        <x:v>CW07</x:v>
      </x:c>
      <x:c r="C20" s="28" t="str">
        <x:v>2024121209</x:v>
      </x:c>
      <x:c r="D20" s="28" t="str">
        <x:v>B</x:v>
      </x:c>
      <x:c r="E20" s="48" t="n">
        <x:v>37.4017507743373</x:v>
      </x:c>
      <x:c r="F20" s="48" t="n">
        <x:v>126.9217985586966</x:v>
      </x:c>
      <x:c r="G20" s="28" t="str">
        <x:v>unknown</x:v>
      </x:c>
      <x:c r="H20" s="28" t="str"/>
      <x:c r="I20" s="28" t="str"/>
      <x:c r="J20" s="28" t="str">
        <x:v>provisional_high</x:v>
      </x:c>
      <x:c r="K20" s="30" t="n">
        <x:v>3.53</x:v>
      </x:c>
      <x:c r="L20" s="28" t="str">
        <x:v>Y</x:v>
      </x:c>
      <x:c r="M20" s="33" t="str">
        <x:f>IF(S20="","pending_1st_review",IF(L20="Y",IF(Z20="","pending_2nd_review",IF(S20=Z20,"reviewed_agree",IF(AB20="","needs_adjudication","adjudicated"))),"reviewed_once"))</x:f>
        <x:v>pending_1st_review</x:v>
      </x:c>
      <x:c r="N20" s="46" t="str"/>
      <x:c r="O20" s="53" t="str"/>
      <x:c r="P20" s="46" t="str"/>
      <x:c r="Q20" s="46" t="str"/>
      <x:c r="R20" s="46" t="str"/>
      <x:c r="S20" s="46" t="str"/>
      <x:c r="T20" s="46" t="str"/>
      <x:c r="U20" s="46" t="str"/>
      <x:c r="V20" s="53" t="str"/>
      <x:c r="W20" s="46" t="str"/>
      <x:c r="X20" s="46" t="str"/>
      <x:c r="Y20" s="46" t="str"/>
      <x:c r="Z20" s="46" t="str"/>
      <x:c r="AA20" s="46" t="str"/>
      <x:c r="AB20" s="46" t="str"/>
      <x:c r="AC20" s="46" t="str">
        <x:v>geometry_mismatch_candidate</x:v>
      </x:c>
      <x:c r="AD20" s="51" t="n">
        <x:v>0.58</x:v>
      </x:c>
      <x:c r="AE20" s="46" t="str"/>
      <x:c r="AF20" s="53" t="str">
        <x:v>2025-12-01 13:09:25</x:v>
      </x:c>
      <x:c r="AG20" s="28" t="str">
        <x:v>https://map.kakao.com/link/roadview/37.4017508,126.9217986</x:v>
      </x:c>
      <x:c r="AH20" s="28" t="str">
        <x:v>asset_level_inherited_not_endpoint_verified</x:v>
      </x:c>
      <x:c r="AI20" s="105" t="e">
        <x:f>HYPERLINK(IF(INDEX('영상 근거'!$F$7:$F$166,MATCH($A20&amp;"-N",'영상 근거'!$A$7:$A$166,0))=0,INDEX('영상 근거'!$Q$7:$Q$166,MATCH($A20&amp;"-N",'영상 근거'!$A$7:$A$166,0)),INDEX('영상 근거'!$F$7:$F$166,MATCH($A20&amp;"-N",'영상 근거'!$A$7:$A$166,0))),IF(INDEX('영상 근거'!$F$7:$F$166,MATCH($A20&amp;"-N",'영상 근거'!$A$7:$A$166,0))=0,"네이버 위치","네이버 거리뷰"))</x:f>
        <x:v>HYPERLINK is not implemented. linkLocation=https://map.naver.com/p/entry/coordinates/3zfiWm,2AF8oY?c=15.00,0,0,0,dh, friendlyName=네이버 위치</x:v>
      </x:c>
      <x:c r="AJ20" s="105" t="e">
        <x:f>HYPERLINK(IF(INDEX('영상 근거'!$F$7:$F$166,MATCH($A20&amp;"-K",'영상 근거'!$A$7:$A$166,0))=0,INDEX('영상 근거'!$Q$7:$Q$166,MATCH($A20&amp;"-K",'영상 근거'!$A$7:$A$166,0)),INDEX('영상 근거'!$F$7:$F$166,MATCH($A20&amp;"-K",'영상 근거'!$A$7:$A$166,0))),"카카오 거리뷰")</x:f>
        <x:v>HYPERLINK is not implemented. linkLocation=https://map.kakao.com/?panoid=1203476201&amp;pan=325.8&amp;zoom=0&amp;map_type=TYPE_MAP&amp;map_attribute=ROADVIEW&amp;urlX=482700.0&amp;urlY=1084002.0, friendlyName=카카오 거리뷰</x:v>
      </x:c>
      <x:c r="AK20" s="105" t="e">
        <x:f>HYPERLINK("#'영상 근거'!A"&amp;(MATCH($A20&amp;"-N",'영상 근거'!$A$7:$A$166,0)+6),"두 영상 기록")</x:f>
        <x:v>HYPERLINK is not implemented. linkLocation=#'영상 근거'!A33, friendlyName=두 영상 기록</x:v>
      </x:c>
      <x:c r="AL20" s="106"/>
      <x:c r="AM20" s="106"/>
      <x:c r="AN20" s="67" t="str">
        <x:f>IF(COUNTIFS('영상 근거'!$B$7:$B$166,$A20,'영상 근거'!$H$7:$H$166,"pass")+COUNTIFS('영상 근거'!$B$7:$B$166,$A20,'영상 근거'!$H$7:$H$166,"block")+COUNTIFS('영상 근거'!$B$7:$B$166,$A20,'영상 근거'!$H$7:$H$166,"unknown")&lt;2,"미입력",IF(COUNTIFS('영상 근거'!$B$7:$B$166,$A20,'영상 근거'!$H$7:$H$166,"pass")=2,"pass 일치",IF(COUNTIFS('영상 근거'!$B$7:$B$166,$A20,'영상 근거'!$H$7:$H$166,"block")=2,"block 일치",IF(COUNTIFS('영상 근거'!$B$7:$B$166,$A20,'영상 근거'!$H$7:$H$166,"unknown")=2,"모두 unknown",IF(AND(COUNTIFS('영상 근거'!$B$7:$B$166,$A20,'영상 근거'!$H$7:$H$166,"pass")=1,COUNTIFS('영상 근거'!$B$7:$B$166,$A20,'영상 근거'!$H$7:$H$166,"block")=1),"불일치","한쪽 unknown")))))</x:f>
        <x:v>미입력</x:v>
      </x:c>
      <x:c r="AO20" s="67" t="str">
        <x:f>IF(COUNTIFS('영상 근거'!$B$7:$B$166,$A20,'영상 근거'!$K$7:$K$166,"pass")+COUNTIFS('영상 근거'!$B$7:$B$166,$A20,'영상 근거'!$K$7:$K$166,"block")+COUNTIFS('영상 근거'!$B$7:$B$166,$A20,'영상 근거'!$K$7:$K$166,"unknown")&lt;2,"미입력",IF(COUNTIFS('영상 근거'!$B$7:$B$166,$A20,'영상 근거'!$K$7:$K$166,"pass")=2,"pass 일치",IF(COUNTIFS('영상 근거'!$B$7:$B$166,$A20,'영상 근거'!$K$7:$K$166,"block")=2,"block 일치",IF(COUNTIFS('영상 근거'!$B$7:$B$166,$A20,'영상 근거'!$K$7:$K$166,"unknown")=2,"모두 unknown",IF(AND(COUNTIFS('영상 근거'!$B$7:$B$166,$A20,'영상 근거'!$K$7:$K$166,"pass")=1,COUNTIFS('영상 근거'!$B$7:$B$166,$A20,'영상 근거'!$K$7:$K$166,"block")=1),"불일치","한쪽 unknown")))))</x:f>
        <x:v>미입력</x:v>
      </x:c>
      <x:c r="AP20" s="106"/>
      <x:c r="AQ20" s="106"/>
      <x:c r="AR20" s="109" t="str">
        <x:v>위치 불일치·판독보류</x:v>
      </x:c>
      <x:c r="AS20" s="109" t="str">
        <x:v>위치 불일치·판독보류</x:v>
      </x:c>
      <x:c r="AT20" s="109" t="str">
        <x:v>보정 필요</x:v>
      </x:c>
      <x:c r="AU20" s="162" t="str">
        <x:v>AI candidate</x:v>
      </x:c>
      <x:c r="AV20" s="162" t="str">
        <x:v>N</x:v>
      </x:c>
      <x:c r="AW20" s="206" t="str">
        <x:v>사람검수 대기</x:v>
      </x:c>
    </x:row>
    <x:row r="21" ht="34" customHeight="1">
      <x:c r="A21" s="28" t="str">
        <x:v>CW08-A</x:v>
      </x:c>
      <x:c r="B21" s="28" t="str">
        <x:v>CW08</x:v>
      </x:c>
      <x:c r="C21" s="28" t="str">
        <x:v>2024121206</x:v>
      </x:c>
      <x:c r="D21" s="28" t="str">
        <x:v>A</x:v>
      </x:c>
      <x:c r="E21" s="48" t="n">
        <x:v>37.40151630806864</x:v>
      </x:c>
      <x:c r="F21" s="48" t="n">
        <x:v>126.92345020395895</x:v>
      </x:c>
      <x:c r="G21" s="28" t="str">
        <x:v>unknown</x:v>
      </x:c>
      <x:c r="H21" s="28" t="str"/>
      <x:c r="I21" s="28" t="str"/>
      <x:c r="J21" s="28" t="str">
        <x:v>provisional_high</x:v>
      </x:c>
      <x:c r="K21" s="30" t="n">
        <x:v>0.44</x:v>
      </x:c>
      <x:c r="L21" s="28" t="str">
        <x:v>N</x:v>
      </x:c>
      <x:c r="M21" s="33" t="str">
        <x:f>IF(S21="","pending_1st_review",IF(L21="Y",IF(Z21="","pending_2nd_review",IF(S21=Z21,"reviewed_agree",IF(AB21="","needs_adjudication","adjudicated"))),"reviewed_once"))</x:f>
        <x:v>pending_1st_review</x:v>
      </x:c>
      <x:c r="N21" s="46" t="str"/>
      <x:c r="O21" s="53" t="str"/>
      <x:c r="P21" s="46" t="str"/>
      <x:c r="Q21" s="46" t="str"/>
      <x:c r="R21" s="46" t="str"/>
      <x:c r="S21" s="46" t="str"/>
      <x:c r="T21" s="46" t="str"/>
      <x:c r="U21" s="46" t="str"/>
      <x:c r="V21" s="53" t="str"/>
      <x:c r="W21" s="46" t="str"/>
      <x:c r="X21" s="46" t="str"/>
      <x:c r="Y21" s="46" t="str"/>
      <x:c r="Z21" s="46" t="str"/>
      <x:c r="AA21" s="46" t="str"/>
      <x:c r="AB21" s="46" t="str"/>
      <x:c r="AC21" s="46" t="str">
        <x:v>occlusion_review_needed</x:v>
      </x:c>
      <x:c r="AD21" s="51" t="n">
        <x:v>0.52</x:v>
      </x:c>
      <x:c r="AE21" s="46" t="str"/>
      <x:c r="AF21" s="53" t="str">
        <x:v>2025-11-17 14:28:06</x:v>
      </x:c>
      <x:c r="AG21" s="28" t="str">
        <x:v>https://map.kakao.com/link/roadview/37.4015163,126.9234502</x:v>
      </x:c>
      <x:c r="AH21" s="28" t="str">
        <x:v>asset_level_inherited_not_endpoint_verified</x:v>
      </x:c>
      <x:c r="AI21" s="105" t="e">
        <x:f>HYPERLINK(IF(INDEX('영상 근거'!$F$7:$F$166,MATCH($A21&amp;"-N",'영상 근거'!$A$7:$A$166,0))=0,INDEX('영상 근거'!$Q$7:$Q$166,MATCH($A21&amp;"-N",'영상 근거'!$A$7:$A$166,0)),INDEX('영상 근거'!$F$7:$F$166,MATCH($A21&amp;"-N",'영상 근거'!$A$7:$A$166,0))),IF(INDEX('영상 근거'!$F$7:$F$166,MATCH($A21&amp;"-N",'영상 근거'!$A$7:$A$166,0))=0,"네이버 위치","네이버 거리뷰"))</x:f>
        <x:v>HYPERLINK is not implemented. linkLocation=https://map.naver.com/p/entry/coordinates/3zfneK,2AF7N9?c=15.00,0,0,0,dh, friendlyName=네이버 위치</x:v>
      </x:c>
      <x:c r="AJ21" s="105" t="e">
        <x:f>HYPERLINK(IF(INDEX('영상 근거'!$F$7:$F$166,MATCH($A21&amp;"-K",'영상 근거'!$A$7:$A$166,0))=0,INDEX('영상 근거'!$Q$7:$Q$166,MATCH($A21&amp;"-K",'영상 근거'!$A$7:$A$166,0)),INDEX('영상 근거'!$F$7:$F$166,MATCH($A21&amp;"-K",'영상 근거'!$A$7:$A$166,0))),"카카오 거리뷰")</x:f>
        <x:v>HYPERLINK is not implemented. linkLocation=https://map.kakao.com/?panoid=1202971188&amp;pan=326.1&amp;zoom=0&amp;map_type=TYPE_MAP&amp;map_attribute=ROADVIEW&amp;urlX=483066.0&amp;urlY=1083952.0, friendlyName=카카오 거리뷰</x:v>
      </x:c>
      <x:c r="AK21" s="105" t="e">
        <x:f>HYPERLINK("#'영상 근거'!A"&amp;(MATCH($A21&amp;"-N",'영상 근거'!$A$7:$A$166,0)+6),"두 영상 기록")</x:f>
        <x:v>HYPERLINK is not implemented. linkLocation=#'영상 근거'!A35, friendlyName=두 영상 기록</x:v>
      </x:c>
      <x:c r="AL21" s="106"/>
      <x:c r="AM21" s="106"/>
      <x:c r="AN21" s="67" t="str">
        <x:f>IF(COUNTIFS('영상 근거'!$B$7:$B$166,$A21,'영상 근거'!$H$7:$H$166,"pass")+COUNTIFS('영상 근거'!$B$7:$B$166,$A21,'영상 근거'!$H$7:$H$166,"block")+COUNTIFS('영상 근거'!$B$7:$B$166,$A21,'영상 근거'!$H$7:$H$166,"unknown")&lt;2,"미입력",IF(COUNTIFS('영상 근거'!$B$7:$B$166,$A21,'영상 근거'!$H$7:$H$166,"pass")=2,"pass 일치",IF(COUNTIFS('영상 근거'!$B$7:$B$166,$A21,'영상 근거'!$H$7:$H$166,"block")=2,"block 일치",IF(COUNTIFS('영상 근거'!$B$7:$B$166,$A21,'영상 근거'!$H$7:$H$166,"unknown")=2,"모두 unknown",IF(AND(COUNTIFS('영상 근거'!$B$7:$B$166,$A21,'영상 근거'!$H$7:$H$166,"pass")=1,COUNTIFS('영상 근거'!$B$7:$B$166,$A21,'영상 근거'!$H$7:$H$166,"block")=1),"불일치","한쪽 unknown")))))</x:f>
        <x:v>미입력</x:v>
      </x:c>
      <x:c r="AO21" s="67" t="str">
        <x:f>IF(COUNTIFS('영상 근거'!$B$7:$B$166,$A21,'영상 근거'!$K$7:$K$166,"pass")+COUNTIFS('영상 근거'!$B$7:$B$166,$A21,'영상 근거'!$K$7:$K$166,"block")+COUNTIFS('영상 근거'!$B$7:$B$166,$A21,'영상 근거'!$K$7:$K$166,"unknown")&lt;2,"미입력",IF(COUNTIFS('영상 근거'!$B$7:$B$166,$A21,'영상 근거'!$K$7:$K$166,"pass")=2,"pass 일치",IF(COUNTIFS('영상 근거'!$B$7:$B$166,$A21,'영상 근거'!$K$7:$K$166,"block")=2,"block 일치",IF(COUNTIFS('영상 근거'!$B$7:$B$166,$A21,'영상 근거'!$K$7:$K$166,"unknown")=2,"모두 unknown",IF(AND(COUNTIFS('영상 근거'!$B$7:$B$166,$A21,'영상 근거'!$K$7:$K$166,"pass")=1,COUNTIFS('영상 근거'!$B$7:$B$166,$A21,'영상 근거'!$K$7:$K$166,"block")=1),"불일치","한쪽 unknown")))))</x:f>
        <x:v>미입력</x:v>
      </x:c>
      <x:c r="AP21" s="106"/>
      <x:c r="AQ21" s="106"/>
      <x:c r="AR21" s="109" t="str">
        <x:v>가림·판독보류</x:v>
      </x:c>
      <x:c r="AS21" s="109" t="str">
        <x:v>가림·판독보류</x:v>
      </x:c>
      <x:c r="AT21" s="109" t="str">
        <x:v>보정 비대상</x:v>
      </x:c>
      <x:c r="AU21" s="162" t="str">
        <x:v>AI candidate</x:v>
      </x:c>
      <x:c r="AV21" s="162" t="str">
        <x:v>N</x:v>
      </x:c>
      <x:c r="AW21" s="206" t="str">
        <x:v>사람검수 대기</x:v>
      </x:c>
    </x:row>
    <x:row r="22" ht="34" customHeight="1">
      <x:c r="A22" s="28" t="str">
        <x:v>CW08-B</x:v>
      </x:c>
      <x:c r="B22" s="28" t="str">
        <x:v>CW08</x:v>
      </x:c>
      <x:c r="C22" s="28" t="str">
        <x:v>2024121206</x:v>
      </x:c>
      <x:c r="D22" s="28" t="str">
        <x:v>B</x:v>
      </x:c>
      <x:c r="E22" s="48" t="n">
        <x:v>37.401551731931356</x:v>
      </x:c>
      <x:c r="F22" s="48" t="n">
        <x:v>126.92351919604104</x:v>
      </x:c>
      <x:c r="G22" s="28" t="str">
        <x:v>unknown</x:v>
      </x:c>
      <x:c r="H22" s="28" t="str"/>
      <x:c r="I22" s="28" t="str"/>
      <x:c r="J22" s="28" t="str">
        <x:v>provisional_high</x:v>
      </x:c>
      <x:c r="K22" s="30" t="n">
        <x:v>0.44</x:v>
      </x:c>
      <x:c r="L22" s="28" t="str">
        <x:v>N</x:v>
      </x:c>
      <x:c r="M22" s="33" t="str">
        <x:f>IF(S22="","pending_1st_review",IF(L22="Y",IF(Z22="","pending_2nd_review",IF(S22=Z22,"reviewed_agree",IF(AB22="","needs_adjudication","adjudicated"))),"reviewed_once"))</x:f>
        <x:v>pending_1st_review</x:v>
      </x:c>
      <x:c r="N22" s="46" t="str"/>
      <x:c r="O22" s="53" t="str"/>
      <x:c r="P22" s="46" t="str"/>
      <x:c r="Q22" s="46" t="str"/>
      <x:c r="R22" s="46" t="str"/>
      <x:c r="S22" s="46" t="str"/>
      <x:c r="T22" s="46" t="str"/>
      <x:c r="U22" s="46" t="str"/>
      <x:c r="V22" s="53" t="str"/>
      <x:c r="W22" s="46" t="str"/>
      <x:c r="X22" s="46" t="str"/>
      <x:c r="Y22" s="46" t="str"/>
      <x:c r="Z22" s="46" t="str"/>
      <x:c r="AA22" s="46" t="str"/>
      <x:c r="AB22" s="46" t="str"/>
      <x:c r="AC22" s="46" t="str">
        <x:v>visibility_review_needed</x:v>
      </x:c>
      <x:c r="AD22" s="51" t="n">
        <x:v>0.52</x:v>
      </x:c>
      <x:c r="AE22" s="46" t="str"/>
      <x:c r="AF22" s="53" t="str">
        <x:v>2025-11-17 14:28:06</x:v>
      </x:c>
      <x:c r="AG22" s="28" t="str">
        <x:v>https://map.kakao.com/link/roadview/37.4015517,126.9235192</x:v>
      </x:c>
      <x:c r="AH22" s="28" t="str">
        <x:v>asset_level_inherited_not_endpoint_verified</x:v>
      </x:c>
      <x:c r="AI22" s="105" t="e">
        <x:f>HYPERLINK(IF(INDEX('영상 근거'!$F$7:$F$166,MATCH($A22&amp;"-N",'영상 근거'!$A$7:$A$166,0))=0,INDEX('영상 근거'!$Q$7:$Q$166,MATCH($A22&amp;"-N",'영상 근거'!$A$7:$A$166,0)),INDEX('영상 근거'!$F$7:$F$166,MATCH($A22&amp;"-N",'영상 근거'!$A$7:$A$166,0))),IF(INDEX('영상 근거'!$F$7:$F$166,MATCH($A22&amp;"-N",'영상 근거'!$A$7:$A$166,0))=0,"네이버 위치","네이버 거리뷰"))</x:f>
        <x:v>HYPERLINK is not implemented. linkLocation=https://map.naver.com/p/entry/coordinates/3zfnpS,2AF7SR?c=15.00,0,0,0,dh, friendlyName=네이버 위치</x:v>
      </x:c>
      <x:c r="AJ22" s="105" t="e">
        <x:f>HYPERLINK(IF(INDEX('영상 근거'!$F$7:$F$166,MATCH($A22&amp;"-K",'영상 근거'!$A$7:$A$166,0))=0,INDEX('영상 근거'!$Q$7:$Q$166,MATCH($A22&amp;"-K",'영상 근거'!$A$7:$A$166,0)),INDEX('영상 근거'!$F$7:$F$166,MATCH($A22&amp;"-K",'영상 근거'!$A$7:$A$166,0))),"카카오 거리뷰")</x:f>
        <x:v>HYPERLINK is not implemented. linkLocation=https://map.kakao.com/?panoid=1202971188&amp;pan=326.1&amp;zoom=0&amp;map_type=TYPE_MAP&amp;map_attribute=ROADVIEW&amp;urlX=483066.0&amp;urlY=1083952.0, friendlyName=카카오 거리뷰</x:v>
      </x:c>
      <x:c r="AK22" s="105" t="e">
        <x:f>HYPERLINK("#'영상 근거'!A"&amp;(MATCH($A22&amp;"-N",'영상 근거'!$A$7:$A$166,0)+6),"두 영상 기록")</x:f>
        <x:v>HYPERLINK is not implemented. linkLocation=#'영상 근거'!A37, friendlyName=두 영상 기록</x:v>
      </x:c>
      <x:c r="AL22" s="106"/>
      <x:c r="AM22" s="106"/>
      <x:c r="AN22" s="67" t="str">
        <x:f>IF(COUNTIFS('영상 근거'!$B$7:$B$166,$A22,'영상 근거'!$H$7:$H$166,"pass")+COUNTIFS('영상 근거'!$B$7:$B$166,$A22,'영상 근거'!$H$7:$H$166,"block")+COUNTIFS('영상 근거'!$B$7:$B$166,$A22,'영상 근거'!$H$7:$H$166,"unknown")&lt;2,"미입력",IF(COUNTIFS('영상 근거'!$B$7:$B$166,$A22,'영상 근거'!$H$7:$H$166,"pass")=2,"pass 일치",IF(COUNTIFS('영상 근거'!$B$7:$B$166,$A22,'영상 근거'!$H$7:$H$166,"block")=2,"block 일치",IF(COUNTIFS('영상 근거'!$B$7:$B$166,$A22,'영상 근거'!$H$7:$H$166,"unknown")=2,"모두 unknown",IF(AND(COUNTIFS('영상 근거'!$B$7:$B$166,$A22,'영상 근거'!$H$7:$H$166,"pass")=1,COUNTIFS('영상 근거'!$B$7:$B$166,$A22,'영상 근거'!$H$7:$H$166,"block")=1),"불일치","한쪽 unknown")))))</x:f>
        <x:v>미입력</x:v>
      </x:c>
      <x:c r="AO22" s="67" t="str">
        <x:f>IF(COUNTIFS('영상 근거'!$B$7:$B$166,$A22,'영상 근거'!$K$7:$K$166,"pass")+COUNTIFS('영상 근거'!$B$7:$B$166,$A22,'영상 근거'!$K$7:$K$166,"block")+COUNTIFS('영상 근거'!$B$7:$B$166,$A22,'영상 근거'!$K$7:$K$166,"unknown")&lt;2,"미입력",IF(COUNTIFS('영상 근거'!$B$7:$B$166,$A22,'영상 근거'!$K$7:$K$166,"pass")=2,"pass 일치",IF(COUNTIFS('영상 근거'!$B$7:$B$166,$A22,'영상 근거'!$K$7:$K$166,"block")=2,"block 일치",IF(COUNTIFS('영상 근거'!$B$7:$B$166,$A22,'영상 근거'!$K$7:$K$166,"unknown")=2,"모두 unknown",IF(AND(COUNTIFS('영상 근거'!$B$7:$B$166,$A22,'영상 근거'!$K$7:$K$166,"pass")=1,COUNTIFS('영상 근거'!$B$7:$B$166,$A22,'영상 근거'!$K$7:$K$166,"block")=1),"불일치","한쪽 unknown")))))</x:f>
        <x:v>미입력</x:v>
      </x:c>
      <x:c r="AP22" s="106"/>
      <x:c r="AQ22" s="106"/>
      <x:c r="AR22" s="109" t="str">
        <x:v>시야 부족·판독보류</x:v>
      </x:c>
      <x:c r="AS22" s="109" t="str">
        <x:v>시야 부족·판독보류</x:v>
      </x:c>
      <x:c r="AT22" s="109" t="str">
        <x:v>보정 비대상</x:v>
      </x:c>
      <x:c r="AU22" s="162" t="str">
        <x:v>AI candidate</x:v>
      </x:c>
      <x:c r="AV22" s="162" t="str">
        <x:v>N</x:v>
      </x:c>
      <x:c r="AW22" s="206" t="str">
        <x:v>사람검수 대기</x:v>
      </x:c>
    </x:row>
    <x:row r="23" ht="34" customHeight="1">
      <x:c r="A23" s="28" t="str">
        <x:v>CW09-A</x:v>
      </x:c>
      <x:c r="B23" s="28" t="str">
        <x:v>CW09</x:v>
      </x:c>
      <x:c r="C23" s="28" t="str">
        <x:v>2024121203</x:v>
      </x:c>
      <x:c r="D23" s="28" t="str">
        <x:v>A</x:v>
      </x:c>
      <x:c r="E23" s="48" t="n">
        <x:v>37.4012455863223</x:v>
      </x:c>
      <x:c r="F23" s="48" t="n">
        <x:v>126.92224733040224</x:v>
      </x:c>
      <x:c r="G23" s="28" t="str">
        <x:v>unknown</x:v>
      </x:c>
      <x:c r="H23" s="28" t="str"/>
      <x:c r="I23" s="28" t="str"/>
      <x:c r="J23" s="28" t="str">
        <x:v>provisional_high</x:v>
      </x:c>
      <x:c r="K23" s="30" t="n">
        <x:v>0.58</x:v>
      </x:c>
      <x:c r="L23" s="28" t="str">
        <x:v>Y</x:v>
      </x:c>
      <x:c r="M23" s="33" t="str">
        <x:f>IF(S23="","pending_1st_review",IF(L23="Y",IF(Z23="","pending_2nd_review",IF(S23=Z23,"reviewed_agree",IF(AB23="","needs_adjudication","adjudicated"))),"reviewed_once"))</x:f>
        <x:v>pending_1st_review</x:v>
      </x:c>
      <x:c r="N23" s="46" t="str"/>
      <x:c r="O23" s="53" t="str"/>
      <x:c r="P23" s="46" t="str"/>
      <x:c r="Q23" s="46" t="str"/>
      <x:c r="R23" s="46" t="str"/>
      <x:c r="S23" s="46" t="str"/>
      <x:c r="T23" s="46" t="str"/>
      <x:c r="U23" s="46" t="str"/>
      <x:c r="V23" s="53" t="str"/>
      <x:c r="W23" s="46" t="str"/>
      <x:c r="X23" s="46" t="str"/>
      <x:c r="Y23" s="46" t="str"/>
      <x:c r="Z23" s="46" t="str"/>
      <x:c r="AA23" s="46" t="str"/>
      <x:c r="AB23" s="46" t="str"/>
      <x:c r="AC23" s="46" t="str">
        <x:v>geometry_mismatch_candidate</x:v>
      </x:c>
      <x:c r="AD23" s="51" t="n">
        <x:v>0.58</x:v>
      </x:c>
      <x:c r="AE23" s="46" t="str"/>
      <x:c r="AF23" s="53" t="str">
        <x:v>2025-11-18 11:48:15</x:v>
      </x:c>
      <x:c r="AG23" s="28" t="str">
        <x:v>https://map.kakao.com/link/roadview/37.4012456,126.9222473</x:v>
      </x:c>
      <x:c r="AH23" s="28" t="str">
        <x:v>asset_level_inherited_not_endpoint_verified</x:v>
      </x:c>
      <x:c r="AI23" s="105" t="e">
        <x:f>HYPERLINK(IF(INDEX('영상 근거'!$F$7:$F$166,MATCH($A23&amp;"-N",'영상 근거'!$A$7:$A$166,0))=0,INDEX('영상 근거'!$Q$7:$Q$166,MATCH($A23&amp;"-N",'영상 근거'!$A$7:$A$166,0)),INDEX('영상 근거'!$F$7:$F$166,MATCH($A23&amp;"-N",'영상 근거'!$A$7:$A$166,0))),IF(INDEX('영상 근거'!$F$7:$F$166,MATCH($A23&amp;"-N",'영상 근거'!$A$7:$A$166,0))=0,"네이버 위치","네이버 거리뷰"))</x:f>
        <x:v>HYPERLINK is not implemented. linkLocation=https://map.naver.com/p/entry/coordinates/3zfk6J,2AF75u?c=15.00,0,0,0,dh, friendlyName=네이버 위치</x:v>
      </x:c>
      <x:c r="AJ23" s="105" t="e">
        <x:f>HYPERLINK(IF(INDEX('영상 근거'!$F$7:$F$166,MATCH($A23&amp;"-K",'영상 근거'!$A$7:$A$166,0))=0,INDEX('영상 근거'!$Q$7:$Q$166,MATCH($A23&amp;"-K",'영상 근거'!$A$7:$A$166,0)),INDEX('영상 근거'!$F$7:$F$166,MATCH($A23&amp;"-K",'영상 근거'!$A$7:$A$166,0))),"카카오 거리뷰")</x:f>
        <x:v>HYPERLINK is not implemented. linkLocation=https://map.kakao.com/?panoid=1202871501&amp;pan=287.0&amp;zoom=0&amp;map_type=TYPE_MAP&amp;map_attribute=ROADVIEW&amp;urlX=482792.0&amp;urlY=1083853.0, friendlyName=카카오 거리뷰</x:v>
      </x:c>
      <x:c r="AK23" s="105" t="e">
        <x:f>HYPERLINK("#'영상 근거'!A"&amp;(MATCH($A23&amp;"-N",'영상 근거'!$A$7:$A$166,0)+6),"두 영상 기록")</x:f>
        <x:v>HYPERLINK is not implemented. linkLocation=#'영상 근거'!A39, friendlyName=두 영상 기록</x:v>
      </x:c>
      <x:c r="AL23" s="106"/>
      <x:c r="AM23" s="106"/>
      <x:c r="AN23" s="67" t="str">
        <x:f>IF(COUNTIFS('영상 근거'!$B$7:$B$166,$A23,'영상 근거'!$H$7:$H$166,"pass")+COUNTIFS('영상 근거'!$B$7:$B$166,$A23,'영상 근거'!$H$7:$H$166,"block")+COUNTIFS('영상 근거'!$B$7:$B$166,$A23,'영상 근거'!$H$7:$H$166,"unknown")&lt;2,"미입력",IF(COUNTIFS('영상 근거'!$B$7:$B$166,$A23,'영상 근거'!$H$7:$H$166,"pass")=2,"pass 일치",IF(COUNTIFS('영상 근거'!$B$7:$B$166,$A23,'영상 근거'!$H$7:$H$166,"block")=2,"block 일치",IF(COUNTIFS('영상 근거'!$B$7:$B$166,$A23,'영상 근거'!$H$7:$H$166,"unknown")=2,"모두 unknown",IF(AND(COUNTIFS('영상 근거'!$B$7:$B$166,$A23,'영상 근거'!$H$7:$H$166,"pass")=1,COUNTIFS('영상 근거'!$B$7:$B$166,$A23,'영상 근거'!$H$7:$H$166,"block")=1),"불일치","한쪽 unknown")))))</x:f>
        <x:v>미입력</x:v>
      </x:c>
      <x:c r="AO23" s="67" t="str">
        <x:f>IF(COUNTIFS('영상 근거'!$B$7:$B$166,$A23,'영상 근거'!$K$7:$K$166,"pass")+COUNTIFS('영상 근거'!$B$7:$B$166,$A23,'영상 근거'!$K$7:$K$166,"block")+COUNTIFS('영상 근거'!$B$7:$B$166,$A23,'영상 근거'!$K$7:$K$166,"unknown")&lt;2,"미입력",IF(COUNTIFS('영상 근거'!$B$7:$B$166,$A23,'영상 근거'!$K$7:$K$166,"pass")=2,"pass 일치",IF(COUNTIFS('영상 근거'!$B$7:$B$166,$A23,'영상 근거'!$K$7:$K$166,"block")=2,"block 일치",IF(COUNTIFS('영상 근거'!$B$7:$B$166,$A23,'영상 근거'!$K$7:$K$166,"unknown")=2,"모두 unknown",IF(AND(COUNTIFS('영상 근거'!$B$7:$B$166,$A23,'영상 근거'!$K$7:$K$166,"pass")=1,COUNTIFS('영상 근거'!$B$7:$B$166,$A23,'영상 근거'!$K$7:$K$166,"block")=1),"불일치","한쪽 unknown")))))</x:f>
        <x:v>미입력</x:v>
      </x:c>
      <x:c r="AP23" s="106"/>
      <x:c r="AQ23" s="106"/>
      <x:c r="AR23" s="109" t="str">
        <x:v>위치 불일치·판독보류</x:v>
      </x:c>
      <x:c r="AS23" s="109" t="str">
        <x:v>위치 불일치·판독보류</x:v>
      </x:c>
      <x:c r="AT23" s="109" t="str">
        <x:v>보정 필요</x:v>
      </x:c>
      <x:c r="AU23" s="162" t="str">
        <x:v>AI candidate</x:v>
      </x:c>
      <x:c r="AV23" s="162" t="str">
        <x:v>N</x:v>
      </x:c>
      <x:c r="AW23" s="206" t="str">
        <x:v>사람검수 대기</x:v>
      </x:c>
    </x:row>
    <x:row r="24" ht="34" customHeight="1">
      <x:c r="A24" s="28" t="str">
        <x:v>CW09-B</x:v>
      </x:c>
      <x:c r="B24" s="28" t="str">
        <x:v>CW09</x:v>
      </x:c>
      <x:c r="C24" s="28" t="str">
        <x:v>2024121203</x:v>
      </x:c>
      <x:c r="D24" s="28" t="str">
        <x:v>B</x:v>
      </x:c>
      <x:c r="E24" s="48" t="n">
        <x:v>37.40129217367772</x:v>
      </x:c>
      <x:c r="F24" s="48" t="n">
        <x:v>126.92232506959778</x:v>
      </x:c>
      <x:c r="G24" s="28" t="str">
        <x:v>unknown</x:v>
      </x:c>
      <x:c r="H24" s="28" t="str"/>
      <x:c r="I24" s="28" t="str"/>
      <x:c r="J24" s="28" t="str">
        <x:v>provisional_high</x:v>
      </x:c>
      <x:c r="K24" s="30" t="n">
        <x:v>0.58</x:v>
      </x:c>
      <x:c r="L24" s="28" t="str">
        <x:v>Y</x:v>
      </x:c>
      <x:c r="M24" s="33" t="str">
        <x:f>IF(S24="","pending_1st_review",IF(L24="Y",IF(Z24="","pending_2nd_review",IF(S24=Z24,"reviewed_agree",IF(AB24="","needs_adjudication","adjudicated"))),"reviewed_once"))</x:f>
        <x:v>pending_1st_review</x:v>
      </x:c>
      <x:c r="N24" s="46" t="str"/>
      <x:c r="O24" s="53" t="str"/>
      <x:c r="P24" s="46" t="str"/>
      <x:c r="Q24" s="46" t="str"/>
      <x:c r="R24" s="46" t="str"/>
      <x:c r="S24" s="46" t="str"/>
      <x:c r="T24" s="46" t="str"/>
      <x:c r="U24" s="46" t="str"/>
      <x:c r="V24" s="53" t="str"/>
      <x:c r="W24" s="46" t="str"/>
      <x:c r="X24" s="46" t="str"/>
      <x:c r="Y24" s="46" t="str"/>
      <x:c r="Z24" s="46" t="str"/>
      <x:c r="AA24" s="46" t="str"/>
      <x:c r="AB24" s="46" t="str"/>
      <x:c r="AC24" s="46" t="str">
        <x:v>geometry_mismatch_candidate</x:v>
      </x:c>
      <x:c r="AD24" s="51" t="n">
        <x:v>0.58</x:v>
      </x:c>
      <x:c r="AE24" s="46" t="str"/>
      <x:c r="AF24" s="53" t="str">
        <x:v>2025-12-01 13:09:18</x:v>
      </x:c>
      <x:c r="AG24" s="28" t="str">
        <x:v>https://map.kakao.com/link/roadview/37.4012922,126.9223251</x:v>
      </x:c>
      <x:c r="AH24" s="28" t="str">
        <x:v>asset_level_inherited_not_endpoint_verified</x:v>
      </x:c>
      <x:c r="AI24" s="105" t="e">
        <x:f>HYPERLINK(IF(INDEX('영상 근거'!$F$7:$F$166,MATCH($A24&amp;"-N",'영상 근거'!$A$7:$A$166,0))=0,INDEX('영상 근거'!$Q$7:$Q$166,MATCH($A24&amp;"-N",'영상 근거'!$A$7:$A$166,0)),INDEX('영상 근거'!$F$7:$F$166,MATCH($A24&amp;"-N",'영상 근거'!$A$7:$A$166,0))),IF(INDEX('영상 근거'!$F$7:$F$166,MATCH($A24&amp;"-N",'영상 근거'!$A$7:$A$166,0))=0,"네이버 위치","네이버 거리뷰"))</x:f>
        <x:v>HYPERLINK is not implemented. linkLocation=https://map.naver.com/p/entry/coordinates/3zfkjh,2AF7d0?c=15.00,0,0,0,dh, friendlyName=네이버 위치</x:v>
      </x:c>
      <x:c r="AJ24" s="105" t="e">
        <x:f>HYPERLINK(IF(INDEX('영상 근거'!$F$7:$F$166,MATCH($A24&amp;"-K",'영상 근거'!$A$7:$A$166,0))=0,INDEX('영상 근거'!$Q$7:$Q$166,MATCH($A24&amp;"-K",'영상 근거'!$A$7:$A$166,0)),INDEX('영상 근거'!$F$7:$F$166,MATCH($A24&amp;"-K",'영상 근거'!$A$7:$A$166,0))),"카카오 거리뷰")</x:f>
        <x:v>HYPERLINK is not implemented. linkLocation=https://map.kakao.com/?panoid=1203476172&amp;pan=320.5&amp;zoom=0&amp;map_type=TYPE_MAP&amp;map_attribute=ROADVIEW&amp;urlX=482806.0&amp;urlY=1083863.0, friendlyName=카카오 거리뷰</x:v>
      </x:c>
      <x:c r="AK24" s="105" t="e">
        <x:f>HYPERLINK("#'영상 근거'!A"&amp;(MATCH($A24&amp;"-N",'영상 근거'!$A$7:$A$166,0)+6),"두 영상 기록")</x:f>
        <x:v>HYPERLINK is not implemented. linkLocation=#'영상 근거'!A41, friendlyName=두 영상 기록</x:v>
      </x:c>
      <x:c r="AL24" s="106"/>
      <x:c r="AM24" s="106"/>
      <x:c r="AN24" s="67" t="str">
        <x:f>IF(COUNTIFS('영상 근거'!$B$7:$B$166,$A24,'영상 근거'!$H$7:$H$166,"pass")+COUNTIFS('영상 근거'!$B$7:$B$166,$A24,'영상 근거'!$H$7:$H$166,"block")+COUNTIFS('영상 근거'!$B$7:$B$166,$A24,'영상 근거'!$H$7:$H$166,"unknown")&lt;2,"미입력",IF(COUNTIFS('영상 근거'!$B$7:$B$166,$A24,'영상 근거'!$H$7:$H$166,"pass")=2,"pass 일치",IF(COUNTIFS('영상 근거'!$B$7:$B$166,$A24,'영상 근거'!$H$7:$H$166,"block")=2,"block 일치",IF(COUNTIFS('영상 근거'!$B$7:$B$166,$A24,'영상 근거'!$H$7:$H$166,"unknown")=2,"모두 unknown",IF(AND(COUNTIFS('영상 근거'!$B$7:$B$166,$A24,'영상 근거'!$H$7:$H$166,"pass")=1,COUNTIFS('영상 근거'!$B$7:$B$166,$A24,'영상 근거'!$H$7:$H$166,"block")=1),"불일치","한쪽 unknown")))))</x:f>
        <x:v>미입력</x:v>
      </x:c>
      <x:c r="AO24" s="67" t="str">
        <x:f>IF(COUNTIFS('영상 근거'!$B$7:$B$166,$A24,'영상 근거'!$K$7:$K$166,"pass")+COUNTIFS('영상 근거'!$B$7:$B$166,$A24,'영상 근거'!$K$7:$K$166,"block")+COUNTIFS('영상 근거'!$B$7:$B$166,$A24,'영상 근거'!$K$7:$K$166,"unknown")&lt;2,"미입력",IF(COUNTIFS('영상 근거'!$B$7:$B$166,$A24,'영상 근거'!$K$7:$K$166,"pass")=2,"pass 일치",IF(COUNTIFS('영상 근거'!$B$7:$B$166,$A24,'영상 근거'!$K$7:$K$166,"block")=2,"block 일치",IF(COUNTIFS('영상 근거'!$B$7:$B$166,$A24,'영상 근거'!$K$7:$K$166,"unknown")=2,"모두 unknown",IF(AND(COUNTIFS('영상 근거'!$B$7:$B$166,$A24,'영상 근거'!$K$7:$K$166,"pass")=1,COUNTIFS('영상 근거'!$B$7:$B$166,$A24,'영상 근거'!$K$7:$K$166,"block")=1),"불일치","한쪽 unknown")))))</x:f>
        <x:v>미입력</x:v>
      </x:c>
      <x:c r="AP24" s="106"/>
      <x:c r="AQ24" s="106"/>
      <x:c r="AR24" s="109" t="str">
        <x:v>위치 불일치·판독보류</x:v>
      </x:c>
      <x:c r="AS24" s="109" t="str">
        <x:v>위치 불일치·판독보류</x:v>
      </x:c>
      <x:c r="AT24" s="109" t="str">
        <x:v>보정 필요</x:v>
      </x:c>
      <x:c r="AU24" s="162" t="str">
        <x:v>AI candidate</x:v>
      </x:c>
      <x:c r="AV24" s="162" t="str">
        <x:v>N</x:v>
      </x:c>
      <x:c r="AW24" s="206" t="str">
        <x:v>사람검수 대기</x:v>
      </x:c>
    </x:row>
    <x:row r="25" ht="34" customHeight="1">
      <x:c r="A25" s="28" t="str">
        <x:v>CW10-A</x:v>
      </x:c>
      <x:c r="B25" s="28" t="str">
        <x:v>CW10</x:v>
      </x:c>
      <x:c r="C25" s="28" t="str">
        <x:v>2024121208</x:v>
      </x:c>
      <x:c r="D25" s="28" t="str">
        <x:v>A</x:v>
      </x:c>
      <x:c r="E25" s="48" t="n">
        <x:v>37.40122776316556</x:v>
      </x:c>
      <x:c r="F25" s="48" t="n">
        <x:v>126.92368033197005</x:v>
      </x:c>
      <x:c r="G25" s="28" t="str">
        <x:v>unknown</x:v>
      </x:c>
      <x:c r="H25" s="28" t="str"/>
      <x:c r="I25" s="28" t="str"/>
      <x:c r="J25" s="28" t="str">
        <x:v>provisional_high</x:v>
      </x:c>
      <x:c r="K25" s="30" t="n">
        <x:v>1.35</x:v>
      </x:c>
      <x:c r="L25" s="28" t="str">
        <x:v>N</x:v>
      </x:c>
      <x:c r="M25" s="33" t="str">
        <x:f>IF(S25="","pending_1st_review",IF(L25="Y",IF(Z25="","pending_2nd_review",IF(S25=Z25,"reviewed_agree",IF(AB25="","needs_adjudication","adjudicated"))),"reviewed_once"))</x:f>
        <x:v>pending_1st_review</x:v>
      </x:c>
      <x:c r="N25" s="46" t="str"/>
      <x:c r="O25" s="53" t="str"/>
      <x:c r="P25" s="46" t="str"/>
      <x:c r="Q25" s="46" t="str"/>
      <x:c r="R25" s="46" t="str"/>
      <x:c r="S25" s="46" t="str"/>
      <x:c r="T25" s="46" t="str"/>
      <x:c r="U25" s="46" t="str"/>
      <x:c r="V25" s="53" t="str"/>
      <x:c r="W25" s="46" t="str"/>
      <x:c r="X25" s="46" t="str"/>
      <x:c r="Y25" s="46" t="str"/>
      <x:c r="Z25" s="46" t="str"/>
      <x:c r="AA25" s="46" t="str"/>
      <x:c r="AB25" s="46" t="str"/>
      <x:c r="AC25" s="46" t="str">
        <x:v>occlusion_review_needed</x:v>
      </x:c>
      <x:c r="AD25" s="51" t="n">
        <x:v>0.52</x:v>
      </x:c>
      <x:c r="AE25" s="46" t="str"/>
      <x:c r="AF25" s="53" t="str">
        <x:v>2025-11-17 14:28:00</x:v>
      </x:c>
      <x:c r="AG25" s="28" t="str">
        <x:v>https://map.kakao.com/link/roadview/37.4012278,126.9236803</x:v>
      </x:c>
      <x:c r="AH25" s="28" t="str">
        <x:v>asset_level_inherited_not_endpoint_verified</x:v>
      </x:c>
      <x:c r="AI25" s="105" t="e">
        <x:f>HYPERLINK(IF(INDEX('영상 근거'!$F$7:$F$166,MATCH($A25&amp;"-N",'영상 근거'!$A$7:$A$166,0))=0,INDEX('영상 근거'!$Q$7:$Q$166,MATCH($A25&amp;"-N",'영상 근거'!$A$7:$A$166,0)),INDEX('영상 근거'!$F$7:$F$166,MATCH($A25&amp;"-N",'영상 근거'!$A$7:$A$166,0))),IF(INDEX('영상 근거'!$F$7:$F$166,MATCH($A25&amp;"-N",'영상 근거'!$A$7:$A$166,0))=0,"네이버 위치","네이버 거리뷰"))</x:f>
        <x:v>HYPERLINK is not implemented. linkLocation=https://map.naver.com/p/entry/coordinates/3zfnPR,2AF72C?c=15.00,0,0,0,dh, friendlyName=네이버 위치</x:v>
      </x:c>
      <x:c r="AJ25" s="105" t="e">
        <x:f>HYPERLINK(IF(INDEX('영상 근거'!$F$7:$F$166,MATCH($A25&amp;"-K",'영상 근거'!$A$7:$A$166,0))=0,INDEX('영상 근거'!$Q$7:$Q$166,MATCH($A25&amp;"-K",'영상 근거'!$A$7:$A$166,0)),INDEX('영상 근거'!$F$7:$F$166,MATCH($A25&amp;"-K",'영상 근거'!$A$7:$A$166,0))),"카카오 거리뷰")</x:f>
        <x:v>HYPERLINK is not implemented. linkLocation=https://map.kakao.com/?panoid=1202971184&amp;pan=327.6&amp;zoom=0&amp;map_type=TYPE_MAP&amp;map_attribute=ROADVIEW&amp;urlX=483119.0&amp;urlY=1083867.0, friendlyName=카카오 거리뷰</x:v>
      </x:c>
      <x:c r="AK25" s="105" t="e">
        <x:f>HYPERLINK("#'영상 근거'!A"&amp;(MATCH($A25&amp;"-N",'영상 근거'!$A$7:$A$166,0)+6),"두 영상 기록")</x:f>
        <x:v>HYPERLINK is not implemented. linkLocation=#'영상 근거'!A43, friendlyName=두 영상 기록</x:v>
      </x:c>
      <x:c r="AL25" s="106"/>
      <x:c r="AM25" s="106"/>
      <x:c r="AN25" s="67" t="str">
        <x:f>IF(COUNTIFS('영상 근거'!$B$7:$B$166,$A25,'영상 근거'!$H$7:$H$166,"pass")+COUNTIFS('영상 근거'!$B$7:$B$166,$A25,'영상 근거'!$H$7:$H$166,"block")+COUNTIFS('영상 근거'!$B$7:$B$166,$A25,'영상 근거'!$H$7:$H$166,"unknown")&lt;2,"미입력",IF(COUNTIFS('영상 근거'!$B$7:$B$166,$A25,'영상 근거'!$H$7:$H$166,"pass")=2,"pass 일치",IF(COUNTIFS('영상 근거'!$B$7:$B$166,$A25,'영상 근거'!$H$7:$H$166,"block")=2,"block 일치",IF(COUNTIFS('영상 근거'!$B$7:$B$166,$A25,'영상 근거'!$H$7:$H$166,"unknown")=2,"모두 unknown",IF(AND(COUNTIFS('영상 근거'!$B$7:$B$166,$A25,'영상 근거'!$H$7:$H$166,"pass")=1,COUNTIFS('영상 근거'!$B$7:$B$166,$A25,'영상 근거'!$H$7:$H$166,"block")=1),"불일치","한쪽 unknown")))))</x:f>
        <x:v>미입력</x:v>
      </x:c>
      <x:c r="AO25" s="67" t="str">
        <x:f>IF(COUNTIFS('영상 근거'!$B$7:$B$166,$A25,'영상 근거'!$K$7:$K$166,"pass")+COUNTIFS('영상 근거'!$B$7:$B$166,$A25,'영상 근거'!$K$7:$K$166,"block")+COUNTIFS('영상 근거'!$B$7:$B$166,$A25,'영상 근거'!$K$7:$K$166,"unknown")&lt;2,"미입력",IF(COUNTIFS('영상 근거'!$B$7:$B$166,$A25,'영상 근거'!$K$7:$K$166,"pass")=2,"pass 일치",IF(COUNTIFS('영상 근거'!$B$7:$B$166,$A25,'영상 근거'!$K$7:$K$166,"block")=2,"block 일치",IF(COUNTIFS('영상 근거'!$B$7:$B$166,$A25,'영상 근거'!$K$7:$K$166,"unknown")=2,"모두 unknown",IF(AND(COUNTIFS('영상 근거'!$B$7:$B$166,$A25,'영상 근거'!$K$7:$K$166,"pass")=1,COUNTIFS('영상 근거'!$B$7:$B$166,$A25,'영상 근거'!$K$7:$K$166,"block")=1),"불일치","한쪽 unknown")))))</x:f>
        <x:v>미입력</x:v>
      </x:c>
      <x:c r="AP25" s="106"/>
      <x:c r="AQ25" s="106"/>
      <x:c r="AR25" s="109" t="str">
        <x:v>가림·판독보류</x:v>
      </x:c>
      <x:c r="AS25" s="109" t="str">
        <x:v>가림·판독보류</x:v>
      </x:c>
      <x:c r="AT25" s="109" t="str">
        <x:v>보정 비대상</x:v>
      </x:c>
      <x:c r="AU25" s="162" t="str">
        <x:v>AI candidate</x:v>
      </x:c>
      <x:c r="AV25" s="162" t="str">
        <x:v>N</x:v>
      </x:c>
      <x:c r="AW25" s="206" t="str">
        <x:v>사람검수 대기</x:v>
      </x:c>
    </x:row>
    <x:row r="26" ht="34" customHeight="1">
      <x:c r="A26" s="28" t="str">
        <x:v>CW10-B</x:v>
      </x:c>
      <x:c r="B26" s="28" t="str">
        <x:v>CW10</x:v>
      </x:c>
      <x:c r="C26" s="28" t="str">
        <x:v>2024121208</x:v>
      </x:c>
      <x:c r="D26" s="28" t="str">
        <x:v>B</x:v>
      </x:c>
      <x:c r="E26" s="48" t="n">
        <x:v>37.40127715683444</x:v>
      </x:c>
      <x:c r="F26" s="48" t="n">
        <x:v>126.92376726802996</x:v>
      </x:c>
      <x:c r="G26" s="28" t="str">
        <x:v>unknown</x:v>
      </x:c>
      <x:c r="H26" s="28" t="str"/>
      <x:c r="I26" s="28" t="str"/>
      <x:c r="J26" s="28" t="str">
        <x:v>provisional_high</x:v>
      </x:c>
      <x:c r="K26" s="30" t="n">
        <x:v>1.35</x:v>
      </x:c>
      <x:c r="L26" s="28" t="str">
        <x:v>N</x:v>
      </x:c>
      <x:c r="M26" s="33" t="str">
        <x:f>IF(S26="","pending_1st_review",IF(L26="Y",IF(Z26="","pending_2nd_review",IF(S26=Z26,"reviewed_agree",IF(AB26="","needs_adjudication","adjudicated"))),"reviewed_once"))</x:f>
        <x:v>pending_1st_review</x:v>
      </x:c>
      <x:c r="N26" s="46" t="str"/>
      <x:c r="O26" s="53" t="str"/>
      <x:c r="P26" s="46" t="str"/>
      <x:c r="Q26" s="46" t="str"/>
      <x:c r="R26" s="46" t="str"/>
      <x:c r="S26" s="46" t="str"/>
      <x:c r="T26" s="46" t="str"/>
      <x:c r="U26" s="46" t="str"/>
      <x:c r="V26" s="53" t="str"/>
      <x:c r="W26" s="46" t="str"/>
      <x:c r="X26" s="46" t="str"/>
      <x:c r="Y26" s="46" t="str"/>
      <x:c r="Z26" s="46" t="str"/>
      <x:c r="AA26" s="46" t="str"/>
      <x:c r="AB26" s="46" t="str"/>
      <x:c r="AC26" s="46" t="str">
        <x:v>tactile_absent_candidate</x:v>
      </x:c>
      <x:c r="AD26" s="51" t="n">
        <x:v>0.76</x:v>
      </x:c>
      <x:c r="AE26" s="46" t="str"/>
      <x:c r="AF26" s="53" t="str">
        <x:v>2025-11-17 14:28:00</x:v>
      </x:c>
      <x:c r="AG26" s="28" t="str">
        <x:v>https://map.kakao.com/link/roadview/37.4012772,126.9237673</x:v>
      </x:c>
      <x:c r="AH26" s="28" t="str">
        <x:v>asset_level_inherited_not_endpoint_verified</x:v>
      </x:c>
      <x:c r="AI26" s="105" t="e">
        <x:f>HYPERLINK(IF(INDEX('영상 근거'!$F$7:$F$166,MATCH($A26&amp;"-N",'영상 근거'!$A$7:$A$166,0))=0,INDEX('영상 근거'!$Q$7:$Q$166,MATCH($A26&amp;"-N",'영상 근거'!$A$7:$A$166,0)),INDEX('영상 근거'!$F$7:$F$166,MATCH($A26&amp;"-N",'영상 근거'!$A$7:$A$166,0))),IF(INDEX('영상 근거'!$F$7:$F$166,MATCH($A26&amp;"-N",'영상 근거'!$A$7:$A$166,0))=0,"네이버 위치","네이버 거리뷰"))</x:f>
        <x:v>HYPERLINK is not implemented. linkLocation=https://map.naver.com/p/entry/coordinates/3zfo3T,2AF7aA?c=15.00,0,0,0,dh, friendlyName=네이버 위치</x:v>
      </x:c>
      <x:c r="AJ26" s="105" t="e">
        <x:f>HYPERLINK(IF(INDEX('영상 근거'!$F$7:$F$166,MATCH($A26&amp;"-K",'영상 근거'!$A$7:$A$166,0))=0,INDEX('영상 근거'!$Q$7:$Q$166,MATCH($A26&amp;"-K",'영상 근거'!$A$7:$A$166,0)),INDEX('영상 근거'!$F$7:$F$166,MATCH($A26&amp;"-K",'영상 근거'!$A$7:$A$166,0))),"카카오 거리뷰")</x:f>
        <x:v>HYPERLINK is not implemented. linkLocation=https://map.kakao.com/?panoid=1202971184&amp;pan=327.6&amp;zoom=0&amp;map_type=TYPE_MAP&amp;map_attribute=ROADVIEW&amp;urlX=483119.0&amp;urlY=1083867.0, friendlyName=카카오 거리뷰</x:v>
      </x:c>
      <x:c r="AK26" s="105" t="e">
        <x:f>HYPERLINK("#'영상 근거'!A"&amp;(MATCH($A26&amp;"-N",'영상 근거'!$A$7:$A$166,0)+6),"두 영상 기록")</x:f>
        <x:v>HYPERLINK is not implemented. linkLocation=#'영상 근거'!A45, friendlyName=두 영상 기록</x:v>
      </x:c>
      <x:c r="AL26" s="106"/>
      <x:c r="AM26" s="106"/>
      <x:c r="AN26" s="67" t="str">
        <x:f>IF(COUNTIFS('영상 근거'!$B$7:$B$166,$A26,'영상 근거'!$H$7:$H$166,"pass")+COUNTIFS('영상 근거'!$B$7:$B$166,$A26,'영상 근거'!$H$7:$H$166,"block")+COUNTIFS('영상 근거'!$B$7:$B$166,$A26,'영상 근거'!$H$7:$H$166,"unknown")&lt;2,"미입력",IF(COUNTIFS('영상 근거'!$B$7:$B$166,$A26,'영상 근거'!$H$7:$H$166,"pass")=2,"pass 일치",IF(COUNTIFS('영상 근거'!$B$7:$B$166,$A26,'영상 근거'!$H$7:$H$166,"block")=2,"block 일치",IF(COUNTIFS('영상 근거'!$B$7:$B$166,$A26,'영상 근거'!$H$7:$H$166,"unknown")=2,"모두 unknown",IF(AND(COUNTIFS('영상 근거'!$B$7:$B$166,$A26,'영상 근거'!$H$7:$H$166,"pass")=1,COUNTIFS('영상 근거'!$B$7:$B$166,$A26,'영상 근거'!$H$7:$H$166,"block")=1),"불일치","한쪽 unknown")))))</x:f>
        <x:v>미입력</x:v>
      </x:c>
      <x:c r="AO26" s="67" t="str">
        <x:f>IF(COUNTIFS('영상 근거'!$B$7:$B$166,$A26,'영상 근거'!$K$7:$K$166,"pass")+COUNTIFS('영상 근거'!$B$7:$B$166,$A26,'영상 근거'!$K$7:$K$166,"block")+COUNTIFS('영상 근거'!$B$7:$B$166,$A26,'영상 근거'!$K$7:$K$166,"unknown")&lt;2,"미입력",IF(COUNTIFS('영상 근거'!$B$7:$B$166,$A26,'영상 근거'!$K$7:$K$166,"pass")=2,"pass 일치",IF(COUNTIFS('영상 근거'!$B$7:$B$166,$A26,'영상 근거'!$K$7:$K$166,"block")=2,"block 일치",IF(COUNTIFS('영상 근거'!$B$7:$B$166,$A26,'영상 근거'!$K$7:$K$166,"unknown")=2,"모두 unknown",IF(AND(COUNTIFS('영상 근거'!$B$7:$B$166,$A26,'영상 근거'!$K$7:$K$166,"pass")=1,COUNTIFS('영상 근거'!$B$7:$B$166,$A26,'영상 근거'!$K$7:$K$166,"block")=1),"불일치","한쪽 unknown")))))</x:f>
        <x:v>미입력</x:v>
      </x:c>
      <x:c r="AP26" s="106"/>
      <x:c r="AQ26" s="106"/>
      <x:c r="AR26" s="109" t="str">
        <x:v>점자 사유 차단 아님</x:v>
      </x:c>
      <x:c r="AS26" s="109" t="str">
        <x:v>점자 유도 결함 후보</x:v>
      </x:c>
      <x:c r="AT26" s="109" t="str">
        <x:v>보정 비대상</x:v>
      </x:c>
      <x:c r="AU26" s="162" t="str">
        <x:v>AI candidate</x:v>
      </x:c>
      <x:c r="AV26" s="162" t="str">
        <x:v>N</x:v>
      </x:c>
      <x:c r="AW26" s="206" t="str">
        <x:v>사람검수 대기</x:v>
      </x:c>
    </x:row>
    <x:row r="27" ht="34" customHeight="1">
      <x:c r="A27" s="28" t="str">
        <x:v>CW11-A</x:v>
      </x:c>
      <x:c r="B27" s="28" t="str">
        <x:v>CW11</x:v>
      </x:c>
      <x:c r="C27" s="28" t="str">
        <x:v>2024121196</x:v>
      </x:c>
      <x:c r="D27" s="28" t="str">
        <x:v>A</x:v>
      </x:c>
      <x:c r="E27" s="48" t="n">
        <x:v>37.401019360005925</x:v>
      </x:c>
      <x:c r="F27" s="48" t="n">
        <x:v>126.92269349040264</x:v>
      </x:c>
      <x:c r="G27" s="28" t="str">
        <x:v>unknown</x:v>
      </x:c>
      <x:c r="H27" s="28" t="str"/>
      <x:c r="I27" s="28" t="str"/>
      <x:c r="J27" s="28" t="str">
        <x:v>provisional_high</x:v>
      </x:c>
      <x:c r="K27" s="30" t="n">
        <x:v>4.77</x:v>
      </x:c>
      <x:c r="L27" s="28" t="str">
        <x:v>N</x:v>
      </x:c>
      <x:c r="M27" s="33" t="str">
        <x:f>IF(S27="","pending_1st_review",IF(L27="Y",IF(Z27="","pending_2nd_review",IF(S27=Z27,"reviewed_agree",IF(AB27="","needs_adjudication","adjudicated"))),"reviewed_once"))</x:f>
        <x:v>pending_1st_review</x:v>
      </x:c>
      <x:c r="N27" s="46" t="str"/>
      <x:c r="O27" s="53" t="str"/>
      <x:c r="P27" s="46" t="str"/>
      <x:c r="Q27" s="46" t="str"/>
      <x:c r="R27" s="46" t="str"/>
      <x:c r="S27" s="46" t="str"/>
      <x:c r="T27" s="46" t="str"/>
      <x:c r="U27" s="46" t="str"/>
      <x:c r="V27" s="53" t="str"/>
      <x:c r="W27" s="46" t="str"/>
      <x:c r="X27" s="46" t="str"/>
      <x:c r="Y27" s="46" t="str"/>
      <x:c r="Z27" s="46" t="str"/>
      <x:c r="AA27" s="46" t="str"/>
      <x:c r="AB27" s="46" t="str"/>
      <x:c r="AC27" s="46" t="str">
        <x:v>geometry_mismatch_candidate</x:v>
      </x:c>
      <x:c r="AD27" s="51" t="n">
        <x:v>0.58</x:v>
      </x:c>
      <x:c r="AE27" s="46" t="str"/>
      <x:c r="AF27" s="53" t="str">
        <x:v>2025-11-18 14:46:16</x:v>
      </x:c>
      <x:c r="AG27" s="28" t="str">
        <x:v>https://map.kakao.com/link/roadview/37.4010194,126.9226935</x:v>
      </x:c>
      <x:c r="AH27" s="28" t="str">
        <x:v>asset_level_inherited_not_endpoint_verified</x:v>
      </x:c>
      <x:c r="AI27" s="105" t="e">
        <x:f>HYPERLINK(IF(INDEX('영상 근거'!$F$7:$F$166,MATCH($A27&amp;"-N",'영상 근거'!$A$7:$A$166,0))=0,INDEX('영상 근거'!$Q$7:$Q$166,MATCH($A27&amp;"-N",'영상 근거'!$A$7:$A$166,0)),INDEX('영상 근거'!$F$7:$F$166,MATCH($A27&amp;"-N",'영상 근거'!$A$7:$A$166,0))),IF(INDEX('영상 근거'!$F$7:$F$166,MATCH($A27&amp;"-N",'영상 근거'!$A$7:$A$166,0))=0,"네이버 위치","네이버 거리뷰"))</x:f>
        <x:v>HYPERLINK is not implemented. linkLocation=https://map.naver.com/p/entry/coordinates/3zflgH,2AF6v0?c=15.00,0,0,0,dh, friendlyName=네이버 위치</x:v>
      </x:c>
      <x:c r="AJ27" s="105" t="e">
        <x:f>HYPERLINK(IF(INDEX('영상 근거'!$F$7:$F$166,MATCH($A27&amp;"-K",'영상 근거'!$A$7:$A$166,0))=0,INDEX('영상 근거'!$Q$7:$Q$166,MATCH($A27&amp;"-K",'영상 근거'!$A$7:$A$166,0)),INDEX('영상 근거'!$F$7:$F$166,MATCH($A27&amp;"-K",'영상 근거'!$A$7:$A$166,0))),"카카오 거리뷰")</x:f>
        <x:v>HYPERLINK is not implemented. linkLocation=https://map.kakao.com/?panoid=1202874755&amp;pan=320.5&amp;zoom=0&amp;map_type=TYPE_MAP&amp;map_attribute=ROADVIEW&amp;urlX=482856.0&amp;urlY=1083789.0, friendlyName=카카오 거리뷰</x:v>
      </x:c>
      <x:c r="AK27" s="105" t="e">
        <x:f>HYPERLINK("#'영상 근거'!A"&amp;(MATCH($A27&amp;"-N",'영상 근거'!$A$7:$A$166,0)+6),"두 영상 기록")</x:f>
        <x:v>HYPERLINK is not implemented. linkLocation=#'영상 근거'!A47, friendlyName=두 영상 기록</x:v>
      </x:c>
      <x:c r="AL27" s="106"/>
      <x:c r="AM27" s="106"/>
      <x:c r="AN27" s="67" t="str">
        <x:f>IF(COUNTIFS('영상 근거'!$B$7:$B$166,$A27,'영상 근거'!$H$7:$H$166,"pass")+COUNTIFS('영상 근거'!$B$7:$B$166,$A27,'영상 근거'!$H$7:$H$166,"block")+COUNTIFS('영상 근거'!$B$7:$B$166,$A27,'영상 근거'!$H$7:$H$166,"unknown")&lt;2,"미입력",IF(COUNTIFS('영상 근거'!$B$7:$B$166,$A27,'영상 근거'!$H$7:$H$166,"pass")=2,"pass 일치",IF(COUNTIFS('영상 근거'!$B$7:$B$166,$A27,'영상 근거'!$H$7:$H$166,"block")=2,"block 일치",IF(COUNTIFS('영상 근거'!$B$7:$B$166,$A27,'영상 근거'!$H$7:$H$166,"unknown")=2,"모두 unknown",IF(AND(COUNTIFS('영상 근거'!$B$7:$B$166,$A27,'영상 근거'!$H$7:$H$166,"pass")=1,COUNTIFS('영상 근거'!$B$7:$B$166,$A27,'영상 근거'!$H$7:$H$166,"block")=1),"불일치","한쪽 unknown")))))</x:f>
        <x:v>미입력</x:v>
      </x:c>
      <x:c r="AO27" s="67" t="str">
        <x:f>IF(COUNTIFS('영상 근거'!$B$7:$B$166,$A27,'영상 근거'!$K$7:$K$166,"pass")+COUNTIFS('영상 근거'!$B$7:$B$166,$A27,'영상 근거'!$K$7:$K$166,"block")+COUNTIFS('영상 근거'!$B$7:$B$166,$A27,'영상 근거'!$K$7:$K$166,"unknown")&lt;2,"미입력",IF(COUNTIFS('영상 근거'!$B$7:$B$166,$A27,'영상 근거'!$K$7:$K$166,"pass")=2,"pass 일치",IF(COUNTIFS('영상 근거'!$B$7:$B$166,$A27,'영상 근거'!$K$7:$K$166,"block")=2,"block 일치",IF(COUNTIFS('영상 근거'!$B$7:$B$166,$A27,'영상 근거'!$K$7:$K$166,"unknown")=2,"모두 unknown",IF(AND(COUNTIFS('영상 근거'!$B$7:$B$166,$A27,'영상 근거'!$K$7:$K$166,"pass")=1,COUNTIFS('영상 근거'!$B$7:$B$166,$A27,'영상 근거'!$K$7:$K$166,"block")=1),"불일치","한쪽 unknown")))))</x:f>
        <x:v>미입력</x:v>
      </x:c>
      <x:c r="AP27" s="106"/>
      <x:c r="AQ27" s="106"/>
      <x:c r="AR27" s="109" t="str">
        <x:v>위치 불일치·판독보류</x:v>
      </x:c>
      <x:c r="AS27" s="109" t="str">
        <x:v>위치 불일치·판독보류</x:v>
      </x:c>
      <x:c r="AT27" s="109" t="str">
        <x:v>보정 필요</x:v>
      </x:c>
      <x:c r="AU27" s="162" t="str">
        <x:v>AI candidate</x:v>
      </x:c>
      <x:c r="AV27" s="162" t="str">
        <x:v>N</x:v>
      </x:c>
      <x:c r="AW27" s="206" t="str">
        <x:v>사람검수 대기</x:v>
      </x:c>
    </x:row>
    <x:row r="28" ht="34" customHeight="1">
      <x:c r="A28" s="28" t="str">
        <x:v>CW11-B</x:v>
      </x:c>
      <x:c r="B28" s="28" t="str">
        <x:v>CW11</x:v>
      </x:c>
      <x:c r="C28" s="28" t="str">
        <x:v>2024121196</x:v>
      </x:c>
      <x:c r="D28" s="28" t="str">
        <x:v>B</x:v>
      </x:c>
      <x:c r="E28" s="48" t="n">
        <x:v>37.40104407999407</x:v>
      </x:c>
      <x:c r="F28" s="48" t="n">
        <x:v>126.92273490959737</x:v>
      </x:c>
      <x:c r="G28" s="28" t="str">
        <x:v>unknown</x:v>
      </x:c>
      <x:c r="H28" s="28" t="str"/>
      <x:c r="I28" s="28" t="str"/>
      <x:c r="J28" s="28" t="str">
        <x:v>provisional_high</x:v>
      </x:c>
      <x:c r="K28" s="30" t="n">
        <x:v>4.77</x:v>
      </x:c>
      <x:c r="L28" s="28" t="str">
        <x:v>N</x:v>
      </x:c>
      <x:c r="M28" s="33" t="str">
        <x:f>IF(S28="","pending_1st_review",IF(L28="Y",IF(Z28="","pending_2nd_review",IF(S28=Z28,"reviewed_agree",IF(AB28="","needs_adjudication","adjudicated"))),"reviewed_once"))</x:f>
        <x:v>pending_1st_review</x:v>
      </x:c>
      <x:c r="N28" s="46" t="str"/>
      <x:c r="O28" s="53" t="str"/>
      <x:c r="P28" s="46" t="str"/>
      <x:c r="Q28" s="46" t="str"/>
      <x:c r="R28" s="46" t="str"/>
      <x:c r="S28" s="46" t="str"/>
      <x:c r="T28" s="46" t="str"/>
      <x:c r="U28" s="46" t="str"/>
      <x:c r="V28" s="53" t="str"/>
      <x:c r="W28" s="46" t="str"/>
      <x:c r="X28" s="46" t="str"/>
      <x:c r="Y28" s="46" t="str"/>
      <x:c r="Z28" s="46" t="str"/>
      <x:c r="AA28" s="46" t="str"/>
      <x:c r="AB28" s="46" t="str"/>
      <x:c r="AC28" s="46" t="str">
        <x:v>geometry_mismatch_candidate</x:v>
      </x:c>
      <x:c r="AD28" s="51" t="n">
        <x:v>0.58</x:v>
      </x:c>
      <x:c r="AE28" s="46" t="str"/>
      <x:c r="AF28" s="53" t="str">
        <x:v>2025-11-18 14:46:16</x:v>
      </x:c>
      <x:c r="AG28" s="28" t="str">
        <x:v>https://map.kakao.com/link/roadview/37.4010441,126.9227349</x:v>
      </x:c>
      <x:c r="AH28" s="28" t="str">
        <x:v>asset_level_inherited_not_endpoint_verified</x:v>
      </x:c>
      <x:c r="AI28" s="105" t="e">
        <x:f>HYPERLINK(IF(INDEX('영상 근거'!$F$7:$F$166,MATCH($A28&amp;"-N",'영상 근거'!$A$7:$A$166,0))=0,INDEX('영상 근거'!$Q$7:$Q$166,MATCH($A28&amp;"-N",'영상 근거'!$A$7:$A$166,0)),INDEX('영상 근거'!$F$7:$F$166,MATCH($A28&amp;"-N",'영상 근거'!$A$7:$A$166,0))),IF(INDEX('영상 근거'!$F$7:$F$166,MATCH($A28&amp;"-N",'영상 근거'!$A$7:$A$166,0))=0,"네이버 위치","네이버 거리뷰"))</x:f>
        <x:v>HYPERLINK is not implemented. linkLocation=https://map.naver.com/p/entry/coordinates/3zflnn,2AF6yZ?c=15.00,0,0,0,dh, friendlyName=네이버 위치</x:v>
      </x:c>
      <x:c r="AJ28" s="105" t="e">
        <x:f>HYPERLINK(IF(INDEX('영상 근거'!$F$7:$F$166,MATCH($A28&amp;"-K",'영상 근거'!$A$7:$A$166,0))=0,INDEX('영상 근거'!$Q$7:$Q$166,MATCH($A28&amp;"-K",'영상 근거'!$A$7:$A$166,0)),INDEX('영상 근거'!$F$7:$F$166,MATCH($A28&amp;"-K",'영상 근거'!$A$7:$A$166,0))),"카카오 거리뷰")</x:f>
        <x:v>HYPERLINK is not implemented. linkLocation=https://map.kakao.com/?panoid=1202874755&amp;pan=320.5&amp;zoom=0&amp;map_type=TYPE_MAP&amp;map_attribute=ROADVIEW&amp;urlX=482856.0&amp;urlY=1083789.0, friendlyName=카카오 거리뷰</x:v>
      </x:c>
      <x:c r="AK28" s="105" t="e">
        <x:f>HYPERLINK("#'영상 근거'!A"&amp;(MATCH($A28&amp;"-N",'영상 근거'!$A$7:$A$166,0)+6),"두 영상 기록")</x:f>
        <x:v>HYPERLINK is not implemented. linkLocation=#'영상 근거'!A49, friendlyName=두 영상 기록</x:v>
      </x:c>
      <x:c r="AL28" s="106"/>
      <x:c r="AM28" s="106"/>
      <x:c r="AN28" s="67" t="str">
        <x:f>IF(COUNTIFS('영상 근거'!$B$7:$B$166,$A28,'영상 근거'!$H$7:$H$166,"pass")+COUNTIFS('영상 근거'!$B$7:$B$166,$A28,'영상 근거'!$H$7:$H$166,"block")+COUNTIFS('영상 근거'!$B$7:$B$166,$A28,'영상 근거'!$H$7:$H$166,"unknown")&lt;2,"미입력",IF(COUNTIFS('영상 근거'!$B$7:$B$166,$A28,'영상 근거'!$H$7:$H$166,"pass")=2,"pass 일치",IF(COUNTIFS('영상 근거'!$B$7:$B$166,$A28,'영상 근거'!$H$7:$H$166,"block")=2,"block 일치",IF(COUNTIFS('영상 근거'!$B$7:$B$166,$A28,'영상 근거'!$H$7:$H$166,"unknown")=2,"모두 unknown",IF(AND(COUNTIFS('영상 근거'!$B$7:$B$166,$A28,'영상 근거'!$H$7:$H$166,"pass")=1,COUNTIFS('영상 근거'!$B$7:$B$166,$A28,'영상 근거'!$H$7:$H$166,"block")=1),"불일치","한쪽 unknown")))))</x:f>
        <x:v>미입력</x:v>
      </x:c>
      <x:c r="AO28" s="67" t="str">
        <x:f>IF(COUNTIFS('영상 근거'!$B$7:$B$166,$A28,'영상 근거'!$K$7:$K$166,"pass")+COUNTIFS('영상 근거'!$B$7:$B$166,$A28,'영상 근거'!$K$7:$K$166,"block")+COUNTIFS('영상 근거'!$B$7:$B$166,$A28,'영상 근거'!$K$7:$K$166,"unknown")&lt;2,"미입력",IF(COUNTIFS('영상 근거'!$B$7:$B$166,$A28,'영상 근거'!$K$7:$K$166,"pass")=2,"pass 일치",IF(COUNTIFS('영상 근거'!$B$7:$B$166,$A28,'영상 근거'!$K$7:$K$166,"block")=2,"block 일치",IF(COUNTIFS('영상 근거'!$B$7:$B$166,$A28,'영상 근거'!$K$7:$K$166,"unknown")=2,"모두 unknown",IF(AND(COUNTIFS('영상 근거'!$B$7:$B$166,$A28,'영상 근거'!$K$7:$K$166,"pass")=1,COUNTIFS('영상 근거'!$B$7:$B$166,$A28,'영상 근거'!$K$7:$K$166,"block")=1),"불일치","한쪽 unknown")))))</x:f>
        <x:v>미입력</x:v>
      </x:c>
      <x:c r="AP28" s="106"/>
      <x:c r="AQ28" s="106"/>
      <x:c r="AR28" s="109" t="str">
        <x:v>위치 불일치·판독보류</x:v>
      </x:c>
      <x:c r="AS28" s="109" t="str">
        <x:v>위치 불일치·판독보류</x:v>
      </x:c>
      <x:c r="AT28" s="109" t="str">
        <x:v>보정 필요</x:v>
      </x:c>
      <x:c r="AU28" s="162" t="str">
        <x:v>AI candidate</x:v>
      </x:c>
      <x:c r="AV28" s="162" t="str">
        <x:v>N</x:v>
      </x:c>
      <x:c r="AW28" s="206" t="str">
        <x:v>사람검수 대기</x:v>
      </x:c>
    </x:row>
    <x:row r="29" ht="34" customHeight="1">
      <x:c r="A29" s="28" t="str">
        <x:v>CW12-A</x:v>
      </x:c>
      <x:c r="B29" s="28" t="str">
        <x:v>CW12</x:v>
      </x:c>
      <x:c r="C29" s="28" t="str">
        <x:v>2024121197</x:v>
      </x:c>
      <x:c r="D29" s="28" t="str">
        <x:v>A</x:v>
      </x:c>
      <x:c r="E29" s="48" t="n">
        <x:v>37.40099326142671</x:v>
      </x:c>
      <x:c r="F29" s="48" t="n">
        <x:v>126.92264523773848</x:v>
      </x:c>
      <x:c r="G29" s="28" t="str">
        <x:v>unknown</x:v>
      </x:c>
      <x:c r="H29" s="28" t="str"/>
      <x:c r="I29" s="28" t="str"/>
      <x:c r="J29" s="28" t="str">
        <x:v>provisional_high</x:v>
      </x:c>
      <x:c r="K29" s="30" t="n">
        <x:v>0.96</x:v>
      </x:c>
      <x:c r="L29" s="28" t="str">
        <x:v>Y</x:v>
      </x:c>
      <x:c r="M29" s="33" t="str">
        <x:f>IF(S29="","pending_1st_review",IF(L29="Y",IF(Z29="","pending_2nd_review",IF(S29=Z29,"reviewed_agree",IF(AB29="","needs_adjudication","adjudicated"))),"reviewed_once"))</x:f>
        <x:v>pending_1st_review</x:v>
      </x:c>
      <x:c r="N29" s="46" t="str"/>
      <x:c r="O29" s="53" t="str"/>
      <x:c r="P29" s="46" t="str"/>
      <x:c r="Q29" s="46" t="str"/>
      <x:c r="R29" s="46" t="str"/>
      <x:c r="S29" s="46" t="str"/>
      <x:c r="T29" s="46" t="str"/>
      <x:c r="U29" s="46" t="str"/>
      <x:c r="V29" s="53" t="str"/>
      <x:c r="W29" s="46" t="str"/>
      <x:c r="X29" s="46" t="str"/>
      <x:c r="Y29" s="46" t="str"/>
      <x:c r="Z29" s="46" t="str"/>
      <x:c r="AA29" s="46" t="str"/>
      <x:c r="AB29" s="46" t="str"/>
      <x:c r="AC29" s="46" t="str">
        <x:v>geometry_mismatch_candidate</x:v>
      </x:c>
      <x:c r="AD29" s="51" t="n">
        <x:v>0.58</x:v>
      </x:c>
      <x:c r="AE29" s="46" t="str"/>
      <x:c r="AF29" s="53" t="str">
        <x:v>2025-11-18 14:46:16</x:v>
      </x:c>
      <x:c r="AG29" s="28" t="str">
        <x:v>https://map.kakao.com/link/roadview/37.4009933,126.9226452</x:v>
      </x:c>
      <x:c r="AH29" s="28" t="str">
        <x:v>asset_level_inherited_not_endpoint_verified</x:v>
      </x:c>
      <x:c r="AI29" s="105" t="e">
        <x:f>HYPERLINK(IF(INDEX('영상 근거'!$F$7:$F$166,MATCH($A29&amp;"-N",'영상 근거'!$A$7:$A$166,0))=0,INDEX('영상 근거'!$Q$7:$Q$166,MATCH($A29&amp;"-N",'영상 근거'!$A$7:$A$166,0)),INDEX('영상 근거'!$F$7:$F$166,MATCH($A29&amp;"-N",'영상 근거'!$A$7:$A$166,0))),IF(INDEX('영상 근거'!$F$7:$F$166,MATCH($A29&amp;"-N",'영상 근거'!$A$7:$A$166,0))=0,"네이버 위치","네이버 거리뷰"))</x:f>
        <x:v>HYPERLINK is not implemented. linkLocation=https://map.naver.com/p/entry/coordinates/3zfl8U,2AF6qN?c=15.00,0,0,0,dh, friendlyName=네이버 위치</x:v>
      </x:c>
      <x:c r="AJ29" s="105" t="e">
        <x:f>HYPERLINK(IF(INDEX('영상 근거'!$F$7:$F$166,MATCH($A29&amp;"-K",'영상 근거'!$A$7:$A$166,0))=0,INDEX('영상 근거'!$Q$7:$Q$166,MATCH($A29&amp;"-K",'영상 근거'!$A$7:$A$166,0)),INDEX('영상 근거'!$F$7:$F$166,MATCH($A29&amp;"-K",'영상 근거'!$A$7:$A$166,0))),"카카오 거리뷰")</x:f>
        <x:v>HYPERLINK is not implemented. linkLocation=https://map.kakao.com/?panoid=1202874755&amp;pan=320.5&amp;zoom=0&amp;map_type=TYPE_MAP&amp;map_attribute=ROADVIEW&amp;urlX=482856.0&amp;urlY=1083789.0, friendlyName=카카오 거리뷰</x:v>
      </x:c>
      <x:c r="AK29" s="105" t="e">
        <x:f>HYPERLINK("#'영상 근거'!A"&amp;(MATCH($A29&amp;"-N",'영상 근거'!$A$7:$A$166,0)+6),"두 영상 기록")</x:f>
        <x:v>HYPERLINK is not implemented. linkLocation=#'영상 근거'!A51, friendlyName=두 영상 기록</x:v>
      </x:c>
      <x:c r="AL29" s="106"/>
      <x:c r="AM29" s="106"/>
      <x:c r="AN29" s="67" t="str">
        <x:f>IF(COUNTIFS('영상 근거'!$B$7:$B$166,$A29,'영상 근거'!$H$7:$H$166,"pass")+COUNTIFS('영상 근거'!$B$7:$B$166,$A29,'영상 근거'!$H$7:$H$166,"block")+COUNTIFS('영상 근거'!$B$7:$B$166,$A29,'영상 근거'!$H$7:$H$166,"unknown")&lt;2,"미입력",IF(COUNTIFS('영상 근거'!$B$7:$B$166,$A29,'영상 근거'!$H$7:$H$166,"pass")=2,"pass 일치",IF(COUNTIFS('영상 근거'!$B$7:$B$166,$A29,'영상 근거'!$H$7:$H$166,"block")=2,"block 일치",IF(COUNTIFS('영상 근거'!$B$7:$B$166,$A29,'영상 근거'!$H$7:$H$166,"unknown")=2,"모두 unknown",IF(AND(COUNTIFS('영상 근거'!$B$7:$B$166,$A29,'영상 근거'!$H$7:$H$166,"pass")=1,COUNTIFS('영상 근거'!$B$7:$B$166,$A29,'영상 근거'!$H$7:$H$166,"block")=1),"불일치","한쪽 unknown")))))</x:f>
        <x:v>미입력</x:v>
      </x:c>
      <x:c r="AO29" s="67" t="str">
        <x:f>IF(COUNTIFS('영상 근거'!$B$7:$B$166,$A29,'영상 근거'!$K$7:$K$166,"pass")+COUNTIFS('영상 근거'!$B$7:$B$166,$A29,'영상 근거'!$K$7:$K$166,"block")+COUNTIFS('영상 근거'!$B$7:$B$166,$A29,'영상 근거'!$K$7:$K$166,"unknown")&lt;2,"미입력",IF(COUNTIFS('영상 근거'!$B$7:$B$166,$A29,'영상 근거'!$K$7:$K$166,"pass")=2,"pass 일치",IF(COUNTIFS('영상 근거'!$B$7:$B$166,$A29,'영상 근거'!$K$7:$K$166,"block")=2,"block 일치",IF(COUNTIFS('영상 근거'!$B$7:$B$166,$A29,'영상 근거'!$K$7:$K$166,"unknown")=2,"모두 unknown",IF(AND(COUNTIFS('영상 근거'!$B$7:$B$166,$A29,'영상 근거'!$K$7:$K$166,"pass")=1,COUNTIFS('영상 근거'!$B$7:$B$166,$A29,'영상 근거'!$K$7:$K$166,"block")=1),"불일치","한쪽 unknown")))))</x:f>
        <x:v>미입력</x:v>
      </x:c>
      <x:c r="AP29" s="106"/>
      <x:c r="AQ29" s="106"/>
      <x:c r="AR29" s="109" t="str">
        <x:v>위치 불일치·판독보류</x:v>
      </x:c>
      <x:c r="AS29" s="109" t="str">
        <x:v>위치 불일치·판독보류</x:v>
      </x:c>
      <x:c r="AT29" s="109" t="str">
        <x:v>보정 필요</x:v>
      </x:c>
      <x:c r="AU29" s="162" t="str">
        <x:v>AI candidate</x:v>
      </x:c>
      <x:c r="AV29" s="162" t="str">
        <x:v>N</x:v>
      </x:c>
      <x:c r="AW29" s="206" t="str">
        <x:v>사람검수 대기</x:v>
      </x:c>
    </x:row>
    <x:row r="30" ht="34" customHeight="1">
      <x:c r="A30" s="28" t="str">
        <x:v>CW12-B</x:v>
      </x:c>
      <x:c r="B30" s="28" t="str">
        <x:v>CW12</x:v>
      </x:c>
      <x:c r="C30" s="28" t="str">
        <x:v>2024121197</x:v>
      </x:c>
      <x:c r="D30" s="28" t="str">
        <x:v>B</x:v>
      </x:c>
      <x:c r="E30" s="48" t="n">
        <x:v>37.401011598573284</x:v>
      </x:c>
      <x:c r="F30" s="48" t="n">
        <x:v>126.92267596226152</x:v>
      </x:c>
      <x:c r="G30" s="28" t="str">
        <x:v>unknown</x:v>
      </x:c>
      <x:c r="H30" s="28" t="str"/>
      <x:c r="I30" s="28" t="str"/>
      <x:c r="J30" s="28" t="str">
        <x:v>provisional_high</x:v>
      </x:c>
      <x:c r="K30" s="30" t="n">
        <x:v>0.96</x:v>
      </x:c>
      <x:c r="L30" s="28" t="str">
        <x:v>Y</x:v>
      </x:c>
      <x:c r="M30" s="33" t="str">
        <x:f>IF(S30="","pending_1st_review",IF(L30="Y",IF(Z30="","pending_2nd_review",IF(S30=Z30,"reviewed_agree",IF(AB30="","needs_adjudication","adjudicated"))),"reviewed_once"))</x:f>
        <x:v>pending_1st_review</x:v>
      </x:c>
      <x:c r="N30" s="46" t="str"/>
      <x:c r="O30" s="53" t="str"/>
      <x:c r="P30" s="46" t="str"/>
      <x:c r="Q30" s="46" t="str"/>
      <x:c r="R30" s="46" t="str"/>
      <x:c r="S30" s="46" t="str"/>
      <x:c r="T30" s="46" t="str"/>
      <x:c r="U30" s="46" t="str"/>
      <x:c r="V30" s="53" t="str"/>
      <x:c r="W30" s="46" t="str"/>
      <x:c r="X30" s="46" t="str"/>
      <x:c r="Y30" s="46" t="str"/>
      <x:c r="Z30" s="46" t="str"/>
      <x:c r="AA30" s="46" t="str"/>
      <x:c r="AB30" s="46" t="str"/>
      <x:c r="AC30" s="46" t="str">
        <x:v>geometry_mismatch_candidate</x:v>
      </x:c>
      <x:c r="AD30" s="51" t="n">
        <x:v>0.58</x:v>
      </x:c>
      <x:c r="AE30" s="46" t="str"/>
      <x:c r="AF30" s="53" t="str">
        <x:v>2025-11-18 14:46:16</x:v>
      </x:c>
      <x:c r="AG30" s="28" t="str">
        <x:v>https://map.kakao.com/link/roadview/37.4010116,126.9226760</x:v>
      </x:c>
      <x:c r="AH30" s="28" t="str">
        <x:v>asset_level_inherited_not_endpoint_verified</x:v>
      </x:c>
      <x:c r="AI30" s="105" t="e">
        <x:f>HYPERLINK(IF(INDEX('영상 근거'!$F$7:$F$166,MATCH($A30&amp;"-N",'영상 근거'!$A$7:$A$166,0))=0,INDEX('영상 근거'!$Q$7:$Q$166,MATCH($A30&amp;"-N",'영상 근거'!$A$7:$A$166,0)),INDEX('영상 근거'!$F$7:$F$166,MATCH($A30&amp;"-N",'영상 근거'!$A$7:$A$166,0))),IF(INDEX('영상 근거'!$F$7:$F$166,MATCH($A30&amp;"-N",'영상 근거'!$A$7:$A$166,0))=0,"네이버 위치","네이버 거리뷰"))</x:f>
        <x:v>HYPERLINK is not implemented. linkLocation=https://map.naver.com/p/entry/coordinates/3zfldS,2AF6tK?c=15.00,0,0,0,dh, friendlyName=네이버 위치</x:v>
      </x:c>
      <x:c r="AJ30" s="105" t="e">
        <x:f>HYPERLINK(IF(INDEX('영상 근거'!$F$7:$F$166,MATCH($A30&amp;"-K",'영상 근거'!$A$7:$A$166,0))=0,INDEX('영상 근거'!$Q$7:$Q$166,MATCH($A30&amp;"-K",'영상 근거'!$A$7:$A$166,0)),INDEX('영상 근거'!$F$7:$F$166,MATCH($A30&amp;"-K",'영상 근거'!$A$7:$A$166,0))),"카카오 거리뷰")</x:f>
        <x:v>HYPERLINK is not implemented. linkLocation=https://map.kakao.com/?panoid=1202874755&amp;pan=320.5&amp;zoom=0&amp;map_type=TYPE_MAP&amp;map_attribute=ROADVIEW&amp;urlX=482856.0&amp;urlY=1083789.0, friendlyName=카카오 거리뷰</x:v>
      </x:c>
      <x:c r="AK30" s="105" t="e">
        <x:f>HYPERLINK("#'영상 근거'!A"&amp;(MATCH($A30&amp;"-N",'영상 근거'!$A$7:$A$166,0)+6),"두 영상 기록")</x:f>
        <x:v>HYPERLINK is not implemented. linkLocation=#'영상 근거'!A53, friendlyName=두 영상 기록</x:v>
      </x:c>
      <x:c r="AL30" s="106"/>
      <x:c r="AM30" s="106"/>
      <x:c r="AN30" s="67" t="str">
        <x:f>IF(COUNTIFS('영상 근거'!$B$7:$B$166,$A30,'영상 근거'!$H$7:$H$166,"pass")+COUNTIFS('영상 근거'!$B$7:$B$166,$A30,'영상 근거'!$H$7:$H$166,"block")+COUNTIFS('영상 근거'!$B$7:$B$166,$A30,'영상 근거'!$H$7:$H$166,"unknown")&lt;2,"미입력",IF(COUNTIFS('영상 근거'!$B$7:$B$166,$A30,'영상 근거'!$H$7:$H$166,"pass")=2,"pass 일치",IF(COUNTIFS('영상 근거'!$B$7:$B$166,$A30,'영상 근거'!$H$7:$H$166,"block")=2,"block 일치",IF(COUNTIFS('영상 근거'!$B$7:$B$166,$A30,'영상 근거'!$H$7:$H$166,"unknown")=2,"모두 unknown",IF(AND(COUNTIFS('영상 근거'!$B$7:$B$166,$A30,'영상 근거'!$H$7:$H$166,"pass")=1,COUNTIFS('영상 근거'!$B$7:$B$166,$A30,'영상 근거'!$H$7:$H$166,"block")=1),"불일치","한쪽 unknown")))))</x:f>
        <x:v>미입력</x:v>
      </x:c>
      <x:c r="AO30" s="67" t="str">
        <x:f>IF(COUNTIFS('영상 근거'!$B$7:$B$166,$A30,'영상 근거'!$K$7:$K$166,"pass")+COUNTIFS('영상 근거'!$B$7:$B$166,$A30,'영상 근거'!$K$7:$K$166,"block")+COUNTIFS('영상 근거'!$B$7:$B$166,$A30,'영상 근거'!$K$7:$K$166,"unknown")&lt;2,"미입력",IF(COUNTIFS('영상 근거'!$B$7:$B$166,$A30,'영상 근거'!$K$7:$K$166,"pass")=2,"pass 일치",IF(COUNTIFS('영상 근거'!$B$7:$B$166,$A30,'영상 근거'!$K$7:$K$166,"block")=2,"block 일치",IF(COUNTIFS('영상 근거'!$B$7:$B$166,$A30,'영상 근거'!$K$7:$K$166,"unknown")=2,"모두 unknown",IF(AND(COUNTIFS('영상 근거'!$B$7:$B$166,$A30,'영상 근거'!$K$7:$K$166,"pass")=1,COUNTIFS('영상 근거'!$B$7:$B$166,$A30,'영상 근거'!$K$7:$K$166,"block")=1),"불일치","한쪽 unknown")))))</x:f>
        <x:v>미입력</x:v>
      </x:c>
      <x:c r="AP30" s="106"/>
      <x:c r="AQ30" s="106"/>
      <x:c r="AR30" s="109" t="str">
        <x:v>위치 불일치·판독보류</x:v>
      </x:c>
      <x:c r="AS30" s="109" t="str">
        <x:v>위치 불일치·판독보류</x:v>
      </x:c>
      <x:c r="AT30" s="109" t="str">
        <x:v>보정 필요</x:v>
      </x:c>
      <x:c r="AU30" s="162" t="str">
        <x:v>AI candidate</x:v>
      </x:c>
      <x:c r="AV30" s="162" t="str">
        <x:v>N</x:v>
      </x:c>
      <x:c r="AW30" s="206" t="str">
        <x:v>사람검수 대기</x:v>
      </x:c>
    </x:row>
    <x:row r="31" ht="34" customHeight="1">
      <x:c r="A31" s="28" t="str">
        <x:v>CW13-A</x:v>
      </x:c>
      <x:c r="B31" s="28" t="str">
        <x:v>CW13</x:v>
      </x:c>
      <x:c r="C31" s="28" t="str">
        <x:v>2024121190</x:v>
      </x:c>
      <x:c r="D31" s="28" t="str">
        <x:v>A</x:v>
      </x:c>
      <x:c r="E31" s="48" t="n">
        <x:v>37.40083738053178</x:v>
      </x:c>
      <x:c r="F31" s="48" t="n">
        <x:v>126.92194039159135</x:v>
      </x:c>
      <x:c r="G31" s="28" t="str">
        <x:v>unknown</x:v>
      </x:c>
      <x:c r="H31" s="28" t="str"/>
      <x:c r="I31" s="28" t="str"/>
      <x:c r="J31" s="28" t="str">
        <x:v>provisional_high</x:v>
      </x:c>
      <x:c r="K31" s="30" t="n">
        <x:v>1.68</x:v>
      </x:c>
      <x:c r="L31" s="28" t="str">
        <x:v>N</x:v>
      </x:c>
      <x:c r="M31" s="33" t="str">
        <x:f>IF(S31="","pending_1st_review",IF(L31="Y",IF(Z31="","pending_2nd_review",IF(S31=Z31,"reviewed_agree",IF(AB31="","needs_adjudication","adjudicated"))),"reviewed_once"))</x:f>
        <x:v>pending_1st_review</x:v>
      </x:c>
      <x:c r="N31" s="46" t="str"/>
      <x:c r="O31" s="53" t="str"/>
      <x:c r="P31" s="46" t="str"/>
      <x:c r="Q31" s="46" t="str"/>
      <x:c r="R31" s="46" t="str"/>
      <x:c r="S31" s="46" t="str"/>
      <x:c r="T31" s="46" t="str"/>
      <x:c r="U31" s="46" t="str"/>
      <x:c r="V31" s="53" t="str"/>
      <x:c r="W31" s="46" t="str"/>
      <x:c r="X31" s="46" t="str"/>
      <x:c r="Y31" s="46" t="str"/>
      <x:c r="Z31" s="46" t="str"/>
      <x:c r="AA31" s="46" t="str"/>
      <x:c r="AB31" s="46" t="str"/>
      <x:c r="AC31" s="46" t="str">
        <x:v>geometry_mismatch_candidate</x:v>
      </x:c>
      <x:c r="AD31" s="51" t="n">
        <x:v>0.58</x:v>
      </x:c>
      <x:c r="AE31" s="46" t="str"/>
      <x:c r="AF31" s="53" t="str">
        <x:v>2025-11-18 15:01:57</x:v>
      </x:c>
      <x:c r="AG31" s="28" t="str">
        <x:v>https://map.kakao.com/link/roadview/37.4008374,126.9219404</x:v>
      </x:c>
      <x:c r="AH31" s="28" t="str">
        <x:v>asset_level_inherited_not_endpoint_verified</x:v>
      </x:c>
      <x:c r="AI31" s="105" t="e">
        <x:f>HYPERLINK(IF(INDEX('영상 근거'!$F$7:$F$166,MATCH($A31&amp;"-N",'영상 근거'!$A$7:$A$166,0))=0,INDEX('영상 근거'!$Q$7:$Q$166,MATCH($A31&amp;"-N",'영상 근거'!$A$7:$A$166,0)),INDEX('영상 근거'!$F$7:$F$166,MATCH($A31&amp;"-N",'영상 근거'!$A$7:$A$166,0))),IF(INDEX('영상 근거'!$F$7:$F$166,MATCH($A31&amp;"-N",'영상 근거'!$A$7:$A$166,0))=0,"네이버 위치","네이버 거리뷰"))</x:f>
        <x:v>HYPERLINK is not implemented. linkLocation=https://map.naver.com/p/entry/coordinates/3zfjje,2AF61E?c=15.00,0,0,0,dh, friendlyName=네이버 위치</x:v>
      </x:c>
      <x:c r="AJ31" s="105" t="e">
        <x:f>HYPERLINK(IF(INDEX('영상 근거'!$F$7:$F$166,MATCH($A31&amp;"-K",'영상 근거'!$A$7:$A$166,0))=0,INDEX('영상 근거'!$Q$7:$Q$166,MATCH($A31&amp;"-K",'영상 근거'!$A$7:$A$166,0)),INDEX('영상 근거'!$F$7:$F$166,MATCH($A31&amp;"-K",'영상 근거'!$A$7:$A$166,0))),"카카오 거리뷰")</x:f>
        <x:v>HYPERLINK is not implemented. linkLocation=https://map.kakao.com/?panoid=1202874946&amp;pan=70.6&amp;zoom=0&amp;map_type=TYPE_MAP&amp;map_attribute=ROADVIEW&amp;urlX=482731.0&amp;urlY=1083764.0, friendlyName=카카오 거리뷰</x:v>
      </x:c>
      <x:c r="AK31" s="105" t="e">
        <x:f>HYPERLINK("#'영상 근거'!A"&amp;(MATCH($A31&amp;"-N",'영상 근거'!$A$7:$A$166,0)+6),"두 영상 기록")</x:f>
        <x:v>HYPERLINK is not implemented. linkLocation=#'영상 근거'!A55, friendlyName=두 영상 기록</x:v>
      </x:c>
      <x:c r="AL31" s="106"/>
      <x:c r="AM31" s="106"/>
      <x:c r="AN31" s="67" t="str">
        <x:f>IF(COUNTIFS('영상 근거'!$B$7:$B$166,$A31,'영상 근거'!$H$7:$H$166,"pass")+COUNTIFS('영상 근거'!$B$7:$B$166,$A31,'영상 근거'!$H$7:$H$166,"block")+COUNTIFS('영상 근거'!$B$7:$B$166,$A31,'영상 근거'!$H$7:$H$166,"unknown")&lt;2,"미입력",IF(COUNTIFS('영상 근거'!$B$7:$B$166,$A31,'영상 근거'!$H$7:$H$166,"pass")=2,"pass 일치",IF(COUNTIFS('영상 근거'!$B$7:$B$166,$A31,'영상 근거'!$H$7:$H$166,"block")=2,"block 일치",IF(COUNTIFS('영상 근거'!$B$7:$B$166,$A31,'영상 근거'!$H$7:$H$166,"unknown")=2,"모두 unknown",IF(AND(COUNTIFS('영상 근거'!$B$7:$B$166,$A31,'영상 근거'!$H$7:$H$166,"pass")=1,COUNTIFS('영상 근거'!$B$7:$B$166,$A31,'영상 근거'!$H$7:$H$166,"block")=1),"불일치","한쪽 unknown")))))</x:f>
        <x:v>미입력</x:v>
      </x:c>
      <x:c r="AO31" s="67" t="str">
        <x:f>IF(COUNTIFS('영상 근거'!$B$7:$B$166,$A31,'영상 근거'!$K$7:$K$166,"pass")+COUNTIFS('영상 근거'!$B$7:$B$166,$A31,'영상 근거'!$K$7:$K$166,"block")+COUNTIFS('영상 근거'!$B$7:$B$166,$A31,'영상 근거'!$K$7:$K$166,"unknown")&lt;2,"미입력",IF(COUNTIFS('영상 근거'!$B$7:$B$166,$A31,'영상 근거'!$K$7:$K$166,"pass")=2,"pass 일치",IF(COUNTIFS('영상 근거'!$B$7:$B$166,$A31,'영상 근거'!$K$7:$K$166,"block")=2,"block 일치",IF(COUNTIFS('영상 근거'!$B$7:$B$166,$A31,'영상 근거'!$K$7:$K$166,"unknown")=2,"모두 unknown",IF(AND(COUNTIFS('영상 근거'!$B$7:$B$166,$A31,'영상 근거'!$K$7:$K$166,"pass")=1,COUNTIFS('영상 근거'!$B$7:$B$166,$A31,'영상 근거'!$K$7:$K$166,"block")=1),"불일치","한쪽 unknown")))))</x:f>
        <x:v>미입력</x:v>
      </x:c>
      <x:c r="AP31" s="106"/>
      <x:c r="AQ31" s="106"/>
      <x:c r="AR31" s="109" t="str">
        <x:v>위치 불일치·판독보류</x:v>
      </x:c>
      <x:c r="AS31" s="109" t="str">
        <x:v>위치 불일치·판독보류</x:v>
      </x:c>
      <x:c r="AT31" s="109" t="str">
        <x:v>보정 필요</x:v>
      </x:c>
      <x:c r="AU31" s="162" t="str">
        <x:v>AI candidate</x:v>
      </x:c>
      <x:c r="AV31" s="162" t="str">
        <x:v>N</x:v>
      </x:c>
      <x:c r="AW31" s="206" t="str">
        <x:v>사람검수 대기</x:v>
      </x:c>
    </x:row>
    <x:row r="32" ht="34" customHeight="1">
      <x:c r="A32" s="28" t="str">
        <x:v>CW13-B</x:v>
      </x:c>
      <x:c r="B32" s="28" t="str">
        <x:v>CW13</x:v>
      </x:c>
      <x:c r="C32" s="28" t="str">
        <x:v>2024121190</x:v>
      </x:c>
      <x:c r="D32" s="28" t="str">
        <x:v>B</x:v>
      </x:c>
      <x:c r="E32" s="48" t="n">
        <x:v>37.40089461946822</x:v>
      </x:c>
      <x:c r="F32" s="48" t="n">
        <x:v>126.92181340840867</x:v>
      </x:c>
      <x:c r="G32" s="28" t="str">
        <x:v>unknown</x:v>
      </x:c>
      <x:c r="H32" s="28" t="str"/>
      <x:c r="I32" s="28" t="str"/>
      <x:c r="J32" s="28" t="str">
        <x:v>provisional_high</x:v>
      </x:c>
      <x:c r="K32" s="30" t="n">
        <x:v>1.68</x:v>
      </x:c>
      <x:c r="L32" s="28" t="str">
        <x:v>N</x:v>
      </x:c>
      <x:c r="M32" s="33" t="str">
        <x:f>IF(S32="","pending_1st_review",IF(L32="Y",IF(Z32="","pending_2nd_review",IF(S32=Z32,"reviewed_agree",IF(AB32="","needs_adjudication","adjudicated"))),"reviewed_once"))</x:f>
        <x:v>pending_1st_review</x:v>
      </x:c>
      <x:c r="N32" s="46" t="str"/>
      <x:c r="O32" s="53" t="str"/>
      <x:c r="P32" s="46" t="str"/>
      <x:c r="Q32" s="46" t="str"/>
      <x:c r="R32" s="46" t="str"/>
      <x:c r="S32" s="46" t="str"/>
      <x:c r="T32" s="46" t="str"/>
      <x:c r="U32" s="46" t="str"/>
      <x:c r="V32" s="53" t="str"/>
      <x:c r="W32" s="46" t="str"/>
      <x:c r="X32" s="46" t="str"/>
      <x:c r="Y32" s="46" t="str"/>
      <x:c r="Z32" s="46" t="str"/>
      <x:c r="AA32" s="46" t="str"/>
      <x:c r="AB32" s="46" t="str"/>
      <x:c r="AC32" s="46" t="str">
        <x:v>tactile_absent_candidate</x:v>
      </x:c>
      <x:c r="AD32" s="51" t="n">
        <x:v>0.76</x:v>
      </x:c>
      <x:c r="AE32" s="46" t="str"/>
      <x:c r="AF32" s="53" t="str">
        <x:v>2025-11-18 11:52:27</x:v>
      </x:c>
      <x:c r="AG32" s="28" t="str">
        <x:v>https://map.kakao.com/link/roadview/37.4008946,126.9218134</x:v>
      </x:c>
      <x:c r="AH32" s="28" t="str">
        <x:v>asset_level_inherited_not_endpoint_verified</x:v>
      </x:c>
      <x:c r="AI32" s="105" t="e">
        <x:f>HYPERLINK(IF(INDEX('영상 근거'!$F$7:$F$166,MATCH($A32&amp;"-N",'영상 근거'!$A$7:$A$166,0))=0,INDEX('영상 근거'!$Q$7:$Q$166,MATCH($A32&amp;"-N",'영상 근거'!$A$7:$A$166,0)),INDEX('영상 근거'!$F$7:$F$166,MATCH($A32&amp;"-N",'영상 근거'!$A$7:$A$166,0))),IF(INDEX('영상 근거'!$F$7:$F$166,MATCH($A32&amp;"-N",'영상 근거'!$A$7:$A$166,0))=0,"네이버 위치","네이버 거리뷰"))</x:f>
        <x:v>HYPERLINK is not implemented. linkLocation=https://map.naver.com/p/entry/coordinates/3zfiYK,2AF6aS?c=15.00,0,0,0,dh, friendlyName=네이버 위치</x:v>
      </x:c>
      <x:c r="AJ32" s="105" t="e">
        <x:f>HYPERLINK(IF(INDEX('영상 근거'!$F$7:$F$166,MATCH($A32&amp;"-K",'영상 근거'!$A$7:$A$166,0))=0,INDEX('영상 근거'!$Q$7:$Q$166,MATCH($A32&amp;"-K",'영상 근거'!$A$7:$A$166,0)),INDEX('영상 근거'!$F$7:$F$166,MATCH($A32&amp;"-K",'영상 근거'!$A$7:$A$166,0))),"카카오 거리뷰")</x:f>
        <x:v>HYPERLINK is not implemented. linkLocation=https://map.kakao.com/?panoid=1202871529&amp;pan=231.4&amp;zoom=0&amp;map_type=TYPE_MAP&amp;map_attribute=ROADVIEW&amp;urlX=482700.0&amp;urlY=1083761.0, friendlyName=카카오 거리뷰</x:v>
      </x:c>
      <x:c r="AK32" s="105" t="e">
        <x:f>HYPERLINK("#'영상 근거'!A"&amp;(MATCH($A32&amp;"-N",'영상 근거'!$A$7:$A$166,0)+6),"두 영상 기록")</x:f>
        <x:v>HYPERLINK is not implemented. linkLocation=#'영상 근거'!A57, friendlyName=두 영상 기록</x:v>
      </x:c>
      <x:c r="AL32" s="106"/>
      <x:c r="AM32" s="106"/>
      <x:c r="AN32" s="67" t="str">
        <x:f>IF(COUNTIFS('영상 근거'!$B$7:$B$166,$A32,'영상 근거'!$H$7:$H$166,"pass")+COUNTIFS('영상 근거'!$B$7:$B$166,$A32,'영상 근거'!$H$7:$H$166,"block")+COUNTIFS('영상 근거'!$B$7:$B$166,$A32,'영상 근거'!$H$7:$H$166,"unknown")&lt;2,"미입력",IF(COUNTIFS('영상 근거'!$B$7:$B$166,$A32,'영상 근거'!$H$7:$H$166,"pass")=2,"pass 일치",IF(COUNTIFS('영상 근거'!$B$7:$B$166,$A32,'영상 근거'!$H$7:$H$166,"block")=2,"block 일치",IF(COUNTIFS('영상 근거'!$B$7:$B$166,$A32,'영상 근거'!$H$7:$H$166,"unknown")=2,"모두 unknown",IF(AND(COUNTIFS('영상 근거'!$B$7:$B$166,$A32,'영상 근거'!$H$7:$H$166,"pass")=1,COUNTIFS('영상 근거'!$B$7:$B$166,$A32,'영상 근거'!$H$7:$H$166,"block")=1),"불일치","한쪽 unknown")))))</x:f>
        <x:v>미입력</x:v>
      </x:c>
      <x:c r="AO32" s="67" t="str">
        <x:f>IF(COUNTIFS('영상 근거'!$B$7:$B$166,$A32,'영상 근거'!$K$7:$K$166,"pass")+COUNTIFS('영상 근거'!$B$7:$B$166,$A32,'영상 근거'!$K$7:$K$166,"block")+COUNTIFS('영상 근거'!$B$7:$B$166,$A32,'영상 근거'!$K$7:$K$166,"unknown")&lt;2,"미입력",IF(COUNTIFS('영상 근거'!$B$7:$B$166,$A32,'영상 근거'!$K$7:$K$166,"pass")=2,"pass 일치",IF(COUNTIFS('영상 근거'!$B$7:$B$166,$A32,'영상 근거'!$K$7:$K$166,"block")=2,"block 일치",IF(COUNTIFS('영상 근거'!$B$7:$B$166,$A32,'영상 근거'!$K$7:$K$166,"unknown")=2,"모두 unknown",IF(AND(COUNTIFS('영상 근거'!$B$7:$B$166,$A32,'영상 근거'!$K$7:$K$166,"pass")=1,COUNTIFS('영상 근거'!$B$7:$B$166,$A32,'영상 근거'!$K$7:$K$166,"block")=1),"불일치","한쪽 unknown")))))</x:f>
        <x:v>미입력</x:v>
      </x:c>
      <x:c r="AP32" s="106"/>
      <x:c r="AQ32" s="106"/>
      <x:c r="AR32" s="109" t="str">
        <x:v>점자 사유 차단 아님</x:v>
      </x:c>
      <x:c r="AS32" s="109" t="str">
        <x:v>점자 유도 결함 후보</x:v>
      </x:c>
      <x:c r="AT32" s="109" t="str">
        <x:v>보정 비대상</x:v>
      </x:c>
      <x:c r="AU32" s="162" t="str">
        <x:v>AI candidate</x:v>
      </x:c>
      <x:c r="AV32" s="162" t="str">
        <x:v>N</x:v>
      </x:c>
      <x:c r="AW32" s="206" t="str">
        <x:v>사람검수 대기</x:v>
      </x:c>
    </x:row>
    <x:row r="33" ht="34" customHeight="1">
      <x:c r="A33" s="28" t="str">
        <x:v>CW14-A</x:v>
      </x:c>
      <x:c r="B33" s="28" t="str">
        <x:v>CW14</x:v>
      </x:c>
      <x:c r="C33" s="28" t="str">
        <x:v>2024120086</x:v>
      </x:c>
      <x:c r="D33" s="28" t="str">
        <x:v>A</x:v>
      </x:c>
      <x:c r="E33" s="48" t="n">
        <x:v>37.39951423562795</x:v>
      </x:c>
      <x:c r="F33" s="48" t="n">
        <x:v>126.92380849157105</x:v>
      </x:c>
      <x:c r="G33" s="28" t="str">
        <x:v>unknown</x:v>
      </x:c>
      <x:c r="H33" s="28" t="str"/>
      <x:c r="I33" s="28" t="str"/>
      <x:c r="J33" s="28" t="str">
        <x:v>provisional_high</x:v>
      </x:c>
      <x:c r="K33" s="30" t="n">
        <x:v>0.47</x:v>
      </x:c>
      <x:c r="L33" s="28" t="str">
        <x:v>Y</x:v>
      </x:c>
      <x:c r="M33" s="33" t="str">
        <x:f>IF(S33="","pending_1st_review",IF(L33="Y",IF(Z33="","pending_2nd_review",IF(S33=Z33,"reviewed_agree",IF(AB33="","needs_adjudication","adjudicated"))),"reviewed_once"))</x:f>
        <x:v>pending_1st_review</x:v>
      </x:c>
      <x:c r="N33" s="46" t="str"/>
      <x:c r="O33" s="53" t="str"/>
      <x:c r="P33" s="46" t="str"/>
      <x:c r="Q33" s="46" t="str"/>
      <x:c r="R33" s="46" t="str"/>
      <x:c r="S33" s="46" t="str"/>
      <x:c r="T33" s="46" t="str"/>
      <x:c r="U33" s="46" t="str"/>
      <x:c r="V33" s="53" t="str"/>
      <x:c r="W33" s="46" t="str"/>
      <x:c r="X33" s="46" t="str"/>
      <x:c r="Y33" s="46" t="str"/>
      <x:c r="Z33" s="46" t="str"/>
      <x:c r="AA33" s="46" t="str"/>
      <x:c r="AB33" s="46" t="str"/>
      <x:c r="AC33" s="46" t="str">
        <x:v>likely_accessible_candidate</x:v>
      </x:c>
      <x:c r="AD33" s="51" t="n">
        <x:v>0.82</x:v>
      </x:c>
      <x:c r="AE33" s="46" t="str"/>
      <x:c r="AF33" s="53" t="str">
        <x:v>2025-11-18 14:45:30</x:v>
      </x:c>
      <x:c r="AG33" s="28" t="str">
        <x:v>https://map.kakao.com/link/roadview/37.3995142,126.9238085</x:v>
      </x:c>
      <x:c r="AH33" s="28" t="str">
        <x:v>asset_level_inherited_not_endpoint_verified</x:v>
      </x:c>
      <x:c r="AI33" s="105" t="e">
        <x:f>HYPERLINK(IF(INDEX('영상 근거'!$F$7:$F$166,MATCH($A33&amp;"-N",'영상 근거'!$A$7:$A$166,0))=0,INDEX('영상 근거'!$Q$7:$Q$166,MATCH($A33&amp;"-N",'영상 근거'!$A$7:$A$166,0)),INDEX('영상 근거'!$F$7:$F$166,MATCH($A33&amp;"-N",'영상 근거'!$A$7:$A$166,0))),IF(INDEX('영상 근거'!$F$7:$F$166,MATCH($A33&amp;"-N",'영상 근거'!$A$7:$A$166,0))=0,"네이버 위치","네이버 거리뷰"))</x:f>
        <x:v>HYPERLINK is not implemented. linkLocation=https://map.naver.com/p/entry/coordinates/3zfoax,2AF2Ae?c=15.00,0,0,0,dh, friendlyName=네이버 위치</x:v>
      </x:c>
      <x:c r="AJ33" s="105" t="e">
        <x:f>HYPERLINK(IF(INDEX('영상 근거'!$F$7:$F$166,MATCH($A33&amp;"-K",'영상 근거'!$A$7:$A$166,0))=0,INDEX('영상 근거'!$Q$7:$Q$166,MATCH($A33&amp;"-K",'영상 근거'!$A$7:$A$166,0)),INDEX('영상 근거'!$F$7:$F$166,MATCH($A33&amp;"-K",'영상 근거'!$A$7:$A$166,0))),"카카오 거리뷰")</x:f>
        <x:v>HYPERLINK is not implemented. linkLocation=https://map.kakao.com/?panoid=1202874714&amp;pan=322.6&amp;zoom=0&amp;map_type=TYPE_MAP&amp;map_attribute=ROADVIEW&amp;urlX=483161.0&amp;urlY=1083394.0, friendlyName=카카오 거리뷰</x:v>
      </x:c>
      <x:c r="AK33" s="105" t="e">
        <x:f>HYPERLINK("#'영상 근거'!A"&amp;(MATCH($A33&amp;"-N",'영상 근거'!$A$7:$A$166,0)+6),"두 영상 기록")</x:f>
        <x:v>HYPERLINK is not implemented. linkLocation=#'영상 근거'!A59, friendlyName=두 영상 기록</x:v>
      </x:c>
      <x:c r="AL33" s="106"/>
      <x:c r="AM33" s="106"/>
      <x:c r="AN33" s="67" t="str">
        <x:f>IF(COUNTIFS('영상 근거'!$B$7:$B$166,$A33,'영상 근거'!$H$7:$H$166,"pass")+COUNTIFS('영상 근거'!$B$7:$B$166,$A33,'영상 근거'!$H$7:$H$166,"block")+COUNTIFS('영상 근거'!$B$7:$B$166,$A33,'영상 근거'!$H$7:$H$166,"unknown")&lt;2,"미입력",IF(COUNTIFS('영상 근거'!$B$7:$B$166,$A33,'영상 근거'!$H$7:$H$166,"pass")=2,"pass 일치",IF(COUNTIFS('영상 근거'!$B$7:$B$166,$A33,'영상 근거'!$H$7:$H$166,"block")=2,"block 일치",IF(COUNTIFS('영상 근거'!$B$7:$B$166,$A33,'영상 근거'!$H$7:$H$166,"unknown")=2,"모두 unknown",IF(AND(COUNTIFS('영상 근거'!$B$7:$B$166,$A33,'영상 근거'!$H$7:$H$166,"pass")=1,COUNTIFS('영상 근거'!$B$7:$B$166,$A33,'영상 근거'!$H$7:$H$166,"block")=1),"불일치","한쪽 unknown")))))</x:f>
        <x:v>미입력</x:v>
      </x:c>
      <x:c r="AO33" s="67" t="str">
        <x:f>IF(COUNTIFS('영상 근거'!$B$7:$B$166,$A33,'영상 근거'!$K$7:$K$166,"pass")+COUNTIFS('영상 근거'!$B$7:$B$166,$A33,'영상 근거'!$K$7:$K$166,"block")+COUNTIFS('영상 근거'!$B$7:$B$166,$A33,'영상 근거'!$K$7:$K$166,"unknown")&lt;2,"미입력",IF(COUNTIFS('영상 근거'!$B$7:$B$166,$A33,'영상 근거'!$K$7:$K$166,"pass")=2,"pass 일치",IF(COUNTIFS('영상 근거'!$B$7:$B$166,$A33,'영상 근거'!$K$7:$K$166,"block")=2,"block 일치",IF(COUNTIFS('영상 근거'!$B$7:$B$166,$A33,'영상 근거'!$K$7:$K$166,"unknown")=2,"모두 unknown",IF(AND(COUNTIFS('영상 근거'!$B$7:$B$166,$A33,'영상 근거'!$K$7:$K$166,"pass")=1,COUNTIFS('영상 근거'!$B$7:$B$166,$A33,'영상 근거'!$K$7:$K$166,"block")=1),"불일치","한쪽 unknown")))))</x:f>
        <x:v>미입력</x:v>
      </x:c>
      <x:c r="AP33" s="106"/>
      <x:c r="AQ33" s="106"/>
      <x:c r="AR33" s="109" t="str">
        <x:v>통과 가능 후보</x:v>
      </x:c>
      <x:c r="AS33" s="109" t="str">
        <x:v>안내시설 양호 후보</x:v>
      </x:c>
      <x:c r="AT33" s="109" t="str">
        <x:v>보정 비대상</x:v>
      </x:c>
      <x:c r="AU33" s="162" t="str">
        <x:v>AI candidate</x:v>
      </x:c>
      <x:c r="AV33" s="162" t="str">
        <x:v>N</x:v>
      </x:c>
      <x:c r="AW33" s="206" t="str">
        <x:v>사람검수 대기</x:v>
      </x:c>
    </x:row>
    <x:row r="34" ht="34" customHeight="1">
      <x:c r="A34" s="28" t="str">
        <x:v>CW14-B</x:v>
      </x:c>
      <x:c r="B34" s="28" t="str">
        <x:v>CW14</x:v>
      </x:c>
      <x:c r="C34" s="28" t="str">
        <x:v>2024120086</x:v>
      </x:c>
      <x:c r="D34" s="28" t="str">
        <x:v>B</x:v>
      </x:c>
      <x:c r="E34" s="48" t="n">
        <x:v>37.399604184372045</x:v>
      </x:c>
      <x:c r="F34" s="48" t="n">
        <x:v>126.92395310842896</x:v>
      </x:c>
      <x:c r="G34" s="28" t="str">
        <x:v>unknown</x:v>
      </x:c>
      <x:c r="H34" s="28" t="str"/>
      <x:c r="I34" s="28" t="str"/>
      <x:c r="J34" s="28" t="str">
        <x:v>provisional_high</x:v>
      </x:c>
      <x:c r="K34" s="30" t="n">
        <x:v>0.47</x:v>
      </x:c>
      <x:c r="L34" s="28" t="str">
        <x:v>Y</x:v>
      </x:c>
      <x:c r="M34" s="33" t="str">
        <x:f>IF(S34="","pending_1st_review",IF(L34="Y",IF(Z34="","pending_2nd_review",IF(S34=Z34,"reviewed_agree",IF(AB34="","needs_adjudication","adjudicated"))),"reviewed_once"))</x:f>
        <x:v>pending_1st_review</x:v>
      </x:c>
      <x:c r="N34" s="46" t="str"/>
      <x:c r="O34" s="53" t="str"/>
      <x:c r="P34" s="46" t="str"/>
      <x:c r="Q34" s="46" t="str"/>
      <x:c r="R34" s="46" t="str"/>
      <x:c r="S34" s="46" t="str"/>
      <x:c r="T34" s="46" t="str"/>
      <x:c r="U34" s="46" t="str"/>
      <x:c r="V34" s="53" t="str"/>
      <x:c r="W34" s="46" t="str"/>
      <x:c r="X34" s="46" t="str"/>
      <x:c r="Y34" s="46" t="str"/>
      <x:c r="Z34" s="46" t="str"/>
      <x:c r="AA34" s="46" t="str"/>
      <x:c r="AB34" s="46" t="str"/>
      <x:c r="AC34" s="46" t="str">
        <x:v>likely_accessible_candidate</x:v>
      </x:c>
      <x:c r="AD34" s="51" t="n">
        <x:v>0.82</x:v>
      </x:c>
      <x:c r="AE34" s="46" t="str"/>
      <x:c r="AF34" s="53" t="str">
        <x:v>2025-11-18 14:45:30</x:v>
      </x:c>
      <x:c r="AG34" s="28" t="str">
        <x:v>https://map.kakao.com/link/roadview/37.3996042,126.9239531</x:v>
      </x:c>
      <x:c r="AH34" s="28" t="str">
        <x:v>asset_level_inherited_not_endpoint_verified</x:v>
      </x:c>
      <x:c r="AI34" s="105" t="e">
        <x:f>HYPERLINK(IF(INDEX('영상 근거'!$F$7:$F$166,MATCH($A34&amp;"-N",'영상 근거'!$A$7:$A$166,0))=0,INDEX('영상 근거'!$Q$7:$Q$166,MATCH($A34&amp;"-N",'영상 근거'!$A$7:$A$166,0)),INDEX('영상 근거'!$F$7:$F$166,MATCH($A34&amp;"-N",'영상 근거'!$A$7:$A$166,0))),IF(INDEX('영상 근거'!$F$7:$F$166,MATCH($A34&amp;"-N",'영상 근거'!$A$7:$A$166,0))=0,"네이버 위치","네이버 거리뷰"))</x:f>
        <x:v>HYPERLINK is not implemented. linkLocation=https://map.naver.com/p/entry/coordinates/3zfoxR,2AF2OK?c=15.00,0,0,0,dh, friendlyName=네이버 위치</x:v>
      </x:c>
      <x:c r="AJ34" s="105" t="e">
        <x:f>HYPERLINK(IF(INDEX('영상 근거'!$F$7:$F$166,MATCH($A34&amp;"-K",'영상 근거'!$A$7:$A$166,0))=0,INDEX('영상 근거'!$Q$7:$Q$166,MATCH($A34&amp;"-K",'영상 근거'!$A$7:$A$166,0)),INDEX('영상 근거'!$F$7:$F$166,MATCH($A34&amp;"-K",'영상 근거'!$A$7:$A$166,0))),"카카오 거리뷰")</x:f>
        <x:v>HYPERLINK is not implemented. linkLocation=https://map.kakao.com/?panoid=1202874714&amp;pan=322.6&amp;zoom=0&amp;map_type=TYPE_MAP&amp;map_attribute=ROADVIEW&amp;urlX=483161.0&amp;urlY=1083394.0, friendlyName=카카오 거리뷰</x:v>
      </x:c>
      <x:c r="AK34" s="105" t="e">
        <x:f>HYPERLINK("#'영상 근거'!A"&amp;(MATCH($A34&amp;"-N",'영상 근거'!$A$7:$A$166,0)+6),"두 영상 기록")</x:f>
        <x:v>HYPERLINK is not implemented. linkLocation=#'영상 근거'!A61, friendlyName=두 영상 기록</x:v>
      </x:c>
      <x:c r="AL34" s="106"/>
      <x:c r="AM34" s="106"/>
      <x:c r="AN34" s="67" t="str">
        <x:f>IF(COUNTIFS('영상 근거'!$B$7:$B$166,$A34,'영상 근거'!$H$7:$H$166,"pass")+COUNTIFS('영상 근거'!$B$7:$B$166,$A34,'영상 근거'!$H$7:$H$166,"block")+COUNTIFS('영상 근거'!$B$7:$B$166,$A34,'영상 근거'!$H$7:$H$166,"unknown")&lt;2,"미입력",IF(COUNTIFS('영상 근거'!$B$7:$B$166,$A34,'영상 근거'!$H$7:$H$166,"pass")=2,"pass 일치",IF(COUNTIFS('영상 근거'!$B$7:$B$166,$A34,'영상 근거'!$H$7:$H$166,"block")=2,"block 일치",IF(COUNTIFS('영상 근거'!$B$7:$B$166,$A34,'영상 근거'!$H$7:$H$166,"unknown")=2,"모두 unknown",IF(AND(COUNTIFS('영상 근거'!$B$7:$B$166,$A34,'영상 근거'!$H$7:$H$166,"pass")=1,COUNTIFS('영상 근거'!$B$7:$B$166,$A34,'영상 근거'!$H$7:$H$166,"block")=1),"불일치","한쪽 unknown")))))</x:f>
        <x:v>미입력</x:v>
      </x:c>
      <x:c r="AO34" s="67" t="str">
        <x:f>IF(COUNTIFS('영상 근거'!$B$7:$B$166,$A34,'영상 근거'!$K$7:$K$166,"pass")+COUNTIFS('영상 근거'!$B$7:$B$166,$A34,'영상 근거'!$K$7:$K$166,"block")+COUNTIFS('영상 근거'!$B$7:$B$166,$A34,'영상 근거'!$K$7:$K$166,"unknown")&lt;2,"미입력",IF(COUNTIFS('영상 근거'!$B$7:$B$166,$A34,'영상 근거'!$K$7:$K$166,"pass")=2,"pass 일치",IF(COUNTIFS('영상 근거'!$B$7:$B$166,$A34,'영상 근거'!$K$7:$K$166,"block")=2,"block 일치",IF(COUNTIFS('영상 근거'!$B$7:$B$166,$A34,'영상 근거'!$K$7:$K$166,"unknown")=2,"모두 unknown",IF(AND(COUNTIFS('영상 근거'!$B$7:$B$166,$A34,'영상 근거'!$K$7:$K$166,"pass")=1,COUNTIFS('영상 근거'!$B$7:$B$166,$A34,'영상 근거'!$K$7:$K$166,"block")=1),"불일치","한쪽 unknown")))))</x:f>
        <x:v>미입력</x:v>
      </x:c>
      <x:c r="AP34" s="106"/>
      <x:c r="AQ34" s="106"/>
      <x:c r="AR34" s="109" t="str">
        <x:v>통과 가능 후보</x:v>
      </x:c>
      <x:c r="AS34" s="109" t="str">
        <x:v>안내시설 양호 후보</x:v>
      </x:c>
      <x:c r="AT34" s="109" t="str">
        <x:v>보정 비대상</x:v>
      </x:c>
      <x:c r="AU34" s="162" t="str">
        <x:v>AI candidate</x:v>
      </x:c>
      <x:c r="AV34" s="162" t="str">
        <x:v>N</x:v>
      </x:c>
      <x:c r="AW34" s="206" t="str">
        <x:v>사람검수 대기</x:v>
      </x:c>
    </x:row>
    <x:row r="35" ht="34" customHeight="1">
      <x:c r="A35" s="28" t="str">
        <x:v>CW15-A</x:v>
      </x:c>
      <x:c r="B35" s="28" t="str">
        <x:v>CW15</x:v>
      </x:c>
      <x:c r="C35" s="28" t="str">
        <x:v>2024122521</x:v>
      </x:c>
      <x:c r="D35" s="28" t="str">
        <x:v>A</x:v>
      </x:c>
      <x:c r="E35" s="48" t="n">
        <x:v>37.398330514879135</x:v>
      </x:c>
      <x:c r="F35" s="48" t="n">
        <x:v>126.92430267046433</x:v>
      </x:c>
      <x:c r="G35" s="28" t="str">
        <x:v>unknown</x:v>
      </x:c>
      <x:c r="H35" s="28" t="str"/>
      <x:c r="I35" s="28" t="str"/>
      <x:c r="J35" s="28" t="str">
        <x:v>provisional_high</x:v>
      </x:c>
      <x:c r="K35" s="30" t="n">
        <x:v>0.73</x:v>
      </x:c>
      <x:c r="L35" s="28" t="str">
        <x:v>N</x:v>
      </x:c>
      <x:c r="M35" s="33" t="str">
        <x:f>IF(S35="","pending_1st_review",IF(L35="Y",IF(Z35="","pending_2nd_review",IF(S35=Z35,"reviewed_agree",IF(AB35="","needs_adjudication","adjudicated"))),"reviewed_once"))</x:f>
        <x:v>pending_1st_review</x:v>
      </x:c>
      <x:c r="N35" s="46" t="str"/>
      <x:c r="O35" s="53" t="str"/>
      <x:c r="P35" s="46" t="str"/>
      <x:c r="Q35" s="46" t="str"/>
      <x:c r="R35" s="46" t="str"/>
      <x:c r="S35" s="46" t="str"/>
      <x:c r="T35" s="46" t="str"/>
      <x:c r="U35" s="46" t="str"/>
      <x:c r="V35" s="53" t="str"/>
      <x:c r="W35" s="46" t="str"/>
      <x:c r="X35" s="46" t="str"/>
      <x:c r="Y35" s="46" t="str"/>
      <x:c r="Z35" s="46" t="str"/>
      <x:c r="AA35" s="46" t="str"/>
      <x:c r="AB35" s="46" t="str"/>
      <x:c r="AC35" s="46" t="str">
        <x:v>geometry_mismatch_candidate</x:v>
      </x:c>
      <x:c r="AD35" s="51" t="n">
        <x:v>0.58</x:v>
      </x:c>
      <x:c r="AE35" s="46" t="str"/>
      <x:c r="AF35" s="53" t="str">
        <x:v>2025-11-18 11:45:38</x:v>
      </x:c>
      <x:c r="AG35" s="28" t="str">
        <x:v>https://map.kakao.com/link/roadview/37.3983305,126.9243027</x:v>
      </x:c>
      <x:c r="AH35" s="28" t="str">
        <x:v>asset_level_inherited_not_endpoint_verified</x:v>
      </x:c>
      <x:c r="AI35" s="105" t="e">
        <x:f>HYPERLINK(IF(INDEX('영상 근거'!$F$7:$F$166,MATCH($A35&amp;"-N",'영상 근거'!$A$7:$A$166,0))=0,INDEX('영상 근거'!$Q$7:$Q$166,MATCH($A35&amp;"-N",'영상 근거'!$A$7:$A$166,0)),INDEX('영상 근거'!$F$7:$F$166,MATCH($A35&amp;"-N",'영상 근거'!$A$7:$A$166,0))),IF(INDEX('영상 근거'!$F$7:$F$166,MATCH($A35&amp;"-N",'영상 근거'!$A$7:$A$166,0))=0,"네이버 위치","네이버 거리뷰"))</x:f>
        <x:v>HYPERLINK is not implemented. linkLocation=https://map.naver.com/p/entry/coordinates/3zfpsf,2AEZvj?c=15.00,0,0,0,dh, friendlyName=네이버 위치</x:v>
      </x:c>
      <x:c r="AJ35" s="105" t="e">
        <x:f>HYPERLINK(IF(INDEX('영상 근거'!$F$7:$F$166,MATCH($A35&amp;"-K",'영상 근거'!$A$7:$A$166,0))=0,INDEX('영상 근거'!$Q$7:$Q$166,MATCH($A35&amp;"-K",'영상 근거'!$A$7:$A$166,0)),INDEX('영상 근거'!$F$7:$F$166,MATCH($A35&amp;"-K",'영상 근거'!$A$7:$A$166,0))),"카카오 거리뷰")</x:f>
        <x:v>HYPERLINK is not implemented. linkLocation=https://map.kakao.com/?panoid=1202871493&amp;pan=42.8&amp;zoom=0&amp;map_type=TYPE_MAP&amp;map_attribute=ROADVIEW&amp;urlX=483239.0&amp;urlY=1083064.0, friendlyName=카카오 거리뷰</x:v>
      </x:c>
      <x:c r="AK35" s="105" t="e">
        <x:f>HYPERLINK("#'영상 근거'!A"&amp;(MATCH($A35&amp;"-N",'영상 근거'!$A$7:$A$166,0)+6),"두 영상 기록")</x:f>
        <x:v>HYPERLINK is not implemented. linkLocation=#'영상 근거'!A63, friendlyName=두 영상 기록</x:v>
      </x:c>
      <x:c r="AL35" s="106"/>
      <x:c r="AM35" s="106"/>
      <x:c r="AN35" s="67" t="str">
        <x:f>IF(COUNTIFS('영상 근거'!$B$7:$B$166,$A35,'영상 근거'!$H$7:$H$166,"pass")+COUNTIFS('영상 근거'!$B$7:$B$166,$A35,'영상 근거'!$H$7:$H$166,"block")+COUNTIFS('영상 근거'!$B$7:$B$166,$A35,'영상 근거'!$H$7:$H$166,"unknown")&lt;2,"미입력",IF(COUNTIFS('영상 근거'!$B$7:$B$166,$A35,'영상 근거'!$H$7:$H$166,"pass")=2,"pass 일치",IF(COUNTIFS('영상 근거'!$B$7:$B$166,$A35,'영상 근거'!$H$7:$H$166,"block")=2,"block 일치",IF(COUNTIFS('영상 근거'!$B$7:$B$166,$A35,'영상 근거'!$H$7:$H$166,"unknown")=2,"모두 unknown",IF(AND(COUNTIFS('영상 근거'!$B$7:$B$166,$A35,'영상 근거'!$H$7:$H$166,"pass")=1,COUNTIFS('영상 근거'!$B$7:$B$166,$A35,'영상 근거'!$H$7:$H$166,"block")=1),"불일치","한쪽 unknown")))))</x:f>
        <x:v>미입력</x:v>
      </x:c>
      <x:c r="AO35" s="67" t="str">
        <x:f>IF(COUNTIFS('영상 근거'!$B$7:$B$166,$A35,'영상 근거'!$K$7:$K$166,"pass")+COUNTIFS('영상 근거'!$B$7:$B$166,$A35,'영상 근거'!$K$7:$K$166,"block")+COUNTIFS('영상 근거'!$B$7:$B$166,$A35,'영상 근거'!$K$7:$K$166,"unknown")&lt;2,"미입력",IF(COUNTIFS('영상 근거'!$B$7:$B$166,$A35,'영상 근거'!$K$7:$K$166,"pass")=2,"pass 일치",IF(COUNTIFS('영상 근거'!$B$7:$B$166,$A35,'영상 근거'!$K$7:$K$166,"block")=2,"block 일치",IF(COUNTIFS('영상 근거'!$B$7:$B$166,$A35,'영상 근거'!$K$7:$K$166,"unknown")=2,"모두 unknown",IF(AND(COUNTIFS('영상 근거'!$B$7:$B$166,$A35,'영상 근거'!$K$7:$K$166,"pass")=1,COUNTIFS('영상 근거'!$B$7:$B$166,$A35,'영상 근거'!$K$7:$K$166,"block")=1),"불일치","한쪽 unknown")))))</x:f>
        <x:v>미입력</x:v>
      </x:c>
      <x:c r="AP35" s="106"/>
      <x:c r="AQ35" s="106"/>
      <x:c r="AR35" s="109" t="str">
        <x:v>위치 불일치·판독보류</x:v>
      </x:c>
      <x:c r="AS35" s="109" t="str">
        <x:v>위치 불일치·판독보류</x:v>
      </x:c>
      <x:c r="AT35" s="109" t="str">
        <x:v>보정 필요</x:v>
      </x:c>
      <x:c r="AU35" s="162" t="str">
        <x:v>AI candidate</x:v>
      </x:c>
      <x:c r="AV35" s="162" t="str">
        <x:v>N</x:v>
      </x:c>
      <x:c r="AW35" s="206" t="str">
        <x:v>사람검수 대기</x:v>
      </x:c>
    </x:row>
    <x:row r="36" ht="34" customHeight="1">
      <x:c r="A36" s="28" t="str">
        <x:v>CW15-B</x:v>
      </x:c>
      <x:c r="B36" s="28" t="str">
        <x:v>CW15</x:v>
      </x:c>
      <x:c r="C36" s="28" t="str">
        <x:v>2024122521</x:v>
      </x:c>
      <x:c r="D36" s="28" t="str">
        <x:v>B</x:v>
      </x:c>
      <x:c r="E36" s="48" t="n">
        <x:v>37.39843440512087</x:v>
      </x:c>
      <x:c r="F36" s="48" t="n">
        <x:v>126.92420312953567</x:v>
      </x:c>
      <x:c r="G36" s="28" t="str">
        <x:v>unknown</x:v>
      </x:c>
      <x:c r="H36" s="28" t="str"/>
      <x:c r="I36" s="28" t="str"/>
      <x:c r="J36" s="28" t="str">
        <x:v>provisional_high</x:v>
      </x:c>
      <x:c r="K36" s="30" t="n">
        <x:v>0.73</x:v>
      </x:c>
      <x:c r="L36" s="28" t="str">
        <x:v>N</x:v>
      </x:c>
      <x:c r="M36" s="33" t="str">
        <x:f>IF(S36="","pending_1st_review",IF(L36="Y",IF(Z36="","pending_2nd_review",IF(S36=Z36,"reviewed_agree",IF(AB36="","needs_adjudication","adjudicated"))),"reviewed_once"))</x:f>
        <x:v>pending_1st_review</x:v>
      </x:c>
      <x:c r="N36" s="46" t="str"/>
      <x:c r="O36" s="53" t="str"/>
      <x:c r="P36" s="46" t="str"/>
      <x:c r="Q36" s="46" t="str"/>
      <x:c r="R36" s="46" t="str"/>
      <x:c r="S36" s="46" t="str"/>
      <x:c r="T36" s="46" t="str"/>
      <x:c r="U36" s="46" t="str"/>
      <x:c r="V36" s="53" t="str"/>
      <x:c r="W36" s="46" t="str"/>
      <x:c r="X36" s="46" t="str"/>
      <x:c r="Y36" s="46" t="str"/>
      <x:c r="Z36" s="46" t="str"/>
      <x:c r="AA36" s="46" t="str"/>
      <x:c r="AB36" s="46" t="str"/>
      <x:c r="AC36" s="46" t="str">
        <x:v>geometry_mismatch_candidate</x:v>
      </x:c>
      <x:c r="AD36" s="51" t="n">
        <x:v>0.58</x:v>
      </x:c>
      <x:c r="AE36" s="46" t="str"/>
      <x:c r="AF36" s="53" t="str">
        <x:v>2025-11-18 11:49:28</x:v>
      </x:c>
      <x:c r="AG36" s="28" t="str">
        <x:v>https://map.kakao.com/link/roadview/37.3984344,126.9242031</x:v>
      </x:c>
      <x:c r="AH36" s="28" t="str">
        <x:v>asset_level_inherited_not_endpoint_verified</x:v>
      </x:c>
      <x:c r="AI36" s="105" t="e">
        <x:f>HYPERLINK(IF(INDEX('영상 근거'!$F$7:$F$166,MATCH($A36&amp;"-N",'영상 근거'!$A$7:$A$166,0))=0,INDEX('영상 근거'!$Q$7:$Q$166,MATCH($A36&amp;"-N",'영상 근거'!$A$7:$A$166,0)),INDEX('영상 근거'!$F$7:$F$166,MATCH($A36&amp;"-N",'영상 근거'!$A$7:$A$166,0))),IF(INDEX('영상 근거'!$F$7:$F$166,MATCH($A36&amp;"-N",'영상 근거'!$A$7:$A$166,0))=0,"네이버 위치","네이버 거리뷰"))</x:f>
        <x:v>HYPERLINK is not implemented. linkLocation=https://map.naver.com/p/entry/coordinates/3zfpcb,2AEZM4?c=15.00,0,0,0,dh, friendlyName=네이버 위치</x:v>
      </x:c>
      <x:c r="AJ36" s="105" t="e">
        <x:f>HYPERLINK(IF(INDEX('영상 근거'!$F$7:$F$166,MATCH($A36&amp;"-K",'영상 근거'!$A$7:$A$166,0))=0,INDEX('영상 근거'!$Q$7:$Q$166,MATCH($A36&amp;"-K",'영상 근거'!$A$7:$A$166,0)),INDEX('영상 근거'!$F$7:$F$166,MATCH($A36&amp;"-K",'영상 근거'!$A$7:$A$166,0))),"카카오 거리뷰")</x:f>
        <x:v>HYPERLINK is not implemented. linkLocation=https://map.kakao.com/?panoid=1202871514&amp;pan=237.3&amp;zoom=0&amp;map_type=TYPE_MAP&amp;map_attribute=ROADVIEW&amp;urlX=483232.0&amp;urlY=1083086.0, friendlyName=카카오 거리뷰</x:v>
      </x:c>
      <x:c r="AK36" s="105" t="e">
        <x:f>HYPERLINK("#'영상 근거'!A"&amp;(MATCH($A36&amp;"-N",'영상 근거'!$A$7:$A$166,0)+6),"두 영상 기록")</x:f>
        <x:v>HYPERLINK is not implemented. linkLocation=#'영상 근거'!A65, friendlyName=두 영상 기록</x:v>
      </x:c>
      <x:c r="AL36" s="106"/>
      <x:c r="AM36" s="106"/>
      <x:c r="AN36" s="67" t="str">
        <x:f>IF(COUNTIFS('영상 근거'!$B$7:$B$166,$A36,'영상 근거'!$H$7:$H$166,"pass")+COUNTIFS('영상 근거'!$B$7:$B$166,$A36,'영상 근거'!$H$7:$H$166,"block")+COUNTIFS('영상 근거'!$B$7:$B$166,$A36,'영상 근거'!$H$7:$H$166,"unknown")&lt;2,"미입력",IF(COUNTIFS('영상 근거'!$B$7:$B$166,$A36,'영상 근거'!$H$7:$H$166,"pass")=2,"pass 일치",IF(COUNTIFS('영상 근거'!$B$7:$B$166,$A36,'영상 근거'!$H$7:$H$166,"block")=2,"block 일치",IF(COUNTIFS('영상 근거'!$B$7:$B$166,$A36,'영상 근거'!$H$7:$H$166,"unknown")=2,"모두 unknown",IF(AND(COUNTIFS('영상 근거'!$B$7:$B$166,$A36,'영상 근거'!$H$7:$H$166,"pass")=1,COUNTIFS('영상 근거'!$B$7:$B$166,$A36,'영상 근거'!$H$7:$H$166,"block")=1),"불일치","한쪽 unknown")))))</x:f>
        <x:v>미입력</x:v>
      </x:c>
      <x:c r="AO36" s="67" t="str">
        <x:f>IF(COUNTIFS('영상 근거'!$B$7:$B$166,$A36,'영상 근거'!$K$7:$K$166,"pass")+COUNTIFS('영상 근거'!$B$7:$B$166,$A36,'영상 근거'!$K$7:$K$166,"block")+COUNTIFS('영상 근거'!$B$7:$B$166,$A36,'영상 근거'!$K$7:$K$166,"unknown")&lt;2,"미입력",IF(COUNTIFS('영상 근거'!$B$7:$B$166,$A36,'영상 근거'!$K$7:$K$166,"pass")=2,"pass 일치",IF(COUNTIFS('영상 근거'!$B$7:$B$166,$A36,'영상 근거'!$K$7:$K$166,"block")=2,"block 일치",IF(COUNTIFS('영상 근거'!$B$7:$B$166,$A36,'영상 근거'!$K$7:$K$166,"unknown")=2,"모두 unknown",IF(AND(COUNTIFS('영상 근거'!$B$7:$B$166,$A36,'영상 근거'!$K$7:$K$166,"pass")=1,COUNTIFS('영상 근거'!$B$7:$B$166,$A36,'영상 근거'!$K$7:$K$166,"block")=1),"불일치","한쪽 unknown")))))</x:f>
        <x:v>미입력</x:v>
      </x:c>
      <x:c r="AP36" s="106"/>
      <x:c r="AQ36" s="106"/>
      <x:c r="AR36" s="109" t="str">
        <x:v>위치 불일치·판독보류</x:v>
      </x:c>
      <x:c r="AS36" s="109" t="str">
        <x:v>위치 불일치·판독보류</x:v>
      </x:c>
      <x:c r="AT36" s="109" t="str">
        <x:v>보정 필요</x:v>
      </x:c>
      <x:c r="AU36" s="162" t="str">
        <x:v>AI candidate</x:v>
      </x:c>
      <x:c r="AV36" s="162" t="str">
        <x:v>N</x:v>
      </x:c>
      <x:c r="AW36" s="206" t="str">
        <x:v>사람검수 대기</x:v>
      </x:c>
    </x:row>
    <x:row r="37" ht="34" customHeight="1">
      <x:c r="A37" s="28" t="str">
        <x:v>CW16-A</x:v>
      </x:c>
      <x:c r="B37" s="28" t="str">
        <x:v>CW16</x:v>
      </x:c>
      <x:c r="C37" s="28" t="str">
        <x:v>2024122517</x:v>
      </x:c>
      <x:c r="D37" s="28" t="str">
        <x:v>A</x:v>
      </x:c>
      <x:c r="E37" s="48" t="n">
        <x:v>37.39751862266188</x:v>
      </x:c>
      <x:c r="F37" s="48" t="n">
        <x:v>126.92279839429749</x:v>
      </x:c>
      <x:c r="G37" s="28" t="str">
        <x:v>unknown</x:v>
      </x:c>
      <x:c r="H37" s="28" t="str"/>
      <x:c r="I37" s="28" t="str"/>
      <x:c r="J37" s="28" t="str">
        <x:v>provisional_high</x:v>
      </x:c>
      <x:c r="K37" s="30" t="n">
        <x:v>1.36</x:v>
      </x:c>
      <x:c r="L37" s="28" t="str">
        <x:v>Y</x:v>
      </x:c>
      <x:c r="M37" s="33" t="str">
        <x:f>IF(S37="","pending_1st_review",IF(L37="Y",IF(Z37="","pending_2nd_review",IF(S37=Z37,"reviewed_agree",IF(AB37="","needs_adjudication","adjudicated"))),"reviewed_once"))</x:f>
        <x:v>pending_1st_review</x:v>
      </x:c>
      <x:c r="N37" s="46" t="str"/>
      <x:c r="O37" s="53" t="str"/>
      <x:c r="P37" s="46" t="str"/>
      <x:c r="Q37" s="46" t="str"/>
      <x:c r="R37" s="46" t="str"/>
      <x:c r="S37" s="46" t="str"/>
      <x:c r="T37" s="46" t="str"/>
      <x:c r="U37" s="46" t="str"/>
      <x:c r="V37" s="53" t="str"/>
      <x:c r="W37" s="46" t="str"/>
      <x:c r="X37" s="46" t="str"/>
      <x:c r="Y37" s="46" t="str"/>
      <x:c r="Z37" s="46" t="str"/>
      <x:c r="AA37" s="46" t="str"/>
      <x:c r="AB37" s="46" t="str"/>
      <x:c r="AC37" s="46" t="str">
        <x:v>likely_accessible_candidate</x:v>
      </x:c>
      <x:c r="AD37" s="51" t="n">
        <x:v>0.82</x:v>
      </x:c>
      <x:c r="AE37" s="46" t="str"/>
      <x:c r="AF37" s="53" t="str">
        <x:v>2025-11-18 14:18:05</x:v>
      </x:c>
      <x:c r="AG37" s="28" t="str">
        <x:v>https://map.kakao.com/link/roadview/37.3975186,126.9227984</x:v>
      </x:c>
      <x:c r="AH37" s="28" t="str">
        <x:v>asset_level_inherited_not_endpoint_verified</x:v>
      </x:c>
      <x:c r="AI37" s="105" t="e">
        <x:f>HYPERLINK(IF(INDEX('영상 근거'!$F$7:$F$166,MATCH($A37&amp;"-N",'영상 근거'!$A$7:$A$166,0))=0,INDEX('영상 근거'!$Q$7:$Q$166,MATCH($A37&amp;"-N",'영상 근거'!$A$7:$A$166,0)),INDEX('영상 근거'!$F$7:$F$166,MATCH($A37&amp;"-N",'영상 근거'!$A$7:$A$166,0))),IF(INDEX('영상 근거'!$F$7:$F$166,MATCH($A37&amp;"-N",'영상 근거'!$A$7:$A$166,0))=0,"네이버 위치","네이버 거리뷰"))</x:f>
        <x:v>HYPERLINK is not implemented. linkLocation=https://map.naver.com/p/entry/coordinates/3zflxC,2AEXom?c=15.00,0,0,0,dh, friendlyName=네이버 위치</x:v>
      </x:c>
      <x:c r="AJ37" s="105" t="e">
        <x:f>HYPERLINK(IF(INDEX('영상 근거'!$F$7:$F$166,MATCH($A37&amp;"-K",'영상 근거'!$A$7:$A$166,0))=0,INDEX('영상 근거'!$Q$7:$Q$166,MATCH($A37&amp;"-K",'영상 근거'!$A$7:$A$166,0)),INDEX('영상 근거'!$F$7:$F$166,MATCH($A37&amp;"-K",'영상 근거'!$A$7:$A$166,0))),"카카오 거리뷰")</x:f>
        <x:v>HYPERLINK is not implemented. linkLocation=https://map.kakao.com/?panoid=1202873960&amp;pan=57.2&amp;zoom=0&amp;map_type=TYPE_MAP&amp;map_attribute=ROADVIEW&amp;urlX=482904.0&amp;urlY=1082851.0, friendlyName=카카오 거리뷰</x:v>
      </x:c>
      <x:c r="AK37" s="105" t="e">
        <x:f>HYPERLINK("#'영상 근거'!A"&amp;(MATCH($A37&amp;"-N",'영상 근거'!$A$7:$A$166,0)+6),"두 영상 기록")</x:f>
        <x:v>HYPERLINK is not implemented. linkLocation=#'영상 근거'!A67, friendlyName=두 영상 기록</x:v>
      </x:c>
      <x:c r="AL37" s="106"/>
      <x:c r="AM37" s="106"/>
      <x:c r="AN37" s="67" t="str">
        <x:f>IF(COUNTIFS('영상 근거'!$B$7:$B$166,$A37,'영상 근거'!$H$7:$H$166,"pass")+COUNTIFS('영상 근거'!$B$7:$B$166,$A37,'영상 근거'!$H$7:$H$166,"block")+COUNTIFS('영상 근거'!$B$7:$B$166,$A37,'영상 근거'!$H$7:$H$166,"unknown")&lt;2,"미입력",IF(COUNTIFS('영상 근거'!$B$7:$B$166,$A37,'영상 근거'!$H$7:$H$166,"pass")=2,"pass 일치",IF(COUNTIFS('영상 근거'!$B$7:$B$166,$A37,'영상 근거'!$H$7:$H$166,"block")=2,"block 일치",IF(COUNTIFS('영상 근거'!$B$7:$B$166,$A37,'영상 근거'!$H$7:$H$166,"unknown")=2,"모두 unknown",IF(AND(COUNTIFS('영상 근거'!$B$7:$B$166,$A37,'영상 근거'!$H$7:$H$166,"pass")=1,COUNTIFS('영상 근거'!$B$7:$B$166,$A37,'영상 근거'!$H$7:$H$166,"block")=1),"불일치","한쪽 unknown")))))</x:f>
        <x:v>미입력</x:v>
      </x:c>
      <x:c r="AO37" s="67" t="str">
        <x:f>IF(COUNTIFS('영상 근거'!$B$7:$B$166,$A37,'영상 근거'!$K$7:$K$166,"pass")+COUNTIFS('영상 근거'!$B$7:$B$166,$A37,'영상 근거'!$K$7:$K$166,"block")+COUNTIFS('영상 근거'!$B$7:$B$166,$A37,'영상 근거'!$K$7:$K$166,"unknown")&lt;2,"미입력",IF(COUNTIFS('영상 근거'!$B$7:$B$166,$A37,'영상 근거'!$K$7:$K$166,"pass")=2,"pass 일치",IF(COUNTIFS('영상 근거'!$B$7:$B$166,$A37,'영상 근거'!$K$7:$K$166,"block")=2,"block 일치",IF(COUNTIFS('영상 근거'!$B$7:$B$166,$A37,'영상 근거'!$K$7:$K$166,"unknown")=2,"모두 unknown",IF(AND(COUNTIFS('영상 근거'!$B$7:$B$166,$A37,'영상 근거'!$K$7:$K$166,"pass")=1,COUNTIFS('영상 근거'!$B$7:$B$166,$A37,'영상 근거'!$K$7:$K$166,"block")=1),"불일치","한쪽 unknown")))))</x:f>
        <x:v>미입력</x:v>
      </x:c>
      <x:c r="AP37" s="106"/>
      <x:c r="AQ37" s="106"/>
      <x:c r="AR37" s="109" t="str">
        <x:v>통과 가능 후보</x:v>
      </x:c>
      <x:c r="AS37" s="109" t="str">
        <x:v>안내시설 양호 후보</x:v>
      </x:c>
      <x:c r="AT37" s="109" t="str">
        <x:v>보정 비대상</x:v>
      </x:c>
      <x:c r="AU37" s="162" t="str">
        <x:v>AI candidate</x:v>
      </x:c>
      <x:c r="AV37" s="162" t="str">
        <x:v>N</x:v>
      </x:c>
      <x:c r="AW37" s="206" t="str">
        <x:v>사람검수 대기</x:v>
      </x:c>
    </x:row>
    <x:row r="38" ht="34" customHeight="1">
      <x:c r="A38" s="28" t="str">
        <x:v>CW16-B</x:v>
      </x:c>
      <x:c r="B38" s="28" t="str">
        <x:v>CW16</x:v>
      </x:c>
      <x:c r="C38" s="28" t="str">
        <x:v>2024122517</x:v>
      </x:c>
      <x:c r="D38" s="28" t="str">
        <x:v>B</x:v>
      </x:c>
      <x:c r="E38" s="48" t="n">
        <x:v>37.397654297338114</x:v>
      </x:c>
      <x:c r="F38" s="48" t="n">
        <x:v>126.92268200570251</x:v>
      </x:c>
      <x:c r="G38" s="28" t="str">
        <x:v>unknown</x:v>
      </x:c>
      <x:c r="H38" s="28" t="str"/>
      <x:c r="I38" s="28" t="str"/>
      <x:c r="J38" s="28" t="str">
        <x:v>provisional_high</x:v>
      </x:c>
      <x:c r="K38" s="30" t="n">
        <x:v>1.36</x:v>
      </x:c>
      <x:c r="L38" s="28" t="str">
        <x:v>Y</x:v>
      </x:c>
      <x:c r="M38" s="33" t="str">
        <x:f>IF(S38="","pending_1st_review",IF(L38="Y",IF(Z38="","pending_2nd_review",IF(S38=Z38,"reviewed_agree",IF(AB38="","needs_adjudication","adjudicated"))),"reviewed_once"))</x:f>
        <x:v>pending_1st_review</x:v>
      </x:c>
      <x:c r="N38" s="46" t="str"/>
      <x:c r="O38" s="53" t="str"/>
      <x:c r="P38" s="46" t="str"/>
      <x:c r="Q38" s="46" t="str"/>
      <x:c r="R38" s="46" t="str"/>
      <x:c r="S38" s="46" t="str"/>
      <x:c r="T38" s="46" t="str"/>
      <x:c r="U38" s="46" t="str"/>
      <x:c r="V38" s="53" t="str"/>
      <x:c r="W38" s="46" t="str"/>
      <x:c r="X38" s="46" t="str"/>
      <x:c r="Y38" s="46" t="str"/>
      <x:c r="Z38" s="46" t="str"/>
      <x:c r="AA38" s="46" t="str"/>
      <x:c r="AB38" s="46" t="str"/>
      <x:c r="AC38" s="46" t="str">
        <x:v>likely_accessible_candidate</x:v>
      </x:c>
      <x:c r="AD38" s="51" t="n">
        <x:v>0.82</x:v>
      </x:c>
      <x:c r="AE38" s="46" t="str"/>
      <x:c r="AF38" s="53" t="str">
        <x:v>2025-11-18 14:18:05</x:v>
      </x:c>
      <x:c r="AG38" s="28" t="str">
        <x:v>https://map.kakao.com/link/roadview/37.3976543,126.9226820</x:v>
      </x:c>
      <x:c r="AH38" s="28" t="str">
        <x:v>asset_level_inherited_not_endpoint_verified</x:v>
      </x:c>
      <x:c r="AI38" s="105" t="e">
        <x:f>HYPERLINK(IF(INDEX('영상 근거'!$F$7:$F$166,MATCH($A38&amp;"-N",'영상 근거'!$A$7:$A$166,0))=0,INDEX('영상 근거'!$Q$7:$Q$166,MATCH($A38&amp;"-N",'영상 근거'!$A$7:$A$166,0)),INDEX('영상 근거'!$F$7:$F$166,MATCH($A38&amp;"-N",'영상 근거'!$A$7:$A$166,0))),IF(INDEX('영상 근거'!$F$7:$F$166,MATCH($A38&amp;"-N",'영상 근거'!$A$7:$A$166,0))=0,"네이버 위치","네이버 거리뷰"))</x:f>
        <x:v>HYPERLINK is not implemented. linkLocation=https://map.naver.com/p/entry/coordinates/3zfleQ,2AEXKf?c=15.00,0,0,0,dh, friendlyName=네이버 위치</x:v>
      </x:c>
      <x:c r="AJ38" s="105" t="e">
        <x:f>HYPERLINK(IF(INDEX('영상 근거'!$F$7:$F$166,MATCH($A38&amp;"-K",'영상 근거'!$A$7:$A$166,0))=0,INDEX('영상 근거'!$Q$7:$Q$166,MATCH($A38&amp;"-K",'영상 근거'!$A$7:$A$166,0)),INDEX('영상 근거'!$F$7:$F$166,MATCH($A38&amp;"-K",'영상 근거'!$A$7:$A$166,0))),"카카오 거리뷰")</x:f>
        <x:v>HYPERLINK is not implemented. linkLocation=https://map.kakao.com/?panoid=1202873960&amp;pan=57.2&amp;zoom=0&amp;map_type=TYPE_MAP&amp;map_attribute=ROADVIEW&amp;urlX=482904.0&amp;urlY=1082851.0, friendlyName=카카오 거리뷰</x:v>
      </x:c>
      <x:c r="AK38" s="105" t="e">
        <x:f>HYPERLINK("#'영상 근거'!A"&amp;(MATCH($A38&amp;"-N",'영상 근거'!$A$7:$A$166,0)+6),"두 영상 기록")</x:f>
        <x:v>HYPERLINK is not implemented. linkLocation=#'영상 근거'!A69, friendlyName=두 영상 기록</x:v>
      </x:c>
      <x:c r="AL38" s="106"/>
      <x:c r="AM38" s="106"/>
      <x:c r="AN38" s="67" t="str">
        <x:f>IF(COUNTIFS('영상 근거'!$B$7:$B$166,$A38,'영상 근거'!$H$7:$H$166,"pass")+COUNTIFS('영상 근거'!$B$7:$B$166,$A38,'영상 근거'!$H$7:$H$166,"block")+COUNTIFS('영상 근거'!$B$7:$B$166,$A38,'영상 근거'!$H$7:$H$166,"unknown")&lt;2,"미입력",IF(COUNTIFS('영상 근거'!$B$7:$B$166,$A38,'영상 근거'!$H$7:$H$166,"pass")=2,"pass 일치",IF(COUNTIFS('영상 근거'!$B$7:$B$166,$A38,'영상 근거'!$H$7:$H$166,"block")=2,"block 일치",IF(COUNTIFS('영상 근거'!$B$7:$B$166,$A38,'영상 근거'!$H$7:$H$166,"unknown")=2,"모두 unknown",IF(AND(COUNTIFS('영상 근거'!$B$7:$B$166,$A38,'영상 근거'!$H$7:$H$166,"pass")=1,COUNTIFS('영상 근거'!$B$7:$B$166,$A38,'영상 근거'!$H$7:$H$166,"block")=1),"불일치","한쪽 unknown")))))</x:f>
        <x:v>미입력</x:v>
      </x:c>
      <x:c r="AO38" s="67" t="str">
        <x:f>IF(COUNTIFS('영상 근거'!$B$7:$B$166,$A38,'영상 근거'!$K$7:$K$166,"pass")+COUNTIFS('영상 근거'!$B$7:$B$166,$A38,'영상 근거'!$K$7:$K$166,"block")+COUNTIFS('영상 근거'!$B$7:$B$166,$A38,'영상 근거'!$K$7:$K$166,"unknown")&lt;2,"미입력",IF(COUNTIFS('영상 근거'!$B$7:$B$166,$A38,'영상 근거'!$K$7:$K$166,"pass")=2,"pass 일치",IF(COUNTIFS('영상 근거'!$B$7:$B$166,$A38,'영상 근거'!$K$7:$K$166,"block")=2,"block 일치",IF(COUNTIFS('영상 근거'!$B$7:$B$166,$A38,'영상 근거'!$K$7:$K$166,"unknown")=2,"모두 unknown",IF(AND(COUNTIFS('영상 근거'!$B$7:$B$166,$A38,'영상 근거'!$K$7:$K$166,"pass")=1,COUNTIFS('영상 근거'!$B$7:$B$166,$A38,'영상 근거'!$K$7:$K$166,"block")=1),"불일치","한쪽 unknown")))))</x:f>
        <x:v>미입력</x:v>
      </x:c>
      <x:c r="AP38" s="106"/>
      <x:c r="AQ38" s="106"/>
      <x:c r="AR38" s="109" t="str">
        <x:v>통과 가능 후보</x:v>
      </x:c>
      <x:c r="AS38" s="109" t="str">
        <x:v>안내시설 양호 후보</x:v>
      </x:c>
      <x:c r="AT38" s="109" t="str">
        <x:v>보정 비대상</x:v>
      </x:c>
      <x:c r="AU38" s="162" t="str">
        <x:v>AI candidate</x:v>
      </x:c>
      <x:c r="AV38" s="162" t="str">
        <x:v>N</x:v>
      </x:c>
      <x:c r="AW38" s="206" t="str">
        <x:v>사람검수 대기</x:v>
      </x:c>
    </x:row>
    <x:row r="39" ht="34" customHeight="1">
      <x:c r="A39" s="28" t="str">
        <x:v>CW17-A</x:v>
      </x:c>
      <x:c r="B39" s="28" t="str">
        <x:v>CW17</x:v>
      </x:c>
      <x:c r="C39" s="28" t="str">
        <x:v>2024122512</x:v>
      </x:c>
      <x:c r="D39" s="28" t="str">
        <x:v>A</x:v>
      </x:c>
      <x:c r="E39" s="48" t="n">
        <x:v>37.39667273168306</x:v>
      </x:c>
      <x:c r="F39" s="48" t="n">
        <x:v>126.92338647331106</x:v>
      </x:c>
      <x:c r="G39" s="28" t="str">
        <x:v>unknown</x:v>
      </x:c>
      <x:c r="H39" s="28" t="str"/>
      <x:c r="I39" s="28" t="str"/>
      <x:c r="J39" s="28" t="str">
        <x:v>provisional_high</x:v>
      </x:c>
      <x:c r="K39" s="30" t="n">
        <x:v>0.19</x:v>
      </x:c>
      <x:c r="L39" s="28" t="str">
        <x:v>N</x:v>
      </x:c>
      <x:c r="M39" s="33" t="str">
        <x:f>IF(S39="","pending_1st_review",IF(L39="Y",IF(Z39="","pending_2nd_review",IF(S39=Z39,"reviewed_agree",IF(AB39="","needs_adjudication","adjudicated"))),"reviewed_once"))</x:f>
        <x:v>pending_1st_review</x:v>
      </x:c>
      <x:c r="N39" s="46" t="str"/>
      <x:c r="O39" s="53" t="str"/>
      <x:c r="P39" s="46" t="str"/>
      <x:c r="Q39" s="46" t="str"/>
      <x:c r="R39" s="46" t="str"/>
      <x:c r="S39" s="46" t="str"/>
      <x:c r="T39" s="46" t="str"/>
      <x:c r="U39" s="46" t="str"/>
      <x:c r="V39" s="53" t="str"/>
      <x:c r="W39" s="46" t="str"/>
      <x:c r="X39" s="46" t="str"/>
      <x:c r="Y39" s="46" t="str"/>
      <x:c r="Z39" s="46" t="str"/>
      <x:c r="AA39" s="46" t="str"/>
      <x:c r="AB39" s="46" t="str"/>
      <x:c r="AC39" s="46" t="str">
        <x:v>occlusion_review_needed</x:v>
      </x:c>
      <x:c r="AD39" s="51" t="n">
        <x:v>0.52</x:v>
      </x:c>
      <x:c r="AE39" s="46" t="str"/>
      <x:c r="AF39" s="53" t="str">
        <x:v>2025-11-18 15:24:23</x:v>
      </x:c>
      <x:c r="AG39" s="28" t="str">
        <x:v>https://map.kakao.com/link/roadview/37.3966727,126.9233865</x:v>
      </x:c>
      <x:c r="AH39" s="28" t="str">
        <x:v>asset_level_inherited_not_endpoint_verified</x:v>
      </x:c>
      <x:c r="AI39" s="105" t="e">
        <x:f>HYPERLINK(IF(INDEX('영상 근거'!$F$7:$F$166,MATCH($A39&amp;"-N",'영상 근거'!$A$7:$A$166,0))=0,INDEX('영상 근거'!$Q$7:$Q$166,MATCH($A39&amp;"-N",'영상 근거'!$A$7:$A$166,0)),INDEX('영상 근거'!$F$7:$F$166,MATCH($A39&amp;"-N",'영상 근거'!$A$7:$A$166,0))),IF(INDEX('영상 근거'!$F$7:$F$166,MATCH($A39&amp;"-N",'영상 근거'!$A$7:$A$166,0))=0,"네이버 위치","네이버 거리뷰"))</x:f>
        <x:v>HYPERLINK is not implemented. linkLocation=https://map.naver.com/p/entry/coordinates/3zfn4t,2AEVbV?c=15.00,0,0,0,dh, friendlyName=네이버 위치</x:v>
      </x:c>
      <x:c r="AJ39" s="105" t="e">
        <x:f>HYPERLINK(IF(INDEX('영상 근거'!$F$7:$F$166,MATCH($A39&amp;"-K",'영상 근거'!$A$7:$A$166,0))=0,INDEX('영상 근거'!$Q$7:$Q$166,MATCH($A39&amp;"-K",'영상 근거'!$A$7:$A$166,0)),INDEX('영상 근거'!$F$7:$F$166,MATCH($A39&amp;"-K",'영상 근거'!$A$7:$A$166,0))),"카카오 거리뷰")</x:f>
        <x:v>HYPERLINK is not implemented. linkLocation=https://map.kakao.com/?panoid=1202875183&amp;pan=34.5&amp;zoom=0&amp;map_type=TYPE_MAP&amp;map_attribute=ROADVIEW&amp;urlX=483033.0&amp;urlY=1082609.0, friendlyName=카카오 거리뷰</x:v>
      </x:c>
      <x:c r="AK39" s="105" t="e">
        <x:f>HYPERLINK("#'영상 근거'!A"&amp;(MATCH($A39&amp;"-N",'영상 근거'!$A$7:$A$166,0)+6),"두 영상 기록")</x:f>
        <x:v>HYPERLINK is not implemented. linkLocation=#'영상 근거'!A71, friendlyName=두 영상 기록</x:v>
      </x:c>
      <x:c r="AL39" s="106"/>
      <x:c r="AM39" s="106"/>
      <x:c r="AN39" s="67" t="str">
        <x:f>IF(COUNTIFS('영상 근거'!$B$7:$B$166,$A39,'영상 근거'!$H$7:$H$166,"pass")+COUNTIFS('영상 근거'!$B$7:$B$166,$A39,'영상 근거'!$H$7:$H$166,"block")+COUNTIFS('영상 근거'!$B$7:$B$166,$A39,'영상 근거'!$H$7:$H$166,"unknown")&lt;2,"미입력",IF(COUNTIFS('영상 근거'!$B$7:$B$166,$A39,'영상 근거'!$H$7:$H$166,"pass")=2,"pass 일치",IF(COUNTIFS('영상 근거'!$B$7:$B$166,$A39,'영상 근거'!$H$7:$H$166,"block")=2,"block 일치",IF(COUNTIFS('영상 근거'!$B$7:$B$166,$A39,'영상 근거'!$H$7:$H$166,"unknown")=2,"모두 unknown",IF(AND(COUNTIFS('영상 근거'!$B$7:$B$166,$A39,'영상 근거'!$H$7:$H$166,"pass")=1,COUNTIFS('영상 근거'!$B$7:$B$166,$A39,'영상 근거'!$H$7:$H$166,"block")=1),"불일치","한쪽 unknown")))))</x:f>
        <x:v>미입력</x:v>
      </x:c>
      <x:c r="AO39" s="67" t="str">
        <x:f>IF(COUNTIFS('영상 근거'!$B$7:$B$166,$A39,'영상 근거'!$K$7:$K$166,"pass")+COUNTIFS('영상 근거'!$B$7:$B$166,$A39,'영상 근거'!$K$7:$K$166,"block")+COUNTIFS('영상 근거'!$B$7:$B$166,$A39,'영상 근거'!$K$7:$K$166,"unknown")&lt;2,"미입력",IF(COUNTIFS('영상 근거'!$B$7:$B$166,$A39,'영상 근거'!$K$7:$K$166,"pass")=2,"pass 일치",IF(COUNTIFS('영상 근거'!$B$7:$B$166,$A39,'영상 근거'!$K$7:$K$166,"block")=2,"block 일치",IF(COUNTIFS('영상 근거'!$B$7:$B$166,$A39,'영상 근거'!$K$7:$K$166,"unknown")=2,"모두 unknown",IF(AND(COUNTIFS('영상 근거'!$B$7:$B$166,$A39,'영상 근거'!$K$7:$K$166,"pass")=1,COUNTIFS('영상 근거'!$B$7:$B$166,$A39,'영상 근거'!$K$7:$K$166,"block")=1),"불일치","한쪽 unknown")))))</x:f>
        <x:v>미입력</x:v>
      </x:c>
      <x:c r="AP39" s="106"/>
      <x:c r="AQ39" s="106"/>
      <x:c r="AR39" s="109" t="str">
        <x:v>가림·판독보류</x:v>
      </x:c>
      <x:c r="AS39" s="109" t="str">
        <x:v>가림·판독보류</x:v>
      </x:c>
      <x:c r="AT39" s="109" t="str">
        <x:v>보정 비대상</x:v>
      </x:c>
      <x:c r="AU39" s="162" t="str">
        <x:v>AI candidate</x:v>
      </x:c>
      <x:c r="AV39" s="162" t="str">
        <x:v>N</x:v>
      </x:c>
      <x:c r="AW39" s="206" t="str">
        <x:v>사람검수 대기</x:v>
      </x:c>
    </x:row>
    <x:row r="40" ht="34" customHeight="1">
      <x:c r="A40" s="28" t="str">
        <x:v>CW17-B</x:v>
      </x:c>
      <x:c r="B40" s="28" t="str">
        <x:v>CW17</x:v>
      </x:c>
      <x:c r="C40" s="28" t="str">
        <x:v>2024122512</x:v>
      </x:c>
      <x:c r="D40" s="28" t="str">
        <x:v>B</x:v>
      </x:c>
      <x:c r="E40" s="48" t="n">
        <x:v>37.396727708316945</x:v>
      </x:c>
      <x:c r="F40" s="48" t="n">
        <x:v>126.92333932668895</x:v>
      </x:c>
      <x:c r="G40" s="28" t="str">
        <x:v>unknown</x:v>
      </x:c>
      <x:c r="H40" s="28" t="str"/>
      <x:c r="I40" s="28" t="str"/>
      <x:c r="J40" s="28" t="str">
        <x:v>provisional_high</x:v>
      </x:c>
      <x:c r="K40" s="30" t="n">
        <x:v>0.19</x:v>
      </x:c>
      <x:c r="L40" s="28" t="str">
        <x:v>N</x:v>
      </x:c>
      <x:c r="M40" s="33" t="str">
        <x:f>IF(S40="","pending_1st_review",IF(L40="Y",IF(Z40="","pending_2nd_review",IF(S40=Z40,"reviewed_agree",IF(AB40="","needs_adjudication","adjudicated"))),"reviewed_once"))</x:f>
        <x:v>pending_1st_review</x:v>
      </x:c>
      <x:c r="N40" s="46" t="str"/>
      <x:c r="O40" s="53" t="str"/>
      <x:c r="P40" s="46" t="str"/>
      <x:c r="Q40" s="46" t="str"/>
      <x:c r="R40" s="46" t="str"/>
      <x:c r="S40" s="46" t="str"/>
      <x:c r="T40" s="46" t="str"/>
      <x:c r="U40" s="46" t="str"/>
      <x:c r="V40" s="53" t="str"/>
      <x:c r="W40" s="46" t="str"/>
      <x:c r="X40" s="46" t="str"/>
      <x:c r="Y40" s="46" t="str"/>
      <x:c r="Z40" s="46" t="str"/>
      <x:c r="AA40" s="46" t="str"/>
      <x:c r="AB40" s="46" t="str"/>
      <x:c r="AC40" s="46" t="str">
        <x:v>visibility_review_needed</x:v>
      </x:c>
      <x:c r="AD40" s="51" t="n">
        <x:v>0.52</x:v>
      </x:c>
      <x:c r="AE40" s="46" t="str"/>
      <x:c r="AF40" s="53" t="str">
        <x:v>2025-11-18 15:24:23</x:v>
      </x:c>
      <x:c r="AG40" s="28" t="str">
        <x:v>https://map.kakao.com/link/roadview/37.3967277,126.9233393</x:v>
      </x:c>
      <x:c r="AH40" s="28" t="str">
        <x:v>asset_level_inherited_not_endpoint_verified</x:v>
      </x:c>
      <x:c r="AI40" s="105" t="e">
        <x:f>HYPERLINK(IF(INDEX('영상 근거'!$F$7:$F$166,MATCH($A40&amp;"-N",'영상 근거'!$A$7:$A$166,0))=0,INDEX('영상 근거'!$Q$7:$Q$166,MATCH($A40&amp;"-N",'영상 근거'!$A$7:$A$166,0)),INDEX('영상 근거'!$F$7:$F$166,MATCH($A40&amp;"-N",'영상 근거'!$A$7:$A$166,0))),IF(INDEX('영상 근거'!$F$7:$F$166,MATCH($A40&amp;"-N",'영상 근거'!$A$7:$A$166,0))=0,"네이버 위치","네이버 거리뷰"))</x:f>
        <x:v>HYPERLINK is not implemented. linkLocation=https://map.naver.com/p/entry/coordinates/3zfmWR,2AEVkN?c=15.00,0,0,0,dh, friendlyName=네이버 위치</x:v>
      </x:c>
      <x:c r="AJ40" s="105" t="e">
        <x:f>HYPERLINK(IF(INDEX('영상 근거'!$F$7:$F$166,MATCH($A40&amp;"-K",'영상 근거'!$A$7:$A$166,0))=0,INDEX('영상 근거'!$Q$7:$Q$166,MATCH($A40&amp;"-K",'영상 근거'!$A$7:$A$166,0)),INDEX('영상 근거'!$F$7:$F$166,MATCH($A40&amp;"-K",'영상 근거'!$A$7:$A$166,0))),"카카오 거리뷰")</x:f>
        <x:v>HYPERLINK is not implemented. linkLocation=https://map.kakao.com/?panoid=1202875183&amp;pan=34.5&amp;zoom=0&amp;map_type=TYPE_MAP&amp;map_attribute=ROADVIEW&amp;urlX=483033.0&amp;urlY=1082609.0, friendlyName=카카오 거리뷰</x:v>
      </x:c>
      <x:c r="AK40" s="105" t="e">
        <x:f>HYPERLINK("#'영상 근거'!A"&amp;(MATCH($A40&amp;"-N",'영상 근거'!$A$7:$A$166,0)+6),"두 영상 기록")</x:f>
        <x:v>HYPERLINK is not implemented. linkLocation=#'영상 근거'!A73, friendlyName=두 영상 기록</x:v>
      </x:c>
      <x:c r="AL40" s="106"/>
      <x:c r="AM40" s="106"/>
      <x:c r="AN40" s="67" t="str">
        <x:f>IF(COUNTIFS('영상 근거'!$B$7:$B$166,$A40,'영상 근거'!$H$7:$H$166,"pass")+COUNTIFS('영상 근거'!$B$7:$B$166,$A40,'영상 근거'!$H$7:$H$166,"block")+COUNTIFS('영상 근거'!$B$7:$B$166,$A40,'영상 근거'!$H$7:$H$166,"unknown")&lt;2,"미입력",IF(COUNTIFS('영상 근거'!$B$7:$B$166,$A40,'영상 근거'!$H$7:$H$166,"pass")=2,"pass 일치",IF(COUNTIFS('영상 근거'!$B$7:$B$166,$A40,'영상 근거'!$H$7:$H$166,"block")=2,"block 일치",IF(COUNTIFS('영상 근거'!$B$7:$B$166,$A40,'영상 근거'!$H$7:$H$166,"unknown")=2,"모두 unknown",IF(AND(COUNTIFS('영상 근거'!$B$7:$B$166,$A40,'영상 근거'!$H$7:$H$166,"pass")=1,COUNTIFS('영상 근거'!$B$7:$B$166,$A40,'영상 근거'!$H$7:$H$166,"block")=1),"불일치","한쪽 unknown")))))</x:f>
        <x:v>미입력</x:v>
      </x:c>
      <x:c r="AO40" s="67" t="str">
        <x:f>IF(COUNTIFS('영상 근거'!$B$7:$B$166,$A40,'영상 근거'!$K$7:$K$166,"pass")+COUNTIFS('영상 근거'!$B$7:$B$166,$A40,'영상 근거'!$K$7:$K$166,"block")+COUNTIFS('영상 근거'!$B$7:$B$166,$A40,'영상 근거'!$K$7:$K$166,"unknown")&lt;2,"미입력",IF(COUNTIFS('영상 근거'!$B$7:$B$166,$A40,'영상 근거'!$K$7:$K$166,"pass")=2,"pass 일치",IF(COUNTIFS('영상 근거'!$B$7:$B$166,$A40,'영상 근거'!$K$7:$K$166,"block")=2,"block 일치",IF(COUNTIFS('영상 근거'!$B$7:$B$166,$A40,'영상 근거'!$K$7:$K$166,"unknown")=2,"모두 unknown",IF(AND(COUNTIFS('영상 근거'!$B$7:$B$166,$A40,'영상 근거'!$K$7:$K$166,"pass")=1,COUNTIFS('영상 근거'!$B$7:$B$166,$A40,'영상 근거'!$K$7:$K$166,"block")=1),"불일치","한쪽 unknown")))))</x:f>
        <x:v>미입력</x:v>
      </x:c>
      <x:c r="AP40" s="106"/>
      <x:c r="AQ40" s="106"/>
      <x:c r="AR40" s="109" t="str">
        <x:v>시야 부족·판독보류</x:v>
      </x:c>
      <x:c r="AS40" s="109" t="str">
        <x:v>시야 부족·판독보류</x:v>
      </x:c>
      <x:c r="AT40" s="109" t="str">
        <x:v>보정 비대상</x:v>
      </x:c>
      <x:c r="AU40" s="162" t="str">
        <x:v>AI candidate</x:v>
      </x:c>
      <x:c r="AV40" s="162" t="str">
        <x:v>N</x:v>
      </x:c>
      <x:c r="AW40" s="206" t="str">
        <x:v>사람검수 대기</x:v>
      </x:c>
    </x:row>
    <x:row r="41" ht="34" customHeight="1">
      <x:c r="A41" s="28" t="str">
        <x:v>CW18-A</x:v>
      </x:c>
      <x:c r="B41" s="28" t="str">
        <x:v>CW18</x:v>
      </x:c>
      <x:c r="C41" s="28" t="str">
        <x:v>2024122514</x:v>
      </x:c>
      <x:c r="D41" s="28" t="str">
        <x:v>A</x:v>
      </x:c>
      <x:c r="E41" s="48" t="n">
        <x:v>37.39581829178769</x:v>
      </x:c>
      <x:c r="F41" s="48" t="n">
        <x:v>126.9241050997271</x:v>
      </x:c>
      <x:c r="G41" s="28" t="str">
        <x:v>unknown</x:v>
      </x:c>
      <x:c r="H41" s="28" t="str"/>
      <x:c r="I41" s="28" t="str"/>
      <x:c r="J41" s="28" t="str">
        <x:v>provisional_high</x:v>
      </x:c>
      <x:c r="K41" s="30" t="n">
        <x:v>0.86</x:v>
      </x:c>
      <x:c r="L41" s="28" t="str">
        <x:v>Y</x:v>
      </x:c>
      <x:c r="M41" s="33" t="str">
        <x:f>IF(S41="","pending_1st_review",IF(L41="Y",IF(Z41="","pending_2nd_review",IF(S41=Z41,"reviewed_agree",IF(AB41="","needs_adjudication","adjudicated"))),"reviewed_once"))</x:f>
        <x:v>pending_1st_review</x:v>
      </x:c>
      <x:c r="N41" s="46" t="str"/>
      <x:c r="O41" s="53" t="str"/>
      <x:c r="P41" s="46" t="str"/>
      <x:c r="Q41" s="46" t="str"/>
      <x:c r="R41" s="46" t="str"/>
      <x:c r="S41" s="46" t="str"/>
      <x:c r="T41" s="46" t="str"/>
      <x:c r="U41" s="46" t="str"/>
      <x:c r="V41" s="53" t="str"/>
      <x:c r="W41" s="46" t="str"/>
      <x:c r="X41" s="46" t="str"/>
      <x:c r="Y41" s="46" t="str"/>
      <x:c r="Z41" s="46" t="str"/>
      <x:c r="AA41" s="46" t="str"/>
      <x:c r="AB41" s="46" t="str"/>
      <x:c r="AC41" s="46" t="str">
        <x:v>tactile_absent_candidate</x:v>
      </x:c>
      <x:c r="AD41" s="51" t="n">
        <x:v>0.76</x:v>
      </x:c>
      <x:c r="AE41" s="46" t="str"/>
      <x:c r="AF41" s="53" t="str">
        <x:v>2025-12-01 14:08:47</x:v>
      </x:c>
      <x:c r="AG41" s="28" t="str">
        <x:v>https://map.kakao.com/link/roadview/37.3958183,126.9241051</x:v>
      </x:c>
      <x:c r="AH41" s="28" t="str">
        <x:v>asset_level_inherited_not_endpoint_verified</x:v>
      </x:c>
      <x:c r="AI41" s="105" t="e">
        <x:f>HYPERLINK(IF(INDEX('영상 근거'!$F$7:$F$166,MATCH($A41&amp;"-N",'영상 근거'!$A$7:$A$166,0))=0,INDEX('영상 근거'!$Q$7:$Q$166,MATCH($A41&amp;"-N",'영상 근거'!$A$7:$A$166,0)),INDEX('영상 근거'!$F$7:$F$166,MATCH($A41&amp;"-N",'영상 근거'!$A$7:$A$166,0))),IF(INDEX('영상 근거'!$F$7:$F$166,MATCH($A41&amp;"-N",'영상 근거'!$A$7:$A$166,0))=0,"네이버 위치","네이버 거리뷰"))</x:f>
        <x:v>HYPERLINK is not implemented. linkLocation=https://map.naver.com/p/entry/coordinates/3zfoWn,2AESY7?c=15.00,0,0,0,dh, friendlyName=네이버 위치</x:v>
      </x:c>
      <x:c r="AJ41" s="105" t="e">
        <x:f>HYPERLINK(IF(INDEX('영상 근거'!$F$7:$F$166,MATCH($A41&amp;"-K",'영상 근거'!$A$7:$A$166,0))=0,INDEX('영상 근거'!$Q$7:$Q$166,MATCH($A41&amp;"-K",'영상 근거'!$A$7:$A$166,0)),INDEX('영상 근거'!$F$7:$F$166,MATCH($A41&amp;"-K",'영상 근거'!$A$7:$A$166,0))),"카카오 거리뷰")</x:f>
        <x:v>HYPERLINK is not implemented. linkLocation=https://map.kakao.com/?panoid=1203480723&amp;pan=326.1&amp;zoom=0&amp;map_type=TYPE_MAP&amp;map_attribute=ROADVIEW&amp;urlX=483181.0&amp;urlY=1082354.0, friendlyName=카카오 거리뷰</x:v>
      </x:c>
      <x:c r="AK41" s="105" t="e">
        <x:f>HYPERLINK("#'영상 근거'!A"&amp;(MATCH($A41&amp;"-N",'영상 근거'!$A$7:$A$166,0)+6),"두 영상 기록")</x:f>
        <x:v>HYPERLINK is not implemented. linkLocation=#'영상 근거'!A75, friendlyName=두 영상 기록</x:v>
      </x:c>
      <x:c r="AL41" s="106"/>
      <x:c r="AM41" s="106"/>
      <x:c r="AN41" s="67" t="str">
        <x:f>IF(COUNTIFS('영상 근거'!$B$7:$B$166,$A41,'영상 근거'!$H$7:$H$166,"pass")+COUNTIFS('영상 근거'!$B$7:$B$166,$A41,'영상 근거'!$H$7:$H$166,"block")+COUNTIFS('영상 근거'!$B$7:$B$166,$A41,'영상 근거'!$H$7:$H$166,"unknown")&lt;2,"미입력",IF(COUNTIFS('영상 근거'!$B$7:$B$166,$A41,'영상 근거'!$H$7:$H$166,"pass")=2,"pass 일치",IF(COUNTIFS('영상 근거'!$B$7:$B$166,$A41,'영상 근거'!$H$7:$H$166,"block")=2,"block 일치",IF(COUNTIFS('영상 근거'!$B$7:$B$166,$A41,'영상 근거'!$H$7:$H$166,"unknown")=2,"모두 unknown",IF(AND(COUNTIFS('영상 근거'!$B$7:$B$166,$A41,'영상 근거'!$H$7:$H$166,"pass")=1,COUNTIFS('영상 근거'!$B$7:$B$166,$A41,'영상 근거'!$H$7:$H$166,"block")=1),"불일치","한쪽 unknown")))))</x:f>
        <x:v>미입력</x:v>
      </x:c>
      <x:c r="AO41" s="67" t="str">
        <x:f>IF(COUNTIFS('영상 근거'!$B$7:$B$166,$A41,'영상 근거'!$K$7:$K$166,"pass")+COUNTIFS('영상 근거'!$B$7:$B$166,$A41,'영상 근거'!$K$7:$K$166,"block")+COUNTIFS('영상 근거'!$B$7:$B$166,$A41,'영상 근거'!$K$7:$K$166,"unknown")&lt;2,"미입력",IF(COUNTIFS('영상 근거'!$B$7:$B$166,$A41,'영상 근거'!$K$7:$K$166,"pass")=2,"pass 일치",IF(COUNTIFS('영상 근거'!$B$7:$B$166,$A41,'영상 근거'!$K$7:$K$166,"block")=2,"block 일치",IF(COUNTIFS('영상 근거'!$B$7:$B$166,$A41,'영상 근거'!$K$7:$K$166,"unknown")=2,"모두 unknown",IF(AND(COUNTIFS('영상 근거'!$B$7:$B$166,$A41,'영상 근거'!$K$7:$K$166,"pass")=1,COUNTIFS('영상 근거'!$B$7:$B$166,$A41,'영상 근거'!$K$7:$K$166,"block")=1),"불일치","한쪽 unknown")))))</x:f>
        <x:v>미입력</x:v>
      </x:c>
      <x:c r="AP41" s="106"/>
      <x:c r="AQ41" s="106"/>
      <x:c r="AR41" s="109" t="str">
        <x:v>점자 사유 차단 아님</x:v>
      </x:c>
      <x:c r="AS41" s="109" t="str">
        <x:v>점자 유도 결함 후보</x:v>
      </x:c>
      <x:c r="AT41" s="109" t="str">
        <x:v>보정 비대상</x:v>
      </x:c>
      <x:c r="AU41" s="162" t="str">
        <x:v>AI candidate</x:v>
      </x:c>
      <x:c r="AV41" s="162" t="str">
        <x:v>N</x:v>
      </x:c>
      <x:c r="AW41" s="206" t="str">
        <x:v>사람검수 대기</x:v>
      </x:c>
    </x:row>
    <x:row r="42" ht="34" customHeight="1">
      <x:c r="A42" s="28" t="str">
        <x:v>CW18-B</x:v>
      </x:c>
      <x:c r="B42" s="28" t="str">
        <x:v>CW18</x:v>
      </x:c>
      <x:c r="C42" s="28" t="str">
        <x:v>2024122514</x:v>
      </x:c>
      <x:c r="D42" s="28" t="str">
        <x:v>B</x:v>
      </x:c>
      <x:c r="E42" s="48" t="n">
        <x:v>37.39588836821232</x:v>
      </x:c>
      <x:c r="F42" s="48" t="n">
        <x:v>126.92404650027288</x:v>
      </x:c>
      <x:c r="G42" s="28" t="str">
        <x:v>unknown</x:v>
      </x:c>
      <x:c r="H42" s="28" t="str"/>
      <x:c r="I42" s="28" t="str"/>
      <x:c r="J42" s="28" t="str">
        <x:v>provisional_high</x:v>
      </x:c>
      <x:c r="K42" s="30" t="n">
        <x:v>0.86</x:v>
      </x:c>
      <x:c r="L42" s="28" t="str">
        <x:v>Y</x:v>
      </x:c>
      <x:c r="M42" s="33" t="str">
        <x:f>IF(S42="","pending_1st_review",IF(L42="Y",IF(Z42="","pending_2nd_review",IF(S42=Z42,"reviewed_agree",IF(AB42="","needs_adjudication","adjudicated"))),"reviewed_once"))</x:f>
        <x:v>pending_1st_review</x:v>
      </x:c>
      <x:c r="N42" s="46" t="str"/>
      <x:c r="O42" s="53" t="str"/>
      <x:c r="P42" s="46" t="str"/>
      <x:c r="Q42" s="46" t="str"/>
      <x:c r="R42" s="46" t="str"/>
      <x:c r="S42" s="46" t="str"/>
      <x:c r="T42" s="46" t="str"/>
      <x:c r="U42" s="46" t="str"/>
      <x:c r="V42" s="53" t="str"/>
      <x:c r="W42" s="46" t="str"/>
      <x:c r="X42" s="46" t="str"/>
      <x:c r="Y42" s="46" t="str"/>
      <x:c r="Z42" s="46" t="str"/>
      <x:c r="AA42" s="46" t="str"/>
      <x:c r="AB42" s="46" t="str"/>
      <x:c r="AC42" s="46" t="str">
        <x:v>occlusion_review_needed</x:v>
      </x:c>
      <x:c r="AD42" s="51" t="n">
        <x:v>0.52</x:v>
      </x:c>
      <x:c r="AE42" s="46" t="str"/>
      <x:c r="AF42" s="53" t="str">
        <x:v>2025-12-01 14:09:05</x:v>
      </x:c>
      <x:c r="AG42" s="28" t="str">
        <x:v>https://map.kakao.com/link/roadview/37.3958884,126.9240465</x:v>
      </x:c>
      <x:c r="AH42" s="28" t="str">
        <x:v>asset_level_inherited_not_endpoint_verified</x:v>
      </x:c>
      <x:c r="AI42" s="105" t="e">
        <x:f>HYPERLINK(IF(INDEX('영상 근거'!$F$7:$F$166,MATCH($A42&amp;"-N",'영상 근거'!$A$7:$A$166,0))=0,INDEX('영상 근거'!$Q$7:$Q$166,MATCH($A42&amp;"-N",'영상 근거'!$A$7:$A$166,0)),INDEX('영상 근거'!$F$7:$F$166,MATCH($A42&amp;"-N",'영상 근거'!$A$7:$A$166,0))),IF(INDEX('영상 근거'!$F$7:$F$166,MATCH($A42&amp;"-N",'영상 근거'!$A$7:$A$166,0))=0,"네이버 위치","네이버 거리뷰"))</x:f>
        <x:v>HYPERLINK is not implemented. linkLocation=https://map.naver.com/p/entry/coordinates/3zfoMV,2AET9q?c=15.00,0,0,0,dh, friendlyName=네이버 위치</x:v>
      </x:c>
      <x:c r="AJ42" s="105" t="e">
        <x:f>HYPERLINK(IF(INDEX('영상 근거'!$F$7:$F$166,MATCH($A42&amp;"-K",'영상 근거'!$A$7:$A$166,0))=0,INDEX('영상 근거'!$Q$7:$Q$166,MATCH($A42&amp;"-K",'영상 근거'!$A$7:$A$166,0)),INDEX('영상 근거'!$F$7:$F$166,MATCH($A42&amp;"-K",'영상 근거'!$A$7:$A$166,0))),"카카오 거리뷰")</x:f>
        <x:v>HYPERLINK is not implemented. linkLocation=https://map.kakao.com/?panoid=1203480726&amp;pan=323.5&amp;zoom=0&amp;map_type=TYPE_MAP&amp;map_attribute=ROADVIEW&amp;urlX=483167.0&amp;urlY=1082374.0, friendlyName=카카오 거리뷰</x:v>
      </x:c>
      <x:c r="AK42" s="105" t="e">
        <x:f>HYPERLINK("#'영상 근거'!A"&amp;(MATCH($A42&amp;"-N",'영상 근거'!$A$7:$A$166,0)+6),"두 영상 기록")</x:f>
        <x:v>HYPERLINK is not implemented. linkLocation=#'영상 근거'!A77, friendlyName=두 영상 기록</x:v>
      </x:c>
      <x:c r="AL42" s="106"/>
      <x:c r="AM42" s="106"/>
      <x:c r="AN42" s="67" t="str">
        <x:f>IF(COUNTIFS('영상 근거'!$B$7:$B$166,$A42,'영상 근거'!$H$7:$H$166,"pass")+COUNTIFS('영상 근거'!$B$7:$B$166,$A42,'영상 근거'!$H$7:$H$166,"block")+COUNTIFS('영상 근거'!$B$7:$B$166,$A42,'영상 근거'!$H$7:$H$166,"unknown")&lt;2,"미입력",IF(COUNTIFS('영상 근거'!$B$7:$B$166,$A42,'영상 근거'!$H$7:$H$166,"pass")=2,"pass 일치",IF(COUNTIFS('영상 근거'!$B$7:$B$166,$A42,'영상 근거'!$H$7:$H$166,"block")=2,"block 일치",IF(COUNTIFS('영상 근거'!$B$7:$B$166,$A42,'영상 근거'!$H$7:$H$166,"unknown")=2,"모두 unknown",IF(AND(COUNTIFS('영상 근거'!$B$7:$B$166,$A42,'영상 근거'!$H$7:$H$166,"pass")=1,COUNTIFS('영상 근거'!$B$7:$B$166,$A42,'영상 근거'!$H$7:$H$166,"block")=1),"불일치","한쪽 unknown")))))</x:f>
        <x:v>미입력</x:v>
      </x:c>
      <x:c r="AO42" s="67" t="str">
        <x:f>IF(COUNTIFS('영상 근거'!$B$7:$B$166,$A42,'영상 근거'!$K$7:$K$166,"pass")+COUNTIFS('영상 근거'!$B$7:$B$166,$A42,'영상 근거'!$K$7:$K$166,"block")+COUNTIFS('영상 근거'!$B$7:$B$166,$A42,'영상 근거'!$K$7:$K$166,"unknown")&lt;2,"미입력",IF(COUNTIFS('영상 근거'!$B$7:$B$166,$A42,'영상 근거'!$K$7:$K$166,"pass")=2,"pass 일치",IF(COUNTIFS('영상 근거'!$B$7:$B$166,$A42,'영상 근거'!$K$7:$K$166,"block")=2,"block 일치",IF(COUNTIFS('영상 근거'!$B$7:$B$166,$A42,'영상 근거'!$K$7:$K$166,"unknown")=2,"모두 unknown",IF(AND(COUNTIFS('영상 근거'!$B$7:$B$166,$A42,'영상 근거'!$K$7:$K$166,"pass")=1,COUNTIFS('영상 근거'!$B$7:$B$166,$A42,'영상 근거'!$K$7:$K$166,"block")=1),"불일치","한쪽 unknown")))))</x:f>
        <x:v>미입력</x:v>
      </x:c>
      <x:c r="AP42" s="106"/>
      <x:c r="AQ42" s="106"/>
      <x:c r="AR42" s="109" t="str">
        <x:v>가림·판독보류</x:v>
      </x:c>
      <x:c r="AS42" s="109" t="str">
        <x:v>가림·판독보류</x:v>
      </x:c>
      <x:c r="AT42" s="109" t="str">
        <x:v>보정 비대상</x:v>
      </x:c>
      <x:c r="AU42" s="162" t="str">
        <x:v>AI candidate</x:v>
      </x:c>
      <x:c r="AV42" s="162" t="str">
        <x:v>N</x:v>
      </x:c>
      <x:c r="AW42" s="206" t="str">
        <x:v>사람검수 대기</x:v>
      </x:c>
    </x:row>
    <x:row r="43" ht="34" customHeight="1">
      <x:c r="A43" s="28" t="str">
        <x:v>CW19-A</x:v>
      </x:c>
      <x:c r="B43" s="28" t="str">
        <x:v>CW19</x:v>
      </x:c>
      <x:c r="C43" s="28" t="str">
        <x:v>2024120083</x:v>
      </x:c>
      <x:c r="D43" s="28" t="str">
        <x:v>A</x:v>
      </x:c>
      <x:c r="E43" s="48" t="n">
        <x:v>37.39561913411808</x:v>
      </x:c>
      <x:c r="F43" s="48" t="n">
        <x:v>126.9239184646548</x:v>
      </x:c>
      <x:c r="G43" s="28" t="str">
        <x:v>unknown</x:v>
      </x:c>
      <x:c r="H43" s="28" t="str"/>
      <x:c r="I43" s="28" t="str"/>
      <x:c r="J43" s="28" t="str">
        <x:v>provisional_high</x:v>
      </x:c>
      <x:c r="K43" s="30" t="n">
        <x:v>0.55</x:v>
      </x:c>
      <x:c r="L43" s="28" t="str">
        <x:v>N</x:v>
      </x:c>
      <x:c r="M43" s="33" t="str">
        <x:f>IF(S43="","pending_1st_review",IF(L43="Y",IF(Z43="","pending_2nd_review",IF(S43=Z43,"reviewed_agree",IF(AB43="","needs_adjudication","adjudicated"))),"reviewed_once"))</x:f>
        <x:v>pending_1st_review</x:v>
      </x:c>
      <x:c r="N43" s="46" t="str"/>
      <x:c r="O43" s="53" t="str"/>
      <x:c r="P43" s="46" t="str"/>
      <x:c r="Q43" s="46" t="str"/>
      <x:c r="R43" s="46" t="str"/>
      <x:c r="S43" s="46" t="str"/>
      <x:c r="T43" s="46" t="str"/>
      <x:c r="U43" s="46" t="str"/>
      <x:c r="V43" s="53" t="str"/>
      <x:c r="W43" s="46" t="str"/>
      <x:c r="X43" s="46" t="str"/>
      <x:c r="Y43" s="46" t="str"/>
      <x:c r="Z43" s="46" t="str"/>
      <x:c r="AA43" s="46" t="str"/>
      <x:c r="AB43" s="46" t="str"/>
      <x:c r="AC43" s="46" t="str">
        <x:v>visibility_review_needed</x:v>
      </x:c>
      <x:c r="AD43" s="51" t="n">
        <x:v>0.52</x:v>
      </x:c>
      <x:c r="AE43" s="46" t="str"/>
      <x:c r="AF43" s="53" t="str">
        <x:v>2025-12-01 13:50:22</x:v>
      </x:c>
      <x:c r="AG43" s="28" t="str">
        <x:v>https://map.kakao.com/link/roadview/37.3956191,126.9239185</x:v>
      </x:c>
      <x:c r="AH43" s="28" t="str">
        <x:v>asset_level_inherited_not_endpoint_verified</x:v>
      </x:c>
      <x:c r="AI43" s="105" t="e">
        <x:f>HYPERLINK(IF(INDEX('영상 근거'!$F$7:$F$166,MATCH($A43&amp;"-N",'영상 근거'!$A$7:$A$166,0))=0,INDEX('영상 근거'!$Q$7:$Q$166,MATCH($A43&amp;"-N",'영상 근거'!$A$7:$A$166,0)),INDEX('영상 근거'!$F$7:$F$166,MATCH($A43&amp;"-N",'영상 근거'!$A$7:$A$166,0))),IF(INDEX('영상 근거'!$F$7:$F$166,MATCH($A43&amp;"-N",'영상 근거'!$A$7:$A$166,0))=0,"네이버 위치","네이버 거리뷰"))</x:f>
        <x:v>HYPERLINK is not implemented. linkLocation=https://map.naver.com/p/entry/coordinates/3zfosh,2AESrZ?c=15.00,0,0,0,dh, friendlyName=네이버 위치</x:v>
      </x:c>
      <x:c r="AJ43" s="105" t="e">
        <x:f>HYPERLINK(IF(INDEX('영상 근거'!$F$7:$F$166,MATCH($A43&amp;"-K",'영상 근거'!$A$7:$A$166,0))=0,INDEX('영상 근거'!$Q$7:$Q$166,MATCH($A43&amp;"-K",'영상 근거'!$A$7:$A$166,0)),INDEX('영상 근거'!$F$7:$F$166,MATCH($A43&amp;"-K",'영상 근거'!$A$7:$A$166,0))),"카카오 거리뷰")</x:f>
        <x:v>HYPERLINK is not implemented. linkLocation=https://map.kakao.com/?panoid=1203478741&amp;pan=147.6&amp;zoom=0&amp;map_type=TYPE_MAP&amp;map_attribute=ROADVIEW&amp;urlX=483169.0&amp;urlY=1082312.0, friendlyName=카카오 거리뷰</x:v>
      </x:c>
      <x:c r="AK43" s="105" t="e">
        <x:f>HYPERLINK("#'영상 근거'!A"&amp;(MATCH($A43&amp;"-N",'영상 근거'!$A$7:$A$166,0)+6),"두 영상 기록")</x:f>
        <x:v>HYPERLINK is not implemented. linkLocation=#'영상 근거'!A79, friendlyName=두 영상 기록</x:v>
      </x:c>
      <x:c r="AL43" s="106"/>
      <x:c r="AM43" s="106"/>
      <x:c r="AN43" s="67" t="str">
        <x:f>IF(COUNTIFS('영상 근거'!$B$7:$B$166,$A43,'영상 근거'!$H$7:$H$166,"pass")+COUNTIFS('영상 근거'!$B$7:$B$166,$A43,'영상 근거'!$H$7:$H$166,"block")+COUNTIFS('영상 근거'!$B$7:$B$166,$A43,'영상 근거'!$H$7:$H$166,"unknown")&lt;2,"미입력",IF(COUNTIFS('영상 근거'!$B$7:$B$166,$A43,'영상 근거'!$H$7:$H$166,"pass")=2,"pass 일치",IF(COUNTIFS('영상 근거'!$B$7:$B$166,$A43,'영상 근거'!$H$7:$H$166,"block")=2,"block 일치",IF(COUNTIFS('영상 근거'!$B$7:$B$166,$A43,'영상 근거'!$H$7:$H$166,"unknown")=2,"모두 unknown",IF(AND(COUNTIFS('영상 근거'!$B$7:$B$166,$A43,'영상 근거'!$H$7:$H$166,"pass")=1,COUNTIFS('영상 근거'!$B$7:$B$166,$A43,'영상 근거'!$H$7:$H$166,"block")=1),"불일치","한쪽 unknown")))))</x:f>
        <x:v>미입력</x:v>
      </x:c>
      <x:c r="AO43" s="67" t="str">
        <x:f>IF(COUNTIFS('영상 근거'!$B$7:$B$166,$A43,'영상 근거'!$K$7:$K$166,"pass")+COUNTIFS('영상 근거'!$B$7:$B$166,$A43,'영상 근거'!$K$7:$K$166,"block")+COUNTIFS('영상 근거'!$B$7:$B$166,$A43,'영상 근거'!$K$7:$K$166,"unknown")&lt;2,"미입력",IF(COUNTIFS('영상 근거'!$B$7:$B$166,$A43,'영상 근거'!$K$7:$K$166,"pass")=2,"pass 일치",IF(COUNTIFS('영상 근거'!$B$7:$B$166,$A43,'영상 근거'!$K$7:$K$166,"block")=2,"block 일치",IF(COUNTIFS('영상 근거'!$B$7:$B$166,$A43,'영상 근거'!$K$7:$K$166,"unknown")=2,"모두 unknown",IF(AND(COUNTIFS('영상 근거'!$B$7:$B$166,$A43,'영상 근거'!$K$7:$K$166,"pass")=1,COUNTIFS('영상 근거'!$B$7:$B$166,$A43,'영상 근거'!$K$7:$K$166,"block")=1),"불일치","한쪽 unknown")))))</x:f>
        <x:v>미입력</x:v>
      </x:c>
      <x:c r="AP43" s="106"/>
      <x:c r="AQ43" s="106"/>
      <x:c r="AR43" s="109" t="str">
        <x:v>시야 부족·판독보류</x:v>
      </x:c>
      <x:c r="AS43" s="109" t="str">
        <x:v>시야 부족·판독보류</x:v>
      </x:c>
      <x:c r="AT43" s="109" t="str">
        <x:v>보정 비대상</x:v>
      </x:c>
      <x:c r="AU43" s="162" t="str">
        <x:v>AI candidate</x:v>
      </x:c>
      <x:c r="AV43" s="162" t="str">
        <x:v>N</x:v>
      </x:c>
      <x:c r="AW43" s="206" t="str">
        <x:v>사람검수 대기</x:v>
      </x:c>
    </x:row>
    <x:row r="44" ht="34" customHeight="1">
      <x:c r="A44" s="28" t="str">
        <x:v>CW19-B</x:v>
      </x:c>
      <x:c r="B44" s="28" t="str">
        <x:v>CW19</x:v>
      </x:c>
      <x:c r="C44" s="28" t="str">
        <x:v>2024120083</x:v>
      </x:c>
      <x:c r="D44" s="28" t="str">
        <x:v>B</x:v>
      </x:c>
      <x:c r="E44" s="48" t="n">
        <x:v>37.39573534588192</x:v>
      </x:c>
      <x:c r="F44" s="48" t="n">
        <x:v>126.92413853534521</x:v>
      </x:c>
      <x:c r="G44" s="28" t="str">
        <x:v>unknown</x:v>
      </x:c>
      <x:c r="H44" s="28" t="str"/>
      <x:c r="I44" s="28" t="str"/>
      <x:c r="J44" s="28" t="str">
        <x:v>provisional_high</x:v>
      </x:c>
      <x:c r="K44" s="30" t="n">
        <x:v>0.55</x:v>
      </x:c>
      <x:c r="L44" s="28" t="str">
        <x:v>N</x:v>
      </x:c>
      <x:c r="M44" s="33" t="str">
        <x:f>IF(S44="","pending_1st_review",IF(L44="Y",IF(Z44="","pending_2nd_review",IF(S44=Z44,"reviewed_agree",IF(AB44="","needs_adjudication","adjudicated"))),"reviewed_once"))</x:f>
        <x:v>pending_1st_review</x:v>
      </x:c>
      <x:c r="N44" s="46" t="str"/>
      <x:c r="O44" s="53" t="str"/>
      <x:c r="P44" s="46" t="str"/>
      <x:c r="Q44" s="46" t="str"/>
      <x:c r="R44" s="46" t="str"/>
      <x:c r="S44" s="46" t="str"/>
      <x:c r="T44" s="46" t="str"/>
      <x:c r="U44" s="46" t="str"/>
      <x:c r="V44" s="53" t="str"/>
      <x:c r="W44" s="46" t="str"/>
      <x:c r="X44" s="46" t="str"/>
      <x:c r="Y44" s="46" t="str"/>
      <x:c r="Z44" s="46" t="str"/>
      <x:c r="AA44" s="46" t="str"/>
      <x:c r="AB44" s="46" t="str"/>
      <x:c r="AC44" s="46" t="str">
        <x:v>likely_accessible_candidate</x:v>
      </x:c>
      <x:c r="AD44" s="51" t="n">
        <x:v>0.82</x:v>
      </x:c>
      <x:c r="AE44" s="46" t="str"/>
      <x:c r="AF44" s="53" t="str">
        <x:v>2025-12-01 14:08:44</x:v>
      </x:c>
      <x:c r="AG44" s="28" t="str">
        <x:v>https://map.kakao.com/link/roadview/37.3957353,126.9241385</x:v>
      </x:c>
      <x:c r="AH44" s="28" t="str">
        <x:v>asset_level_inherited_not_endpoint_verified</x:v>
      </x:c>
      <x:c r="AI44" s="105" t="e">
        <x:f>HYPERLINK(IF(INDEX('영상 근거'!$F$7:$F$166,MATCH($A44&amp;"-N",'영상 근거'!$A$7:$A$166,0))=0,INDEX('영상 근거'!$Q$7:$Q$166,MATCH($A44&amp;"-N",'영상 근거'!$A$7:$A$166,0)),INDEX('영상 근거'!$F$7:$F$166,MATCH($A44&amp;"-N",'영상 근거'!$A$7:$A$166,0))),IF(INDEX('영상 근거'!$F$7:$F$166,MATCH($A44&amp;"-N",'영상 근거'!$A$7:$A$166,0))=0,"네이버 위치","네이버 거리뷰"))</x:f>
        <x:v>HYPERLINK is not implemented. linkLocation=https://map.naver.com/p/entry/coordinates/3zfp1L,2AESKJ?c=15.00,0,0,0,dh, friendlyName=네이버 위치</x:v>
      </x:c>
      <x:c r="AJ44" s="105" t="e">
        <x:f>HYPERLINK(IF(INDEX('영상 근거'!$F$7:$F$166,MATCH($A44&amp;"-K",'영상 근거'!$A$7:$A$166,0))=0,INDEX('영상 근거'!$Q$7:$Q$166,MATCH($A44&amp;"-K",'영상 근거'!$A$7:$A$166,0)),INDEX('영상 근거'!$F$7:$F$166,MATCH($A44&amp;"-K",'영상 근거'!$A$7:$A$166,0))),"카카오 거리뷰")</x:f>
        <x:v>HYPERLINK is not implemented. linkLocation=https://map.kakao.com/?panoid=1203480720&amp;pan=326.7&amp;zoom=0&amp;map_type=TYPE_MAP&amp;map_attribute=ROADVIEW&amp;urlX=483195.0&amp;urlY=1082333.0, friendlyName=카카오 거리뷰</x:v>
      </x:c>
      <x:c r="AK44" s="105" t="e">
        <x:f>HYPERLINK("#'영상 근거'!A"&amp;(MATCH($A44&amp;"-N",'영상 근거'!$A$7:$A$166,0)+6),"두 영상 기록")</x:f>
        <x:v>HYPERLINK is not implemented. linkLocation=#'영상 근거'!A81, friendlyName=두 영상 기록</x:v>
      </x:c>
      <x:c r="AL44" s="106"/>
      <x:c r="AM44" s="106"/>
      <x:c r="AN44" s="67" t="str">
        <x:f>IF(COUNTIFS('영상 근거'!$B$7:$B$166,$A44,'영상 근거'!$H$7:$H$166,"pass")+COUNTIFS('영상 근거'!$B$7:$B$166,$A44,'영상 근거'!$H$7:$H$166,"block")+COUNTIFS('영상 근거'!$B$7:$B$166,$A44,'영상 근거'!$H$7:$H$166,"unknown")&lt;2,"미입력",IF(COUNTIFS('영상 근거'!$B$7:$B$166,$A44,'영상 근거'!$H$7:$H$166,"pass")=2,"pass 일치",IF(COUNTIFS('영상 근거'!$B$7:$B$166,$A44,'영상 근거'!$H$7:$H$166,"block")=2,"block 일치",IF(COUNTIFS('영상 근거'!$B$7:$B$166,$A44,'영상 근거'!$H$7:$H$166,"unknown")=2,"모두 unknown",IF(AND(COUNTIFS('영상 근거'!$B$7:$B$166,$A44,'영상 근거'!$H$7:$H$166,"pass")=1,COUNTIFS('영상 근거'!$B$7:$B$166,$A44,'영상 근거'!$H$7:$H$166,"block")=1),"불일치","한쪽 unknown")))))</x:f>
        <x:v>미입력</x:v>
      </x:c>
      <x:c r="AO44" s="67" t="str">
        <x:f>IF(COUNTIFS('영상 근거'!$B$7:$B$166,$A44,'영상 근거'!$K$7:$K$166,"pass")+COUNTIFS('영상 근거'!$B$7:$B$166,$A44,'영상 근거'!$K$7:$K$166,"block")+COUNTIFS('영상 근거'!$B$7:$B$166,$A44,'영상 근거'!$K$7:$K$166,"unknown")&lt;2,"미입력",IF(COUNTIFS('영상 근거'!$B$7:$B$166,$A44,'영상 근거'!$K$7:$K$166,"pass")=2,"pass 일치",IF(COUNTIFS('영상 근거'!$B$7:$B$166,$A44,'영상 근거'!$K$7:$K$166,"block")=2,"block 일치",IF(COUNTIFS('영상 근거'!$B$7:$B$166,$A44,'영상 근거'!$K$7:$K$166,"unknown")=2,"모두 unknown",IF(AND(COUNTIFS('영상 근거'!$B$7:$B$166,$A44,'영상 근거'!$K$7:$K$166,"pass")=1,COUNTIFS('영상 근거'!$B$7:$B$166,$A44,'영상 근거'!$K$7:$K$166,"block")=1),"불일치","한쪽 unknown")))))</x:f>
        <x:v>미입력</x:v>
      </x:c>
      <x:c r="AP44" s="106"/>
      <x:c r="AQ44" s="106"/>
      <x:c r="AR44" s="109" t="str">
        <x:v>통과 가능 후보</x:v>
      </x:c>
      <x:c r="AS44" s="109" t="str">
        <x:v>안내시설 양호 후보</x:v>
      </x:c>
      <x:c r="AT44" s="109" t="str">
        <x:v>보정 비대상</x:v>
      </x:c>
      <x:c r="AU44" s="162" t="str">
        <x:v>AI candidate</x:v>
      </x:c>
      <x:c r="AV44" s="162" t="str">
        <x:v>N</x:v>
      </x:c>
      <x:c r="AW44" s="206" t="str">
        <x:v>사람검수 대기</x:v>
      </x:c>
    </x:row>
    <x:row r="45" ht="34" customHeight="1">
      <x:c r="A45" s="28" t="str">
        <x:v>CW20-A</x:v>
      </x:c>
      <x:c r="B45" s="28" t="str">
        <x:v>CW20</x:v>
      </x:c>
      <x:c r="C45" s="28" t="str">
        <x:v>2024120362</x:v>
      </x:c>
      <x:c r="D45" s="28" t="str">
        <x:v>A</x:v>
      </x:c>
      <x:c r="E45" s="48" t="n">
        <x:v>37.39434797316774</x:v>
      </x:c>
      <x:c r="F45" s="48" t="n">
        <x:v>126.92501464784056</x:v>
      </x:c>
      <x:c r="G45" s="28" t="str">
        <x:v>unknown</x:v>
      </x:c>
      <x:c r="H45" s="28" t="str"/>
      <x:c r="I45" s="28" t="str"/>
      <x:c r="J45" s="28" t="str">
        <x:v>provisional_high</x:v>
      </x:c>
      <x:c r="K45" s="30" t="n">
        <x:v>2.18</x:v>
      </x:c>
      <x:c r="L45" s="28" t="str">
        <x:v>Y</x:v>
      </x:c>
      <x:c r="M45" s="33" t="str">
        <x:f>IF(S45="","pending_1st_review",IF(L45="Y",IF(Z45="","pending_2nd_review",IF(S45=Z45,"reviewed_agree",IF(AB45="","needs_adjudication","adjudicated"))),"reviewed_once"))</x:f>
        <x:v>pending_1st_review</x:v>
      </x:c>
      <x:c r="N45" s="46" t="str"/>
      <x:c r="O45" s="53" t="str"/>
      <x:c r="P45" s="46" t="str"/>
      <x:c r="Q45" s="46" t="str"/>
      <x:c r="R45" s="46" t="str"/>
      <x:c r="S45" s="46" t="str"/>
      <x:c r="T45" s="46" t="str"/>
      <x:c r="U45" s="46" t="str"/>
      <x:c r="V45" s="53" t="str"/>
      <x:c r="W45" s="46" t="str"/>
      <x:c r="X45" s="46" t="str"/>
      <x:c r="Y45" s="46" t="str"/>
      <x:c r="Z45" s="46" t="str"/>
      <x:c r="AA45" s="46" t="str"/>
      <x:c r="AB45" s="46" t="str"/>
      <x:c r="AC45" s="46" t="str">
        <x:v>geometry_mismatch_candidate</x:v>
      </x:c>
      <x:c r="AD45" s="51" t="n">
        <x:v>0.58</x:v>
      </x:c>
      <x:c r="AE45" s="46" t="str"/>
      <x:c r="AF45" s="53" t="str">
        <x:v>2025-12-01 13:50:35</x:v>
      </x:c>
      <x:c r="AG45" s="28" t="str">
        <x:v>https://map.kakao.com/link/roadview/37.3943480,126.9250146</x:v>
      </x:c>
      <x:c r="AH45" s="28" t="str">
        <x:v>asset_level_inherited_not_endpoint_verified</x:v>
      </x:c>
      <x:c r="AI45" s="105" t="e">
        <x:f>HYPERLINK(IF(INDEX('영상 근거'!$F$7:$F$166,MATCH($A45&amp;"-N",'영상 근거'!$A$7:$A$166,0))=0,INDEX('영상 근거'!$Q$7:$Q$166,MATCH($A45&amp;"-N",'영상 근거'!$A$7:$A$166,0)),INDEX('영상 근거'!$F$7:$F$166,MATCH($A45&amp;"-N",'영상 근거'!$A$7:$A$166,0))),IF(INDEX('영상 근거'!$F$7:$F$166,MATCH($A45&amp;"-N",'영상 근거'!$A$7:$A$166,0))=0,"네이버 위치","네이버 거리뷰"))</x:f>
        <x:v>HYPERLINK is not implemented. linkLocation=https://map.naver.com/p/entry/coordinates/3zfrj4,2AEP8Y?c=15.00,0,0,0,dh, friendlyName=네이버 위치</x:v>
      </x:c>
      <x:c r="AJ45" s="105" t="e">
        <x:f>HYPERLINK(IF(INDEX('영상 근거'!$F$7:$F$166,MATCH($A45&amp;"-K",'영상 근거'!$A$7:$A$166,0))=0,INDEX('영상 근거'!$Q$7:$Q$166,MATCH($A45&amp;"-K",'영상 근거'!$A$7:$A$166,0)),INDEX('영상 근거'!$F$7:$F$166,MATCH($A45&amp;"-K",'영상 근거'!$A$7:$A$166,0))),"카카오 거리뷰")</x:f>
        <x:v>HYPERLINK is not implemented. linkLocation=https://map.kakao.com/?panoid=1203478791&amp;pan=146.9&amp;zoom=0&amp;map_type=TYPE_MAP&amp;map_attribute=ROADVIEW&amp;urlX=483404.0&amp;urlY=1081956.0, friendlyName=카카오 거리뷰</x:v>
      </x:c>
      <x:c r="AK45" s="105" t="e">
        <x:f>HYPERLINK("#'영상 근거'!A"&amp;(MATCH($A45&amp;"-N",'영상 근거'!$A$7:$A$166,0)+6),"두 영상 기록")</x:f>
        <x:v>HYPERLINK is not implemented. linkLocation=#'영상 근거'!A83, friendlyName=두 영상 기록</x:v>
      </x:c>
      <x:c r="AL45" s="106"/>
      <x:c r="AM45" s="106"/>
      <x:c r="AN45" s="67" t="str">
        <x:f>IF(COUNTIFS('영상 근거'!$B$7:$B$166,$A45,'영상 근거'!$H$7:$H$166,"pass")+COUNTIFS('영상 근거'!$B$7:$B$166,$A45,'영상 근거'!$H$7:$H$166,"block")+COUNTIFS('영상 근거'!$B$7:$B$166,$A45,'영상 근거'!$H$7:$H$166,"unknown")&lt;2,"미입력",IF(COUNTIFS('영상 근거'!$B$7:$B$166,$A45,'영상 근거'!$H$7:$H$166,"pass")=2,"pass 일치",IF(COUNTIFS('영상 근거'!$B$7:$B$166,$A45,'영상 근거'!$H$7:$H$166,"block")=2,"block 일치",IF(COUNTIFS('영상 근거'!$B$7:$B$166,$A45,'영상 근거'!$H$7:$H$166,"unknown")=2,"모두 unknown",IF(AND(COUNTIFS('영상 근거'!$B$7:$B$166,$A45,'영상 근거'!$H$7:$H$166,"pass")=1,COUNTIFS('영상 근거'!$B$7:$B$166,$A45,'영상 근거'!$H$7:$H$166,"block")=1),"불일치","한쪽 unknown")))))</x:f>
        <x:v>미입력</x:v>
      </x:c>
      <x:c r="AO45" s="67" t="str">
        <x:f>IF(COUNTIFS('영상 근거'!$B$7:$B$166,$A45,'영상 근거'!$K$7:$K$166,"pass")+COUNTIFS('영상 근거'!$B$7:$B$166,$A45,'영상 근거'!$K$7:$K$166,"block")+COUNTIFS('영상 근거'!$B$7:$B$166,$A45,'영상 근거'!$K$7:$K$166,"unknown")&lt;2,"미입력",IF(COUNTIFS('영상 근거'!$B$7:$B$166,$A45,'영상 근거'!$K$7:$K$166,"pass")=2,"pass 일치",IF(COUNTIFS('영상 근거'!$B$7:$B$166,$A45,'영상 근거'!$K$7:$K$166,"block")=2,"block 일치",IF(COUNTIFS('영상 근거'!$B$7:$B$166,$A45,'영상 근거'!$K$7:$K$166,"unknown")=2,"모두 unknown",IF(AND(COUNTIFS('영상 근거'!$B$7:$B$166,$A45,'영상 근거'!$K$7:$K$166,"pass")=1,COUNTIFS('영상 근거'!$B$7:$B$166,$A45,'영상 근거'!$K$7:$K$166,"block")=1),"불일치","한쪽 unknown")))))</x:f>
        <x:v>미입력</x:v>
      </x:c>
      <x:c r="AP45" s="106"/>
      <x:c r="AQ45" s="106"/>
      <x:c r="AR45" s="109" t="str">
        <x:v>위치 불일치·판독보류</x:v>
      </x:c>
      <x:c r="AS45" s="109" t="str">
        <x:v>위치 불일치·판독보류</x:v>
      </x:c>
      <x:c r="AT45" s="109" t="str">
        <x:v>보정 필요</x:v>
      </x:c>
      <x:c r="AU45" s="162" t="str">
        <x:v>AI candidate</x:v>
      </x:c>
      <x:c r="AV45" s="162" t="str">
        <x:v>N</x:v>
      </x:c>
      <x:c r="AW45" s="206" t="str">
        <x:v>사람검수 대기</x:v>
      </x:c>
    </x:row>
    <x:row r="46" ht="34" customHeight="1">
      <x:c r="A46" s="28" t="str">
        <x:v>CW20-B</x:v>
      </x:c>
      <x:c r="B46" s="28" t="str">
        <x:v>CW20</x:v>
      </x:c>
      <x:c r="C46" s="28" t="str">
        <x:v>2024120362</x:v>
      </x:c>
      <x:c r="D46" s="28" t="str">
        <x:v>B</x:v>
      </x:c>
      <x:c r="E46" s="48" t="n">
        <x:v>37.39446220683226</x:v>
      </x:c>
      <x:c r="F46" s="48" t="n">
        <x:v>126.92522835215944</x:v>
      </x:c>
      <x:c r="G46" s="28" t="str">
        <x:v>unknown</x:v>
      </x:c>
      <x:c r="H46" s="28" t="str"/>
      <x:c r="I46" s="28" t="str"/>
      <x:c r="J46" s="28" t="str">
        <x:v>provisional_high</x:v>
      </x:c>
      <x:c r="K46" s="30" t="n">
        <x:v>2.18</x:v>
      </x:c>
      <x:c r="L46" s="28" t="str">
        <x:v>Y</x:v>
      </x:c>
      <x:c r="M46" s="33" t="str">
        <x:f>IF(S46="","pending_1st_review",IF(L46="Y",IF(Z46="","pending_2nd_review",IF(S46=Z46,"reviewed_agree",IF(AB46="","needs_adjudication","adjudicated"))),"reviewed_once"))</x:f>
        <x:v>pending_1st_review</x:v>
      </x:c>
      <x:c r="N46" s="46" t="str"/>
      <x:c r="O46" s="53" t="str"/>
      <x:c r="P46" s="46" t="str"/>
      <x:c r="Q46" s="46" t="str"/>
      <x:c r="R46" s="46" t="str"/>
      <x:c r="S46" s="46" t="str"/>
      <x:c r="T46" s="46" t="str"/>
      <x:c r="U46" s="46" t="str"/>
      <x:c r="V46" s="53" t="str"/>
      <x:c r="W46" s="46" t="str"/>
      <x:c r="X46" s="46" t="str"/>
      <x:c r="Y46" s="46" t="str"/>
      <x:c r="Z46" s="46" t="str"/>
      <x:c r="AA46" s="46" t="str"/>
      <x:c r="AB46" s="46" t="str"/>
      <x:c r="AC46" s="46" t="str">
        <x:v>geometry_mismatch_candidate</x:v>
      </x:c>
      <x:c r="AD46" s="51" t="n">
        <x:v>0.58</x:v>
      </x:c>
      <x:c r="AE46" s="46" t="str"/>
      <x:c r="AF46" s="53" t="str">
        <x:v>2025-12-01 14:08:27</x:v>
      </x:c>
      <x:c r="AG46" s="28" t="str">
        <x:v>https://map.kakao.com/link/roadview/37.3944622,126.9252284</x:v>
      </x:c>
      <x:c r="AH46" s="28" t="str">
        <x:v>asset_level_inherited_not_endpoint_verified</x:v>
      </x:c>
      <x:c r="AI46" s="105" t="e">
        <x:f>HYPERLINK(IF(INDEX('영상 근거'!$F$7:$F$166,MATCH($A46&amp;"-N",'영상 근거'!$A$7:$A$166,0))=0,INDEX('영상 근거'!$Q$7:$Q$166,MATCH($A46&amp;"-N",'영상 근거'!$A$7:$A$166,0)),INDEX('영상 근거'!$F$7:$F$166,MATCH($A46&amp;"-N",'영상 근거'!$A$7:$A$166,0))),IF(INDEX('영상 근거'!$F$7:$F$166,MATCH($A46&amp;"-N",'영상 근거'!$A$7:$A$166,0))=0,"네이버 위치","네이버 거리뷰"))</x:f>
        <x:v>HYPERLINK is not implemented. linkLocation=https://map.naver.com/p/entry/coordinates/3zfrRy,2AEPro?c=15.00,0,0,0,dh, friendlyName=네이버 위치</x:v>
      </x:c>
      <x:c r="AJ46" s="105" t="e">
        <x:f>HYPERLINK(IF(INDEX('영상 근거'!$F$7:$F$166,MATCH($A46&amp;"-K",'영상 근거'!$A$7:$A$166,0))=0,INDEX('영상 근거'!$Q$7:$Q$166,MATCH($A46&amp;"-K",'영상 근거'!$A$7:$A$166,0)),INDEX('영상 근거'!$F$7:$F$166,MATCH($A46&amp;"-K",'영상 근거'!$A$7:$A$166,0))),"카카오 거리뷰")</x:f>
        <x:v>HYPERLINK is not implemented. linkLocation=https://map.kakao.com/?panoid=1203480668&amp;pan=326.1&amp;zoom=0&amp;map_type=TYPE_MAP&amp;map_attribute=ROADVIEW&amp;urlX=483430.0&amp;urlY=1081979.0, friendlyName=카카오 거리뷰</x:v>
      </x:c>
      <x:c r="AK46" s="105" t="e">
        <x:f>HYPERLINK("#'영상 근거'!A"&amp;(MATCH($A46&amp;"-N",'영상 근거'!$A$7:$A$166,0)+6),"두 영상 기록")</x:f>
        <x:v>HYPERLINK is not implemented. linkLocation=#'영상 근거'!A85, friendlyName=두 영상 기록</x:v>
      </x:c>
      <x:c r="AL46" s="106"/>
      <x:c r="AM46" s="106"/>
      <x:c r="AN46" s="67" t="str">
        <x:f>IF(COUNTIFS('영상 근거'!$B$7:$B$166,$A46,'영상 근거'!$H$7:$H$166,"pass")+COUNTIFS('영상 근거'!$B$7:$B$166,$A46,'영상 근거'!$H$7:$H$166,"block")+COUNTIFS('영상 근거'!$B$7:$B$166,$A46,'영상 근거'!$H$7:$H$166,"unknown")&lt;2,"미입력",IF(COUNTIFS('영상 근거'!$B$7:$B$166,$A46,'영상 근거'!$H$7:$H$166,"pass")=2,"pass 일치",IF(COUNTIFS('영상 근거'!$B$7:$B$166,$A46,'영상 근거'!$H$7:$H$166,"block")=2,"block 일치",IF(COUNTIFS('영상 근거'!$B$7:$B$166,$A46,'영상 근거'!$H$7:$H$166,"unknown")=2,"모두 unknown",IF(AND(COUNTIFS('영상 근거'!$B$7:$B$166,$A46,'영상 근거'!$H$7:$H$166,"pass")=1,COUNTIFS('영상 근거'!$B$7:$B$166,$A46,'영상 근거'!$H$7:$H$166,"block")=1),"불일치","한쪽 unknown")))))</x:f>
        <x:v>미입력</x:v>
      </x:c>
      <x:c r="AO46" s="67" t="str">
        <x:f>IF(COUNTIFS('영상 근거'!$B$7:$B$166,$A46,'영상 근거'!$K$7:$K$166,"pass")+COUNTIFS('영상 근거'!$B$7:$B$166,$A46,'영상 근거'!$K$7:$K$166,"block")+COUNTIFS('영상 근거'!$B$7:$B$166,$A46,'영상 근거'!$K$7:$K$166,"unknown")&lt;2,"미입력",IF(COUNTIFS('영상 근거'!$B$7:$B$166,$A46,'영상 근거'!$K$7:$K$166,"pass")=2,"pass 일치",IF(COUNTIFS('영상 근거'!$B$7:$B$166,$A46,'영상 근거'!$K$7:$K$166,"block")=2,"block 일치",IF(COUNTIFS('영상 근거'!$B$7:$B$166,$A46,'영상 근거'!$K$7:$K$166,"unknown")=2,"모두 unknown",IF(AND(COUNTIFS('영상 근거'!$B$7:$B$166,$A46,'영상 근거'!$K$7:$K$166,"pass")=1,COUNTIFS('영상 근거'!$B$7:$B$166,$A46,'영상 근거'!$K$7:$K$166,"block")=1),"불일치","한쪽 unknown")))))</x:f>
        <x:v>미입력</x:v>
      </x:c>
      <x:c r="AP46" s="106"/>
      <x:c r="AQ46" s="106"/>
      <x:c r="AR46" s="109" t="str">
        <x:v>위치 불일치·판독보류</x:v>
      </x:c>
      <x:c r="AS46" s="109" t="str">
        <x:v>위치 불일치·판독보류</x:v>
      </x:c>
      <x:c r="AT46" s="109" t="str">
        <x:v>보정 필요</x:v>
      </x:c>
      <x:c r="AU46" s="162" t="str">
        <x:v>AI candidate</x:v>
      </x:c>
      <x:c r="AV46" s="162" t="str">
        <x:v>N</x:v>
      </x:c>
      <x:c r="AW46" s="206" t="str">
        <x:v>사람검수 대기</x:v>
      </x:c>
    </x:row>
    <x:row r="47" ht="34" customHeight="1">
      <x:c r="A47" s="28" t="str">
        <x:v>CW21-A</x:v>
      </x:c>
      <x:c r="B47" s="28" t="str">
        <x:v>CW21</x:v>
      </x:c>
      <x:c r="C47" s="28" t="str">
        <x:v>2025085034</x:v>
      </x:c>
      <x:c r="D47" s="28" t="str">
        <x:v>A</x:v>
      </x:c>
      <x:c r="E47" s="48" t="n">
        <x:v>37.39303756607922</x:v>
      </x:c>
      <x:c r="F47" s="48" t="n">
        <x:v>126.92322375721096</x:v>
      </x:c>
      <x:c r="G47" s="28" t="str">
        <x:v>public_explicit_present</x:v>
      </x:c>
      <x:c r="H47" s="28" t="str">
        <x:v>있음</x:v>
      </x:c>
      <x:c r="I47" s="28" t="str">
        <x:v>있음</x:v>
      </x:c>
      <x:c r="J47" s="28" t="str">
        <x:v>provisional_high</x:v>
      </x:c>
      <x:c r="K47" s="30" t="n">
        <x:v>0.34</x:v>
      </x:c>
      <x:c r="L47" s="28" t="str">
        <x:v>Y</x:v>
      </x:c>
      <x:c r="M47" s="33" t="str">
        <x:f>IF(S47="","pending_1st_review",IF(L47="Y",IF(Z47="","pending_2nd_review",IF(S47=Z47,"reviewed_agree",IF(AB47="","needs_adjudication","adjudicated"))),"reviewed_once"))</x:f>
        <x:v>pending_1st_review</x:v>
      </x:c>
      <x:c r="N47" s="46" t="str"/>
      <x:c r="O47" s="53" t="str"/>
      <x:c r="P47" s="46" t="str"/>
      <x:c r="Q47" s="46" t="str"/>
      <x:c r="R47" s="46" t="str"/>
      <x:c r="S47" s="46" t="str"/>
      <x:c r="T47" s="46" t="str"/>
      <x:c r="U47" s="46" t="str"/>
      <x:c r="V47" s="53" t="str"/>
      <x:c r="W47" s="46" t="str"/>
      <x:c r="X47" s="46" t="str"/>
      <x:c r="Y47" s="46" t="str"/>
      <x:c r="Z47" s="46" t="str"/>
      <x:c r="AA47" s="46" t="str"/>
      <x:c r="AB47" s="46" t="str"/>
      <x:c r="AC47" s="46" t="str">
        <x:v>likely_accessible_candidate</x:v>
      </x:c>
      <x:c r="AD47" s="51" t="n">
        <x:v>0.82</x:v>
      </x:c>
      <x:c r="AE47" s="46" t="str"/>
      <x:c r="AF47" s="53" t="str">
        <x:v>2025-11-18 11:18:33</x:v>
      </x:c>
      <x:c r="AG47" s="28" t="str">
        <x:v>https://map.kakao.com/link/roadview/37.3930376,126.9232238</x:v>
      </x:c>
      <x:c r="AH47" s="28" t="str">
        <x:v>asset_level_inherited_not_endpoint_verified</x:v>
      </x:c>
      <x:c r="AI47" s="105" t="e">
        <x:f>HYPERLINK(IF(INDEX('영상 근거'!$F$7:$F$166,MATCH($A47&amp;"-N",'영상 근거'!$A$7:$A$166,0))=0,INDEX('영상 근거'!$Q$7:$Q$166,MATCH($A47&amp;"-N",'영상 근거'!$A$7:$A$166,0)),INDEX('영상 근거'!$F$7:$F$166,MATCH($A47&amp;"-N",'영상 근거'!$A$7:$A$166,0))),IF(INDEX('영상 근거'!$F$7:$F$166,MATCH($A47&amp;"-N",'영상 근거'!$A$7:$A$166,0))=0,"네이버 위치","네이버 거리뷰"))</x:f>
        <x:v>HYPERLINK is not implemented. linkLocation=https://map.naver.com/p/entry/coordinates/3zfmEe,2AELJC?c=15.00,0,0,0,dh, friendlyName=네이버 위치</x:v>
      </x:c>
      <x:c r="AJ47" s="105" t="e">
        <x:f>HYPERLINK(IF(INDEX('영상 근거'!$F$7:$F$166,MATCH($A47&amp;"-K",'영상 근거'!$A$7:$A$166,0))=0,INDEX('영상 근거'!$Q$7:$Q$166,MATCH($A47&amp;"-K",'영상 근거'!$A$7:$A$166,0)),INDEX('영상 근거'!$F$7:$F$166,MATCH($A47&amp;"-K",'영상 근거'!$A$7:$A$166,0))),"카카오 거리뷰")</x:f>
        <x:v>HYPERLINK is not implemented. linkLocation=https://map.kakao.com/?panoid=1202871152&amp;pan=233.4&amp;zoom=0&amp;map_type=TYPE_MAP&amp;map_attribute=ROADVIEW&amp;urlX=483004.0&amp;urlY=1081607.0, friendlyName=카카오 거리뷰</x:v>
      </x:c>
      <x:c r="AK47" s="105" t="e">
        <x:f>HYPERLINK("#'영상 근거'!A"&amp;(MATCH($A47&amp;"-N",'영상 근거'!$A$7:$A$166,0)+6),"두 영상 기록")</x:f>
        <x:v>HYPERLINK is not implemented. linkLocation=#'영상 근거'!A87, friendlyName=두 영상 기록</x:v>
      </x:c>
      <x:c r="AL47" s="106"/>
      <x:c r="AM47" s="106"/>
      <x:c r="AN47" s="67" t="str">
        <x:f>IF(COUNTIFS('영상 근거'!$B$7:$B$166,$A47,'영상 근거'!$H$7:$H$166,"pass")+COUNTIFS('영상 근거'!$B$7:$B$166,$A47,'영상 근거'!$H$7:$H$166,"block")+COUNTIFS('영상 근거'!$B$7:$B$166,$A47,'영상 근거'!$H$7:$H$166,"unknown")&lt;2,"미입력",IF(COUNTIFS('영상 근거'!$B$7:$B$166,$A47,'영상 근거'!$H$7:$H$166,"pass")=2,"pass 일치",IF(COUNTIFS('영상 근거'!$B$7:$B$166,$A47,'영상 근거'!$H$7:$H$166,"block")=2,"block 일치",IF(COUNTIFS('영상 근거'!$B$7:$B$166,$A47,'영상 근거'!$H$7:$H$166,"unknown")=2,"모두 unknown",IF(AND(COUNTIFS('영상 근거'!$B$7:$B$166,$A47,'영상 근거'!$H$7:$H$166,"pass")=1,COUNTIFS('영상 근거'!$B$7:$B$166,$A47,'영상 근거'!$H$7:$H$166,"block")=1),"불일치","한쪽 unknown")))))</x:f>
        <x:v>미입력</x:v>
      </x:c>
      <x:c r="AO47" s="67" t="str">
        <x:f>IF(COUNTIFS('영상 근거'!$B$7:$B$166,$A47,'영상 근거'!$K$7:$K$166,"pass")+COUNTIFS('영상 근거'!$B$7:$B$166,$A47,'영상 근거'!$K$7:$K$166,"block")+COUNTIFS('영상 근거'!$B$7:$B$166,$A47,'영상 근거'!$K$7:$K$166,"unknown")&lt;2,"미입력",IF(COUNTIFS('영상 근거'!$B$7:$B$166,$A47,'영상 근거'!$K$7:$K$166,"pass")=2,"pass 일치",IF(COUNTIFS('영상 근거'!$B$7:$B$166,$A47,'영상 근거'!$K$7:$K$166,"block")=2,"block 일치",IF(COUNTIFS('영상 근거'!$B$7:$B$166,$A47,'영상 근거'!$K$7:$K$166,"unknown")=2,"모두 unknown",IF(AND(COUNTIFS('영상 근거'!$B$7:$B$166,$A47,'영상 근거'!$K$7:$K$166,"pass")=1,COUNTIFS('영상 근거'!$B$7:$B$166,$A47,'영상 근거'!$K$7:$K$166,"block")=1),"불일치","한쪽 unknown")))))</x:f>
        <x:v>미입력</x:v>
      </x:c>
      <x:c r="AP47" s="106"/>
      <x:c r="AQ47" s="106"/>
      <x:c r="AR47" s="109" t="str">
        <x:v>통과 가능 후보</x:v>
      </x:c>
      <x:c r="AS47" s="109" t="str">
        <x:v>안내시설 양호 후보</x:v>
      </x:c>
      <x:c r="AT47" s="109" t="str">
        <x:v>보정 비대상</x:v>
      </x:c>
      <x:c r="AU47" s="162" t="str">
        <x:v>AI candidate</x:v>
      </x:c>
      <x:c r="AV47" s="162" t="str">
        <x:v>N</x:v>
      </x:c>
      <x:c r="AW47" s="206" t="str">
        <x:v>사람검수 대기</x:v>
      </x:c>
    </x:row>
    <x:row r="48" ht="34" customHeight="1">
      <x:c r="A48" s="28" t="str">
        <x:v>CW21-B</x:v>
      </x:c>
      <x:c r="B48" s="28" t="str">
        <x:v>CW21</x:v>
      </x:c>
      <x:c r="C48" s="28" t="str">
        <x:v>2025085034</x:v>
      </x:c>
      <x:c r="D48" s="28" t="str">
        <x:v>B</x:v>
      </x:c>
      <x:c r="E48" s="48" t="n">
        <x:v>37.39310371392077</x:v>
      </x:c>
      <x:c r="F48" s="48" t="n">
        <x:v>126.92317024278903</x:v>
      </x:c>
      <x:c r="G48" s="28" t="str">
        <x:v>public_explicit_present</x:v>
      </x:c>
      <x:c r="H48" s="28" t="str">
        <x:v>있음</x:v>
      </x:c>
      <x:c r="I48" s="28" t="str">
        <x:v>있음</x:v>
      </x:c>
      <x:c r="J48" s="28" t="str">
        <x:v>provisional_high</x:v>
      </x:c>
      <x:c r="K48" s="30" t="n">
        <x:v>0.34</x:v>
      </x:c>
      <x:c r="L48" s="28" t="str">
        <x:v>Y</x:v>
      </x:c>
      <x:c r="M48" s="33" t="str">
        <x:f>IF(S48="","pending_1st_review",IF(L48="Y",IF(Z48="","pending_2nd_review",IF(S48=Z48,"reviewed_agree",IF(AB48="","needs_adjudication","adjudicated"))),"reviewed_once"))</x:f>
        <x:v>pending_1st_review</x:v>
      </x:c>
      <x:c r="N48" s="46" t="str"/>
      <x:c r="O48" s="53" t="str"/>
      <x:c r="P48" s="46" t="str"/>
      <x:c r="Q48" s="46" t="str"/>
      <x:c r="R48" s="46" t="str"/>
      <x:c r="S48" s="46" t="str"/>
      <x:c r="T48" s="46" t="str"/>
      <x:c r="U48" s="46" t="str"/>
      <x:c r="V48" s="53" t="str"/>
      <x:c r="W48" s="46" t="str"/>
      <x:c r="X48" s="46" t="str"/>
      <x:c r="Y48" s="46" t="str"/>
      <x:c r="Z48" s="46" t="str"/>
      <x:c r="AA48" s="46" t="str"/>
      <x:c r="AB48" s="46" t="str"/>
      <x:c r="AC48" s="46" t="str">
        <x:v>visibility_review_needed</x:v>
      </x:c>
      <x:c r="AD48" s="51" t="n">
        <x:v>0.52</x:v>
      </x:c>
      <x:c r="AE48" s="46" t="str"/>
      <x:c r="AF48" s="53" t="str">
        <x:v>2025-11-18 11:18:33</x:v>
      </x:c>
      <x:c r="AG48" s="28" t="str">
        <x:v>https://map.kakao.com/link/roadview/37.3931037,126.9231702</x:v>
      </x:c>
      <x:c r="AH48" s="28" t="str">
        <x:v>asset_level_inherited_not_endpoint_verified</x:v>
      </x:c>
      <x:c r="AI48" s="105" t="e">
        <x:f>HYPERLINK(IF(INDEX('영상 근거'!$F$7:$F$166,MATCH($A48&amp;"-N",'영상 근거'!$A$7:$A$166,0))=0,INDEX('영상 근거'!$Q$7:$Q$166,MATCH($A48&amp;"-N",'영상 근거'!$A$7:$A$166,0)),INDEX('영상 근거'!$F$7:$F$166,MATCH($A48&amp;"-N",'영상 근거'!$A$7:$A$166,0))),IF(INDEX('영상 근거'!$F$7:$F$166,MATCH($A48&amp;"-N",'영상 근거'!$A$7:$A$166,0))=0,"네이버 위치","네이버 거리뷰"))</x:f>
        <x:v>HYPERLINK is not implemented. linkLocation=https://map.naver.com/p/entry/coordinates/3zfmvA,2AELUh?c=15.00,0,0,0,dh, friendlyName=네이버 위치</x:v>
      </x:c>
      <x:c r="AJ48" s="105" t="e">
        <x:f>HYPERLINK(IF(INDEX('영상 근거'!$F$7:$F$166,MATCH($A48&amp;"-K",'영상 근거'!$A$7:$A$166,0))=0,INDEX('영상 근거'!$Q$7:$Q$166,MATCH($A48&amp;"-K",'영상 근거'!$A$7:$A$166,0)),INDEX('영상 근거'!$F$7:$F$166,MATCH($A48&amp;"-K",'영상 근거'!$A$7:$A$166,0))),"카카오 거리뷰")</x:f>
        <x:v>HYPERLINK is not implemented. linkLocation=https://map.kakao.com/?panoid=1202871152&amp;pan=233.4&amp;zoom=0&amp;map_type=TYPE_MAP&amp;map_attribute=ROADVIEW&amp;urlX=483004.0&amp;urlY=1081607.0, friendlyName=카카오 거리뷰</x:v>
      </x:c>
      <x:c r="AK48" s="105" t="e">
        <x:f>HYPERLINK("#'영상 근거'!A"&amp;(MATCH($A48&amp;"-N",'영상 근거'!$A$7:$A$166,0)+6),"두 영상 기록")</x:f>
        <x:v>HYPERLINK is not implemented. linkLocation=#'영상 근거'!A89, friendlyName=두 영상 기록</x:v>
      </x:c>
      <x:c r="AL48" s="106"/>
      <x:c r="AM48" s="106"/>
      <x:c r="AN48" s="67" t="str">
        <x:f>IF(COUNTIFS('영상 근거'!$B$7:$B$166,$A48,'영상 근거'!$H$7:$H$166,"pass")+COUNTIFS('영상 근거'!$B$7:$B$166,$A48,'영상 근거'!$H$7:$H$166,"block")+COUNTIFS('영상 근거'!$B$7:$B$166,$A48,'영상 근거'!$H$7:$H$166,"unknown")&lt;2,"미입력",IF(COUNTIFS('영상 근거'!$B$7:$B$166,$A48,'영상 근거'!$H$7:$H$166,"pass")=2,"pass 일치",IF(COUNTIFS('영상 근거'!$B$7:$B$166,$A48,'영상 근거'!$H$7:$H$166,"block")=2,"block 일치",IF(COUNTIFS('영상 근거'!$B$7:$B$166,$A48,'영상 근거'!$H$7:$H$166,"unknown")=2,"모두 unknown",IF(AND(COUNTIFS('영상 근거'!$B$7:$B$166,$A48,'영상 근거'!$H$7:$H$166,"pass")=1,COUNTIFS('영상 근거'!$B$7:$B$166,$A48,'영상 근거'!$H$7:$H$166,"block")=1),"불일치","한쪽 unknown")))))</x:f>
        <x:v>미입력</x:v>
      </x:c>
      <x:c r="AO48" s="67" t="str">
        <x:f>IF(COUNTIFS('영상 근거'!$B$7:$B$166,$A48,'영상 근거'!$K$7:$K$166,"pass")+COUNTIFS('영상 근거'!$B$7:$B$166,$A48,'영상 근거'!$K$7:$K$166,"block")+COUNTIFS('영상 근거'!$B$7:$B$166,$A48,'영상 근거'!$K$7:$K$166,"unknown")&lt;2,"미입력",IF(COUNTIFS('영상 근거'!$B$7:$B$166,$A48,'영상 근거'!$K$7:$K$166,"pass")=2,"pass 일치",IF(COUNTIFS('영상 근거'!$B$7:$B$166,$A48,'영상 근거'!$K$7:$K$166,"block")=2,"block 일치",IF(COUNTIFS('영상 근거'!$B$7:$B$166,$A48,'영상 근거'!$K$7:$K$166,"unknown")=2,"모두 unknown",IF(AND(COUNTIFS('영상 근거'!$B$7:$B$166,$A48,'영상 근거'!$K$7:$K$166,"pass")=1,COUNTIFS('영상 근거'!$B$7:$B$166,$A48,'영상 근거'!$K$7:$K$166,"block")=1),"불일치","한쪽 unknown")))))</x:f>
        <x:v>미입력</x:v>
      </x:c>
      <x:c r="AP48" s="106"/>
      <x:c r="AQ48" s="106"/>
      <x:c r="AR48" s="109" t="str">
        <x:v>시야 부족·판독보류</x:v>
      </x:c>
      <x:c r="AS48" s="109" t="str">
        <x:v>시야 부족·판독보류</x:v>
      </x:c>
      <x:c r="AT48" s="109" t="str">
        <x:v>보정 비대상</x:v>
      </x:c>
      <x:c r="AU48" s="162" t="str">
        <x:v>AI candidate</x:v>
      </x:c>
      <x:c r="AV48" s="162" t="str">
        <x:v>N</x:v>
      </x:c>
      <x:c r="AW48" s="206" t="str">
        <x:v>사람검수 대기</x:v>
      </x:c>
    </x:row>
    <x:row r="49" ht="34" customHeight="1">
      <x:c r="A49" s="28" t="str">
        <x:v>CW22-A</x:v>
      </x:c>
      <x:c r="B49" s="28" t="str">
        <x:v>CW22</x:v>
      </x:c>
      <x:c r="C49" s="28" t="str">
        <x:v>2025085029</x:v>
      </x:c>
      <x:c r="D49" s="28" t="str">
        <x:v>A</x:v>
      </x:c>
      <x:c r="E49" s="48" t="n">
        <x:v>37.39214078880838</x:v>
      </x:c>
      <x:c r="F49" s="48" t="n">
        <x:v>126.92361853491747</x:v>
      </x:c>
      <x:c r="G49" s="28" t="str">
        <x:v>public_explicit_present</x:v>
      </x:c>
      <x:c r="H49" s="28" t="str">
        <x:v>있음</x:v>
      </x:c>
      <x:c r="I49" s="28" t="str">
        <x:v>있음</x:v>
      </x:c>
      <x:c r="J49" s="28" t="str">
        <x:v>provisional_high</x:v>
      </x:c>
      <x:c r="K49" s="30" t="n">
        <x:v>4.12</x:v>
      </x:c>
      <x:c r="L49" s="28" t="str">
        <x:v>N</x:v>
      </x:c>
      <x:c r="M49" s="33" t="str">
        <x:f>IF(S49="","pending_1st_review",IF(L49="Y",IF(Z49="","pending_2nd_review",IF(S49=Z49,"reviewed_agree",IF(AB49="","needs_adjudication","adjudicated"))),"reviewed_once"))</x:f>
        <x:v>pending_1st_review</x:v>
      </x:c>
      <x:c r="N49" s="46" t="str"/>
      <x:c r="O49" s="53" t="str"/>
      <x:c r="P49" s="46" t="str"/>
      <x:c r="Q49" s="46" t="str"/>
      <x:c r="R49" s="46" t="str"/>
      <x:c r="S49" s="46" t="str"/>
      <x:c r="T49" s="46" t="str"/>
      <x:c r="U49" s="46" t="str"/>
      <x:c r="V49" s="53" t="str"/>
      <x:c r="W49" s="46" t="str"/>
      <x:c r="X49" s="46" t="str"/>
      <x:c r="Y49" s="46" t="str"/>
      <x:c r="Z49" s="46" t="str"/>
      <x:c r="AA49" s="46" t="str"/>
      <x:c r="AB49" s="46" t="str"/>
      <x:c r="AC49" s="46" t="str">
        <x:v>likely_accessible_candidate</x:v>
      </x:c>
      <x:c r="AD49" s="51" t="n">
        <x:v>0.82</x:v>
      </x:c>
      <x:c r="AE49" s="46" t="str"/>
      <x:c r="AF49" s="53" t="str">
        <x:v>2025-11-17 11:58:28</x:v>
      </x:c>
      <x:c r="AG49" s="28" t="str">
        <x:v>https://map.kakao.com/link/roadview/37.3921408,126.9236185</x:v>
      </x:c>
      <x:c r="AH49" s="28" t="str">
        <x:v>asset_level_inherited_not_endpoint_verified</x:v>
      </x:c>
      <x:c r="AI49" s="105" t="e">
        <x:f>HYPERLINK(IF(INDEX('영상 근거'!$F$7:$F$166,MATCH($A49&amp;"-N",'영상 근거'!$A$7:$A$166,0))=0,INDEX('영상 근거'!$Q$7:$Q$166,MATCH($A49&amp;"-N",'영상 근거'!$A$7:$A$166,0)),INDEX('영상 근거'!$F$7:$F$166,MATCH($A49&amp;"-N",'영상 근거'!$A$7:$A$166,0))),IF(INDEX('영상 근거'!$F$7:$F$166,MATCH($A49&amp;"-N",'영상 근거'!$A$7:$A$166,0))=0,"네이버 위치","네이버 거리뷰"))</x:f>
        <x:v>HYPERLINK is not implemented. linkLocation=https://map.naver.com/p/entry/coordinates/3zfnFT,2AEJoY?c=15.00,0,0,0,dh, friendlyName=네이버 위치</x:v>
      </x:c>
      <x:c r="AJ49" s="105" t="e">
        <x:f>HYPERLINK(IF(INDEX('영상 근거'!$F$7:$F$166,MATCH($A49&amp;"-K",'영상 근거'!$A$7:$A$166,0))=0,INDEX('영상 근거'!$Q$7:$Q$166,MATCH($A49&amp;"-K",'영상 근거'!$A$7:$A$166,0)),INDEX('영상 근거'!$F$7:$F$166,MATCH($A49&amp;"-K",'영상 근거'!$A$7:$A$166,0))),"카카오 거리뷰")</x:f>
        <x:v>HYPERLINK is not implemented. linkLocation=https://map.kakao.com/?panoid=1202969686&amp;pan=327.0&amp;zoom=0&amp;map_type=TYPE_MAP&amp;map_attribute=ROADVIEW&amp;urlX=483115.0&amp;urlY=1081356.0, friendlyName=카카오 거리뷰</x:v>
      </x:c>
      <x:c r="AK49" s="105" t="e">
        <x:f>HYPERLINK("#'영상 근거'!A"&amp;(MATCH($A49&amp;"-N",'영상 근거'!$A$7:$A$166,0)+6),"두 영상 기록")</x:f>
        <x:v>HYPERLINK is not implemented. linkLocation=#'영상 근거'!A91, friendlyName=두 영상 기록</x:v>
      </x:c>
      <x:c r="AL49" s="106"/>
      <x:c r="AM49" s="106"/>
      <x:c r="AN49" s="67" t="str">
        <x:f>IF(COUNTIFS('영상 근거'!$B$7:$B$166,$A49,'영상 근거'!$H$7:$H$166,"pass")+COUNTIFS('영상 근거'!$B$7:$B$166,$A49,'영상 근거'!$H$7:$H$166,"block")+COUNTIFS('영상 근거'!$B$7:$B$166,$A49,'영상 근거'!$H$7:$H$166,"unknown")&lt;2,"미입력",IF(COUNTIFS('영상 근거'!$B$7:$B$166,$A49,'영상 근거'!$H$7:$H$166,"pass")=2,"pass 일치",IF(COUNTIFS('영상 근거'!$B$7:$B$166,$A49,'영상 근거'!$H$7:$H$166,"block")=2,"block 일치",IF(COUNTIFS('영상 근거'!$B$7:$B$166,$A49,'영상 근거'!$H$7:$H$166,"unknown")=2,"모두 unknown",IF(AND(COUNTIFS('영상 근거'!$B$7:$B$166,$A49,'영상 근거'!$H$7:$H$166,"pass")=1,COUNTIFS('영상 근거'!$B$7:$B$166,$A49,'영상 근거'!$H$7:$H$166,"block")=1),"불일치","한쪽 unknown")))))</x:f>
        <x:v>미입력</x:v>
      </x:c>
      <x:c r="AO49" s="67" t="str">
        <x:f>IF(COUNTIFS('영상 근거'!$B$7:$B$166,$A49,'영상 근거'!$K$7:$K$166,"pass")+COUNTIFS('영상 근거'!$B$7:$B$166,$A49,'영상 근거'!$K$7:$K$166,"block")+COUNTIFS('영상 근거'!$B$7:$B$166,$A49,'영상 근거'!$K$7:$K$166,"unknown")&lt;2,"미입력",IF(COUNTIFS('영상 근거'!$B$7:$B$166,$A49,'영상 근거'!$K$7:$K$166,"pass")=2,"pass 일치",IF(COUNTIFS('영상 근거'!$B$7:$B$166,$A49,'영상 근거'!$K$7:$K$166,"block")=2,"block 일치",IF(COUNTIFS('영상 근거'!$B$7:$B$166,$A49,'영상 근거'!$K$7:$K$166,"unknown")=2,"모두 unknown",IF(AND(COUNTIFS('영상 근거'!$B$7:$B$166,$A49,'영상 근거'!$K$7:$K$166,"pass")=1,COUNTIFS('영상 근거'!$B$7:$B$166,$A49,'영상 근거'!$K$7:$K$166,"block")=1),"불일치","한쪽 unknown")))))</x:f>
        <x:v>미입력</x:v>
      </x:c>
      <x:c r="AP49" s="106"/>
      <x:c r="AQ49" s="106"/>
      <x:c r="AR49" s="109" t="str">
        <x:v>통과 가능 후보</x:v>
      </x:c>
      <x:c r="AS49" s="109" t="str">
        <x:v>안내시설 양호 후보</x:v>
      </x:c>
      <x:c r="AT49" s="109" t="str">
        <x:v>보정 비대상</x:v>
      </x:c>
      <x:c r="AU49" s="162" t="str">
        <x:v>AI candidate</x:v>
      </x:c>
      <x:c r="AV49" s="162" t="str">
        <x:v>N</x:v>
      </x:c>
      <x:c r="AW49" s="206" t="str">
        <x:v>사람검수 대기</x:v>
      </x:c>
    </x:row>
    <x:row r="50" ht="34" customHeight="1">
      <x:c r="A50" s="28" t="str">
        <x:v>CW22-B</x:v>
      </x:c>
      <x:c r="B50" s="28" t="str">
        <x:v>CW22</x:v>
      </x:c>
      <x:c r="C50" s="28" t="str">
        <x:v>2025085029</x:v>
      </x:c>
      <x:c r="D50" s="28" t="str">
        <x:v>B</x:v>
      </x:c>
      <x:c r="E50" s="48" t="n">
        <x:v>37.39221919119162</x:v>
      </x:c>
      <x:c r="F50" s="48" t="n">
        <x:v>126.92376926508251</x:v>
      </x:c>
      <x:c r="G50" s="28" t="str">
        <x:v>public_explicit_present</x:v>
      </x:c>
      <x:c r="H50" s="28" t="str">
        <x:v>있음</x:v>
      </x:c>
      <x:c r="I50" s="28" t="str">
        <x:v>있음</x:v>
      </x:c>
      <x:c r="J50" s="28" t="str">
        <x:v>provisional_high</x:v>
      </x:c>
      <x:c r="K50" s="30" t="n">
        <x:v>4.12</x:v>
      </x:c>
      <x:c r="L50" s="28" t="str">
        <x:v>N</x:v>
      </x:c>
      <x:c r="M50" s="33" t="str">
        <x:f>IF(S50="","pending_1st_review",IF(L50="Y",IF(Z50="","pending_2nd_review",IF(S50=Z50,"reviewed_agree",IF(AB50="","needs_adjudication","adjudicated"))),"reviewed_once"))</x:f>
        <x:v>pending_1st_review</x:v>
      </x:c>
      <x:c r="N50" s="46" t="str"/>
      <x:c r="O50" s="53" t="str"/>
      <x:c r="P50" s="46" t="str"/>
      <x:c r="Q50" s="46" t="str"/>
      <x:c r="R50" s="46" t="str"/>
      <x:c r="S50" s="46" t="str"/>
      <x:c r="T50" s="46" t="str"/>
      <x:c r="U50" s="46" t="str"/>
      <x:c r="V50" s="53" t="str"/>
      <x:c r="W50" s="46" t="str"/>
      <x:c r="X50" s="46" t="str"/>
      <x:c r="Y50" s="46" t="str"/>
      <x:c r="Z50" s="46" t="str"/>
      <x:c r="AA50" s="46" t="str"/>
      <x:c r="AB50" s="46" t="str"/>
      <x:c r="AC50" s="46" t="str">
        <x:v>visibility_review_needed</x:v>
      </x:c>
      <x:c r="AD50" s="51" t="n">
        <x:v>0.52</x:v>
      </x:c>
      <x:c r="AE50" s="46" t="str"/>
      <x:c r="AF50" s="53" t="str">
        <x:v>2025-11-17 11:58:28</x:v>
      </x:c>
      <x:c r="AG50" s="28" t="str">
        <x:v>https://map.kakao.com/link/roadview/37.3922192,126.9237693</x:v>
      </x:c>
      <x:c r="AH50" s="28" t="str">
        <x:v>asset_level_inherited_not_endpoint_verified</x:v>
      </x:c>
      <x:c r="AI50" s="105" t="e">
        <x:f>HYPERLINK(IF(INDEX('영상 근거'!$F$7:$F$166,MATCH($A50&amp;"-N",'영상 근거'!$A$7:$A$166,0))=0,INDEX('영상 근거'!$Q$7:$Q$166,MATCH($A50&amp;"-N",'영상 근거'!$A$7:$A$166,0)),INDEX('영상 근거'!$F$7:$F$166,MATCH($A50&amp;"-N",'영상 근거'!$A$7:$A$166,0))),IF(INDEX('영상 근거'!$F$7:$F$166,MATCH($A50&amp;"-N",'영상 근거'!$A$7:$A$166,0))=0,"네이버 위치","네이버 거리뷰"))</x:f>
        <x:v>HYPERLINK is not implemented. linkLocation=https://map.naver.com/p/entry/coordinates/3zfo4d,2AEJBC?c=15.00,0,0,0,dh, friendlyName=네이버 위치</x:v>
      </x:c>
      <x:c r="AJ50" s="105" t="e">
        <x:f>HYPERLINK(IF(INDEX('영상 근거'!$F$7:$F$166,MATCH($A50&amp;"-K",'영상 근거'!$A$7:$A$166,0))=0,INDEX('영상 근거'!$Q$7:$Q$166,MATCH($A50&amp;"-K",'영상 근거'!$A$7:$A$166,0)),INDEX('영상 근거'!$F$7:$F$166,MATCH($A50&amp;"-K",'영상 근거'!$A$7:$A$166,0))),"카카오 거리뷰")</x:f>
        <x:v>HYPERLINK is not implemented. linkLocation=https://map.kakao.com/?panoid=1202969686&amp;pan=327.0&amp;zoom=0&amp;map_type=TYPE_MAP&amp;map_attribute=ROADVIEW&amp;urlX=483115.0&amp;urlY=1081356.0, friendlyName=카카오 거리뷰</x:v>
      </x:c>
      <x:c r="AK50" s="105" t="e">
        <x:f>HYPERLINK("#'영상 근거'!A"&amp;(MATCH($A50&amp;"-N",'영상 근거'!$A$7:$A$166,0)+6),"두 영상 기록")</x:f>
        <x:v>HYPERLINK is not implemented. linkLocation=#'영상 근거'!A93, friendlyName=두 영상 기록</x:v>
      </x:c>
      <x:c r="AL50" s="106"/>
      <x:c r="AM50" s="106"/>
      <x:c r="AN50" s="67" t="str">
        <x:f>IF(COUNTIFS('영상 근거'!$B$7:$B$166,$A50,'영상 근거'!$H$7:$H$166,"pass")+COUNTIFS('영상 근거'!$B$7:$B$166,$A50,'영상 근거'!$H$7:$H$166,"block")+COUNTIFS('영상 근거'!$B$7:$B$166,$A50,'영상 근거'!$H$7:$H$166,"unknown")&lt;2,"미입력",IF(COUNTIFS('영상 근거'!$B$7:$B$166,$A50,'영상 근거'!$H$7:$H$166,"pass")=2,"pass 일치",IF(COUNTIFS('영상 근거'!$B$7:$B$166,$A50,'영상 근거'!$H$7:$H$166,"block")=2,"block 일치",IF(COUNTIFS('영상 근거'!$B$7:$B$166,$A50,'영상 근거'!$H$7:$H$166,"unknown")=2,"모두 unknown",IF(AND(COUNTIFS('영상 근거'!$B$7:$B$166,$A50,'영상 근거'!$H$7:$H$166,"pass")=1,COUNTIFS('영상 근거'!$B$7:$B$166,$A50,'영상 근거'!$H$7:$H$166,"block")=1),"불일치","한쪽 unknown")))))</x:f>
        <x:v>미입력</x:v>
      </x:c>
      <x:c r="AO50" s="67" t="str">
        <x:f>IF(COUNTIFS('영상 근거'!$B$7:$B$166,$A50,'영상 근거'!$K$7:$K$166,"pass")+COUNTIFS('영상 근거'!$B$7:$B$166,$A50,'영상 근거'!$K$7:$K$166,"block")+COUNTIFS('영상 근거'!$B$7:$B$166,$A50,'영상 근거'!$K$7:$K$166,"unknown")&lt;2,"미입력",IF(COUNTIFS('영상 근거'!$B$7:$B$166,$A50,'영상 근거'!$K$7:$K$166,"pass")=2,"pass 일치",IF(COUNTIFS('영상 근거'!$B$7:$B$166,$A50,'영상 근거'!$K$7:$K$166,"block")=2,"block 일치",IF(COUNTIFS('영상 근거'!$B$7:$B$166,$A50,'영상 근거'!$K$7:$K$166,"unknown")=2,"모두 unknown",IF(AND(COUNTIFS('영상 근거'!$B$7:$B$166,$A50,'영상 근거'!$K$7:$K$166,"pass")=1,COUNTIFS('영상 근거'!$B$7:$B$166,$A50,'영상 근거'!$K$7:$K$166,"block")=1),"불일치","한쪽 unknown")))))</x:f>
        <x:v>미입력</x:v>
      </x:c>
      <x:c r="AP50" s="106"/>
      <x:c r="AQ50" s="106"/>
      <x:c r="AR50" s="109" t="str">
        <x:v>시야 부족·판독보류</x:v>
      </x:c>
      <x:c r="AS50" s="109" t="str">
        <x:v>시야 부족·판독보류</x:v>
      </x:c>
      <x:c r="AT50" s="109" t="str">
        <x:v>보정 비대상</x:v>
      </x:c>
      <x:c r="AU50" s="162" t="str">
        <x:v>AI candidate</x:v>
      </x:c>
      <x:c r="AV50" s="162" t="str">
        <x:v>N</x:v>
      </x:c>
      <x:c r="AW50" s="206" t="str">
        <x:v>사람검수 대기</x:v>
      </x:c>
    </x:row>
    <x:row r="51" ht="34" customHeight="1">
      <x:c r="A51" s="28" t="str">
        <x:v>CW23-A</x:v>
      </x:c>
      <x:c r="B51" s="28" t="str">
        <x:v>CW23</x:v>
      </x:c>
      <x:c r="C51" s="28" t="str">
        <x:v>2025085023</x:v>
      </x:c>
      <x:c r="D51" s="28" t="str">
        <x:v>A</x:v>
      </x:c>
      <x:c r="E51" s="48" t="n">
        <x:v>37.39211628056607</x:v>
      </x:c>
      <x:c r="F51" s="48" t="n">
        <x:v>126.92388323781566</x:v>
      </x:c>
      <x:c r="G51" s="28" t="str">
        <x:v>public_explicit_present</x:v>
      </x:c>
      <x:c r="H51" s="28" t="str">
        <x:v>있음</x:v>
      </x:c>
      <x:c r="I51" s="28" t="str">
        <x:v>있음</x:v>
      </x:c>
      <x:c r="J51" s="28" t="str">
        <x:v>provisional_high</x:v>
      </x:c>
      <x:c r="K51" s="30" t="n">
        <x:v>0.55</x:v>
      </x:c>
      <x:c r="L51" s="28" t="str">
        <x:v>Y</x:v>
      </x:c>
      <x:c r="M51" s="33" t="str">
        <x:f>IF(S51="","pending_1st_review",IF(L51="Y",IF(Z51="","pending_2nd_review",IF(S51=Z51,"reviewed_agree",IF(AB51="","needs_adjudication","adjudicated"))),"reviewed_once"))</x:f>
        <x:v>pending_1st_review</x:v>
      </x:c>
      <x:c r="N51" s="46" t="str"/>
      <x:c r="O51" s="53" t="str"/>
      <x:c r="P51" s="46" t="str"/>
      <x:c r="Q51" s="46" t="str"/>
      <x:c r="R51" s="46" t="str"/>
      <x:c r="S51" s="46" t="str"/>
      <x:c r="T51" s="46" t="str"/>
      <x:c r="U51" s="46" t="str"/>
      <x:c r="V51" s="53" t="str"/>
      <x:c r="W51" s="46" t="str"/>
      <x:c r="X51" s="46" t="str"/>
      <x:c r="Y51" s="46" t="str"/>
      <x:c r="Z51" s="46" t="str"/>
      <x:c r="AA51" s="46" t="str"/>
      <x:c r="AB51" s="46" t="str"/>
      <x:c r="AC51" s="46" t="str">
        <x:v>geometry_mismatch_candidate</x:v>
      </x:c>
      <x:c r="AD51" s="51" t="n">
        <x:v>0.58</x:v>
      </x:c>
      <x:c r="AE51" s="46" t="str"/>
      <x:c r="AF51" s="53" t="str">
        <x:v>2025-11-18 10:22:37</x:v>
      </x:c>
      <x:c r="AG51" s="28" t="str">
        <x:v>https://map.kakao.com/link/roadview/37.3921163,126.9238832</x:v>
      </x:c>
      <x:c r="AH51" s="28" t="str">
        <x:v>asset_level_inherited_not_endpoint_verified</x:v>
      </x:c>
      <x:c r="AI51" s="105" t="e">
        <x:f>HYPERLINK(IF(INDEX('영상 근거'!$F$7:$F$166,MATCH($A51&amp;"-N",'영상 근거'!$A$7:$A$166,0))=0,INDEX('영상 근거'!$Q$7:$Q$166,MATCH($A51&amp;"-N",'영상 근거'!$A$7:$A$166,0)),INDEX('영상 근거'!$F$7:$F$166,MATCH($A51&amp;"-N",'영상 근거'!$A$7:$A$166,0))),IF(INDEX('영상 근거'!$F$7:$F$166,MATCH($A51&amp;"-N",'영상 근거'!$A$7:$A$166,0))=0,"네이버 위치","네이버 거리뷰"))</x:f>
        <x:v>HYPERLINK is not implemented. linkLocation=https://map.naver.com/p/entry/coordinates/3zfomA,2AEJl1?c=15.00,0,0,0,dh, friendlyName=네이버 위치</x:v>
      </x:c>
      <x:c r="AJ51" s="105" t="e">
        <x:f>HYPERLINK(IF(INDEX('영상 근거'!$F$7:$F$166,MATCH($A51&amp;"-K",'영상 근거'!$A$7:$A$166,0))=0,INDEX('영상 근거'!$Q$7:$Q$166,MATCH($A51&amp;"-K",'영상 근거'!$A$7:$A$166,0)),INDEX('영상 근거'!$F$7:$F$166,MATCH($A51&amp;"-K",'영상 근거'!$A$7:$A$166,0))),"카카오 거리뷰")</x:f>
        <x:v>HYPERLINK is not implemented. linkLocation=https://map.kakao.com/?panoid=1202870512&amp;pan=238.8&amp;zoom=0&amp;map_type=TYPE_MAP&amp;map_attribute=ROADVIEW&amp;urlX=483156.0&amp;urlY=1081348.0, friendlyName=카카오 거리뷰</x:v>
      </x:c>
      <x:c r="AK51" s="105" t="e">
        <x:f>HYPERLINK("#'영상 근거'!A"&amp;(MATCH($A51&amp;"-N",'영상 근거'!$A$7:$A$166,0)+6),"두 영상 기록")</x:f>
        <x:v>HYPERLINK is not implemented. linkLocation=#'영상 근거'!A95, friendlyName=두 영상 기록</x:v>
      </x:c>
      <x:c r="AL51" s="106"/>
      <x:c r="AM51" s="106"/>
      <x:c r="AN51" s="67" t="str">
        <x:f>IF(COUNTIFS('영상 근거'!$B$7:$B$166,$A51,'영상 근거'!$H$7:$H$166,"pass")+COUNTIFS('영상 근거'!$B$7:$B$166,$A51,'영상 근거'!$H$7:$H$166,"block")+COUNTIFS('영상 근거'!$B$7:$B$166,$A51,'영상 근거'!$H$7:$H$166,"unknown")&lt;2,"미입력",IF(COUNTIFS('영상 근거'!$B$7:$B$166,$A51,'영상 근거'!$H$7:$H$166,"pass")=2,"pass 일치",IF(COUNTIFS('영상 근거'!$B$7:$B$166,$A51,'영상 근거'!$H$7:$H$166,"block")=2,"block 일치",IF(COUNTIFS('영상 근거'!$B$7:$B$166,$A51,'영상 근거'!$H$7:$H$166,"unknown")=2,"모두 unknown",IF(AND(COUNTIFS('영상 근거'!$B$7:$B$166,$A51,'영상 근거'!$H$7:$H$166,"pass")=1,COUNTIFS('영상 근거'!$B$7:$B$166,$A51,'영상 근거'!$H$7:$H$166,"block")=1),"불일치","한쪽 unknown")))))</x:f>
        <x:v>미입력</x:v>
      </x:c>
      <x:c r="AO51" s="67" t="str">
        <x:f>IF(COUNTIFS('영상 근거'!$B$7:$B$166,$A51,'영상 근거'!$K$7:$K$166,"pass")+COUNTIFS('영상 근거'!$B$7:$B$166,$A51,'영상 근거'!$K$7:$K$166,"block")+COUNTIFS('영상 근거'!$B$7:$B$166,$A51,'영상 근거'!$K$7:$K$166,"unknown")&lt;2,"미입력",IF(COUNTIFS('영상 근거'!$B$7:$B$166,$A51,'영상 근거'!$K$7:$K$166,"pass")=2,"pass 일치",IF(COUNTIFS('영상 근거'!$B$7:$B$166,$A51,'영상 근거'!$K$7:$K$166,"block")=2,"block 일치",IF(COUNTIFS('영상 근거'!$B$7:$B$166,$A51,'영상 근거'!$K$7:$K$166,"unknown")=2,"모두 unknown",IF(AND(COUNTIFS('영상 근거'!$B$7:$B$166,$A51,'영상 근거'!$K$7:$K$166,"pass")=1,COUNTIFS('영상 근거'!$B$7:$B$166,$A51,'영상 근거'!$K$7:$K$166,"block")=1),"불일치","한쪽 unknown")))))</x:f>
        <x:v>미입력</x:v>
      </x:c>
      <x:c r="AP51" s="106"/>
      <x:c r="AQ51" s="106"/>
      <x:c r="AR51" s="109" t="str">
        <x:v>위치 불일치·판독보류</x:v>
      </x:c>
      <x:c r="AS51" s="109" t="str">
        <x:v>위치 불일치·판독보류</x:v>
      </x:c>
      <x:c r="AT51" s="109" t="str">
        <x:v>보정 필요</x:v>
      </x:c>
      <x:c r="AU51" s="162" t="str">
        <x:v>AI candidate</x:v>
      </x:c>
      <x:c r="AV51" s="162" t="str">
        <x:v>N</x:v>
      </x:c>
      <x:c r="AW51" s="206" t="str">
        <x:v>사람검수 대기</x:v>
      </x:c>
    </x:row>
    <x:row r="52" ht="34" customHeight="1">
      <x:c r="A52" s="28" t="str">
        <x:v>CW23-B</x:v>
      </x:c>
      <x:c r="B52" s="28" t="str">
        <x:v>CW23</x:v>
      </x:c>
      <x:c r="C52" s="28" t="str">
        <x:v>2025085023</x:v>
      </x:c>
      <x:c r="D52" s="28" t="str">
        <x:v>B</x:v>
      </x:c>
      <x:c r="E52" s="48" t="n">
        <x:v>37.39216041943393</x:v>
      </x:c>
      <x:c r="F52" s="48" t="n">
        <x:v>126.92384736218435</x:v>
      </x:c>
      <x:c r="G52" s="28" t="str">
        <x:v>public_explicit_present</x:v>
      </x:c>
      <x:c r="H52" s="28" t="str">
        <x:v>있음</x:v>
      </x:c>
      <x:c r="I52" s="28" t="str">
        <x:v>있음</x:v>
      </x:c>
      <x:c r="J52" s="28" t="str">
        <x:v>provisional_high</x:v>
      </x:c>
      <x:c r="K52" s="30" t="n">
        <x:v>0.55</x:v>
      </x:c>
      <x:c r="L52" s="28" t="str">
        <x:v>Y</x:v>
      </x:c>
      <x:c r="M52" s="33" t="str">
        <x:f>IF(S52="","pending_1st_review",IF(L52="Y",IF(Z52="","pending_2nd_review",IF(S52=Z52,"reviewed_agree",IF(AB52="","needs_adjudication","adjudicated"))),"reviewed_once"))</x:f>
        <x:v>pending_1st_review</x:v>
      </x:c>
      <x:c r="N52" s="46" t="str"/>
      <x:c r="O52" s="53" t="str"/>
      <x:c r="P52" s="46" t="str"/>
      <x:c r="Q52" s="46" t="str"/>
      <x:c r="R52" s="46" t="str"/>
      <x:c r="S52" s="46" t="str"/>
      <x:c r="T52" s="46" t="str"/>
      <x:c r="U52" s="46" t="str"/>
      <x:c r="V52" s="53" t="str"/>
      <x:c r="W52" s="46" t="str"/>
      <x:c r="X52" s="46" t="str"/>
      <x:c r="Y52" s="46" t="str"/>
      <x:c r="Z52" s="46" t="str"/>
      <x:c r="AA52" s="46" t="str"/>
      <x:c r="AB52" s="46" t="str"/>
      <x:c r="AC52" s="46" t="str">
        <x:v>geometry_mismatch_candidate</x:v>
      </x:c>
      <x:c r="AD52" s="51" t="n">
        <x:v>0.58</x:v>
      </x:c>
      <x:c r="AE52" s="46" t="str"/>
      <x:c r="AF52" s="53" t="str">
        <x:v>2025-11-18 10:22:37</x:v>
      </x:c>
      <x:c r="AG52" s="28" t="str">
        <x:v>https://map.kakao.com/link/roadview/37.3921604,126.9238474</x:v>
      </x:c>
      <x:c r="AH52" s="28" t="str">
        <x:v>asset_level_inherited_not_endpoint_verified</x:v>
      </x:c>
      <x:c r="AI52" s="105" t="e">
        <x:f>HYPERLINK(IF(INDEX('영상 근거'!$F$7:$F$166,MATCH($A52&amp;"-N",'영상 근거'!$A$7:$A$166,0))=0,INDEX('영상 근거'!$Q$7:$Q$166,MATCH($A52&amp;"-N",'영상 근거'!$A$7:$A$166,0)),INDEX('영상 근거'!$F$7:$F$166,MATCH($A52&amp;"-N",'영상 근거'!$A$7:$A$166,0))),IF(INDEX('영상 근거'!$F$7:$F$166,MATCH($A52&amp;"-N",'영상 근거'!$A$7:$A$166,0))=0,"네이버 위치","네이버 거리뷰"))</x:f>
        <x:v>HYPERLINK is not implemented. linkLocation=https://map.naver.com/p/entry/coordinates/3zfogO,2AEJs8?c=15.00,0,0,0,dh, friendlyName=네이버 위치</x:v>
      </x:c>
      <x:c r="AJ52" s="105" t="e">
        <x:f>HYPERLINK(IF(INDEX('영상 근거'!$F$7:$F$166,MATCH($A52&amp;"-K",'영상 근거'!$A$7:$A$166,0))=0,INDEX('영상 근거'!$Q$7:$Q$166,MATCH($A52&amp;"-K",'영상 근거'!$A$7:$A$166,0)),INDEX('영상 근거'!$F$7:$F$166,MATCH($A52&amp;"-K",'영상 근거'!$A$7:$A$166,0))),"카카오 거리뷰")</x:f>
        <x:v>HYPERLINK is not implemented. linkLocation=https://map.kakao.com/?panoid=1202870512&amp;pan=238.8&amp;zoom=0&amp;map_type=TYPE_MAP&amp;map_attribute=ROADVIEW&amp;urlX=483156.0&amp;urlY=1081348.0, friendlyName=카카오 거리뷰</x:v>
      </x:c>
      <x:c r="AK52" s="105" t="e">
        <x:f>HYPERLINK("#'영상 근거'!A"&amp;(MATCH($A52&amp;"-N",'영상 근거'!$A$7:$A$166,0)+6),"두 영상 기록")</x:f>
        <x:v>HYPERLINK is not implemented. linkLocation=#'영상 근거'!A97, friendlyName=두 영상 기록</x:v>
      </x:c>
      <x:c r="AL52" s="106"/>
      <x:c r="AM52" s="106"/>
      <x:c r="AN52" s="67" t="str">
        <x:f>IF(COUNTIFS('영상 근거'!$B$7:$B$166,$A52,'영상 근거'!$H$7:$H$166,"pass")+COUNTIFS('영상 근거'!$B$7:$B$166,$A52,'영상 근거'!$H$7:$H$166,"block")+COUNTIFS('영상 근거'!$B$7:$B$166,$A52,'영상 근거'!$H$7:$H$166,"unknown")&lt;2,"미입력",IF(COUNTIFS('영상 근거'!$B$7:$B$166,$A52,'영상 근거'!$H$7:$H$166,"pass")=2,"pass 일치",IF(COUNTIFS('영상 근거'!$B$7:$B$166,$A52,'영상 근거'!$H$7:$H$166,"block")=2,"block 일치",IF(COUNTIFS('영상 근거'!$B$7:$B$166,$A52,'영상 근거'!$H$7:$H$166,"unknown")=2,"모두 unknown",IF(AND(COUNTIFS('영상 근거'!$B$7:$B$166,$A52,'영상 근거'!$H$7:$H$166,"pass")=1,COUNTIFS('영상 근거'!$B$7:$B$166,$A52,'영상 근거'!$H$7:$H$166,"block")=1),"불일치","한쪽 unknown")))))</x:f>
        <x:v>미입력</x:v>
      </x:c>
      <x:c r="AO52" s="67" t="str">
        <x:f>IF(COUNTIFS('영상 근거'!$B$7:$B$166,$A52,'영상 근거'!$K$7:$K$166,"pass")+COUNTIFS('영상 근거'!$B$7:$B$166,$A52,'영상 근거'!$K$7:$K$166,"block")+COUNTIFS('영상 근거'!$B$7:$B$166,$A52,'영상 근거'!$K$7:$K$166,"unknown")&lt;2,"미입력",IF(COUNTIFS('영상 근거'!$B$7:$B$166,$A52,'영상 근거'!$K$7:$K$166,"pass")=2,"pass 일치",IF(COUNTIFS('영상 근거'!$B$7:$B$166,$A52,'영상 근거'!$K$7:$K$166,"block")=2,"block 일치",IF(COUNTIFS('영상 근거'!$B$7:$B$166,$A52,'영상 근거'!$K$7:$K$166,"unknown")=2,"모두 unknown",IF(AND(COUNTIFS('영상 근거'!$B$7:$B$166,$A52,'영상 근거'!$K$7:$K$166,"pass")=1,COUNTIFS('영상 근거'!$B$7:$B$166,$A52,'영상 근거'!$K$7:$K$166,"block")=1),"불일치","한쪽 unknown")))))</x:f>
        <x:v>미입력</x:v>
      </x:c>
      <x:c r="AP52" s="106"/>
      <x:c r="AQ52" s="106"/>
      <x:c r="AR52" s="109" t="str">
        <x:v>위치 불일치·판독보류</x:v>
      </x:c>
      <x:c r="AS52" s="109" t="str">
        <x:v>위치 불일치·판독보류</x:v>
      </x:c>
      <x:c r="AT52" s="109" t="str">
        <x:v>보정 필요</x:v>
      </x:c>
      <x:c r="AU52" s="162" t="str">
        <x:v>AI candidate</x:v>
      </x:c>
      <x:c r="AV52" s="162" t="str">
        <x:v>N</x:v>
      </x:c>
      <x:c r="AW52" s="206" t="str">
        <x:v>사람검수 대기</x:v>
      </x:c>
    </x:row>
    <x:row r="53" ht="34" customHeight="1">
      <x:c r="A53" s="28" t="str">
        <x:v>CW24-A</x:v>
      </x:c>
      <x:c r="B53" s="28" t="str">
        <x:v>CW24</x:v>
      </x:c>
      <x:c r="C53" s="28" t="str">
        <x:v>2025085028</x:v>
      </x:c>
      <x:c r="D53" s="28" t="str">
        <x:v>A</x:v>
      </x:c>
      <x:c r="E53" s="48" t="n">
        <x:v>37.3920183365017</x:v>
      </x:c>
      <x:c r="F53" s="48" t="n">
        <x:v>126.92359267780495</x:v>
      </x:c>
      <x:c r="G53" s="28" t="str">
        <x:v>public_explicit_present</x:v>
      </x:c>
      <x:c r="H53" s="28" t="str">
        <x:v>있음</x:v>
      </x:c>
      <x:c r="I53" s="28" t="str">
        <x:v>있음</x:v>
      </x:c>
      <x:c r="J53" s="28" t="str">
        <x:v>provisional_high</x:v>
      </x:c>
      <x:c r="K53" s="30" t="n">
        <x:v>14.39</x:v>
      </x:c>
      <x:c r="L53" s="28" t="str">
        <x:v>N</x:v>
      </x:c>
      <x:c r="M53" s="33" t="str">
        <x:f>IF(S53="","pending_1st_review",IF(L53="Y",IF(Z53="","pending_2nd_review",IF(S53=Z53,"reviewed_agree",IF(AB53="","needs_adjudication","adjudicated"))),"reviewed_once"))</x:f>
        <x:v>pending_1st_review</x:v>
      </x:c>
      <x:c r="N53" s="46" t="str"/>
      <x:c r="O53" s="53" t="str"/>
      <x:c r="P53" s="46" t="str"/>
      <x:c r="Q53" s="46" t="str"/>
      <x:c r="R53" s="46" t="str"/>
      <x:c r="S53" s="46" t="str"/>
      <x:c r="T53" s="46" t="str"/>
      <x:c r="U53" s="46" t="str"/>
      <x:c r="V53" s="53" t="str"/>
      <x:c r="W53" s="46" t="str"/>
      <x:c r="X53" s="46" t="str"/>
      <x:c r="Y53" s="46" t="str"/>
      <x:c r="Z53" s="46" t="str"/>
      <x:c r="AA53" s="46" t="str"/>
      <x:c r="AB53" s="46" t="str"/>
      <x:c r="AC53" s="46" t="str">
        <x:v>likely_accessible_candidate</x:v>
      </x:c>
      <x:c r="AD53" s="51" t="n">
        <x:v>0.82</x:v>
      </x:c>
      <x:c r="AE53" s="46" t="str"/>
      <x:c r="AF53" s="53" t="str">
        <x:v>2025-11-17 11:58:26</x:v>
      </x:c>
      <x:c r="AG53" s="28" t="str">
        <x:v>https://map.kakao.com/link/roadview/37.3920183,126.9235927</x:v>
      </x:c>
      <x:c r="AH53" s="28" t="str">
        <x:v>asset_level_inherited_not_endpoint_verified</x:v>
      </x:c>
      <x:c r="AI53" s="105" t="e">
        <x:f>HYPERLINK(IF(INDEX('영상 근거'!$F$7:$F$166,MATCH($A53&amp;"-N",'영상 근거'!$A$7:$A$166,0))=0,INDEX('영상 근거'!$Q$7:$Q$166,MATCH($A53&amp;"-N",'영상 근거'!$A$7:$A$166,0)),INDEX('영상 근거'!$F$7:$F$166,MATCH($A53&amp;"-N",'영상 근거'!$A$7:$A$166,0))),IF(INDEX('영상 근거'!$F$7:$F$166,MATCH($A53&amp;"-N",'영상 근거'!$A$7:$A$166,0))=0,"네이버 위치","네이버 거리뷰"))</x:f>
        <x:v>HYPERLINK is not implemented. linkLocation=https://map.naver.com/p/entry/coordinates/3zfnBJ,2AEJ5d?c=15.00,0,0,0,dh, friendlyName=네이버 위치</x:v>
      </x:c>
      <x:c r="AJ53" s="105" t="e">
        <x:f>HYPERLINK(IF(INDEX('영상 근거'!$F$7:$F$166,MATCH($A53&amp;"-K",'영상 근거'!$A$7:$A$166,0))=0,INDEX('영상 근거'!$Q$7:$Q$166,MATCH($A53&amp;"-K",'영상 근거'!$A$7:$A$166,0)),INDEX('영상 근거'!$F$7:$F$166,MATCH($A53&amp;"-K",'영상 근거'!$A$7:$A$166,0))),"카카오 거리뷰")</x:f>
        <x:v>HYPERLINK is not implemented. linkLocation=https://map.kakao.com/?panoid=1202969685&amp;pan=327.1&amp;zoom=0&amp;map_type=TYPE_MAP&amp;map_attribute=ROADVIEW&amp;urlX=483129.0&amp;urlY=1081335.0, friendlyName=카카오 거리뷰</x:v>
      </x:c>
      <x:c r="AK53" s="105" t="e">
        <x:f>HYPERLINK("#'영상 근거'!A"&amp;(MATCH($A53&amp;"-N",'영상 근거'!$A$7:$A$166,0)+6),"두 영상 기록")</x:f>
        <x:v>HYPERLINK is not implemented. linkLocation=#'영상 근거'!A99, friendlyName=두 영상 기록</x:v>
      </x:c>
      <x:c r="AL53" s="106"/>
      <x:c r="AM53" s="106"/>
      <x:c r="AN53" s="67" t="str">
        <x:f>IF(COUNTIFS('영상 근거'!$B$7:$B$166,$A53,'영상 근거'!$H$7:$H$166,"pass")+COUNTIFS('영상 근거'!$B$7:$B$166,$A53,'영상 근거'!$H$7:$H$166,"block")+COUNTIFS('영상 근거'!$B$7:$B$166,$A53,'영상 근거'!$H$7:$H$166,"unknown")&lt;2,"미입력",IF(COUNTIFS('영상 근거'!$B$7:$B$166,$A53,'영상 근거'!$H$7:$H$166,"pass")=2,"pass 일치",IF(COUNTIFS('영상 근거'!$B$7:$B$166,$A53,'영상 근거'!$H$7:$H$166,"block")=2,"block 일치",IF(COUNTIFS('영상 근거'!$B$7:$B$166,$A53,'영상 근거'!$H$7:$H$166,"unknown")=2,"모두 unknown",IF(AND(COUNTIFS('영상 근거'!$B$7:$B$166,$A53,'영상 근거'!$H$7:$H$166,"pass")=1,COUNTIFS('영상 근거'!$B$7:$B$166,$A53,'영상 근거'!$H$7:$H$166,"block")=1),"불일치","한쪽 unknown")))))</x:f>
        <x:v>미입력</x:v>
      </x:c>
      <x:c r="AO53" s="67" t="str">
        <x:f>IF(COUNTIFS('영상 근거'!$B$7:$B$166,$A53,'영상 근거'!$K$7:$K$166,"pass")+COUNTIFS('영상 근거'!$B$7:$B$166,$A53,'영상 근거'!$K$7:$K$166,"block")+COUNTIFS('영상 근거'!$B$7:$B$166,$A53,'영상 근거'!$K$7:$K$166,"unknown")&lt;2,"미입력",IF(COUNTIFS('영상 근거'!$B$7:$B$166,$A53,'영상 근거'!$K$7:$K$166,"pass")=2,"pass 일치",IF(COUNTIFS('영상 근거'!$B$7:$B$166,$A53,'영상 근거'!$K$7:$K$166,"block")=2,"block 일치",IF(COUNTIFS('영상 근거'!$B$7:$B$166,$A53,'영상 근거'!$K$7:$K$166,"unknown")=2,"모두 unknown",IF(AND(COUNTIFS('영상 근거'!$B$7:$B$166,$A53,'영상 근거'!$K$7:$K$166,"pass")=1,COUNTIFS('영상 근거'!$B$7:$B$166,$A53,'영상 근거'!$K$7:$K$166,"block")=1),"불일치","한쪽 unknown")))))</x:f>
        <x:v>미입력</x:v>
      </x:c>
      <x:c r="AP53" s="106"/>
      <x:c r="AQ53" s="106"/>
      <x:c r="AR53" s="109" t="str">
        <x:v>통과 가능 후보</x:v>
      </x:c>
      <x:c r="AS53" s="109" t="str">
        <x:v>안내시설 양호 후보</x:v>
      </x:c>
      <x:c r="AT53" s="109" t="str">
        <x:v>보정 비대상</x:v>
      </x:c>
      <x:c r="AU53" s="162" t="str">
        <x:v>AI candidate</x:v>
      </x:c>
      <x:c r="AV53" s="162" t="str">
        <x:v>N</x:v>
      </x:c>
      <x:c r="AW53" s="206" t="str">
        <x:v>사람검수 대기</x:v>
      </x:c>
    </x:row>
    <x:row r="54" ht="34" customHeight="1">
      <x:c r="A54" s="28" t="str">
        <x:v>CW24-B</x:v>
      </x:c>
      <x:c r="B54" s="28" t="str">
        <x:v>CW24</x:v>
      </x:c>
      <x:c r="C54" s="28" t="str">
        <x:v>2025085028</x:v>
      </x:c>
      <x:c r="D54" s="28" t="str">
        <x:v>B</x:v>
      </x:c>
      <x:c r="E54" s="48" t="n">
        <x:v>37.392087123498314</x:v>
      </x:c>
      <x:c r="F54" s="48" t="n">
        <x:v>126.92372492219503</x:v>
      </x:c>
      <x:c r="G54" s="28" t="str">
        <x:v>public_explicit_present</x:v>
      </x:c>
      <x:c r="H54" s="28" t="str">
        <x:v>있음</x:v>
      </x:c>
      <x:c r="I54" s="28" t="str">
        <x:v>있음</x:v>
      </x:c>
      <x:c r="J54" s="28" t="str">
        <x:v>provisional_high</x:v>
      </x:c>
      <x:c r="K54" s="30" t="n">
        <x:v>14.39</x:v>
      </x:c>
      <x:c r="L54" s="28" t="str">
        <x:v>N</x:v>
      </x:c>
      <x:c r="M54" s="33" t="str">
        <x:f>IF(S54="","pending_1st_review",IF(L54="Y",IF(Z54="","pending_2nd_review",IF(S54=Z54,"reviewed_agree",IF(AB54="","needs_adjudication","adjudicated"))),"reviewed_once"))</x:f>
        <x:v>pending_1st_review</x:v>
      </x:c>
      <x:c r="N54" s="46" t="str"/>
      <x:c r="O54" s="53" t="str"/>
      <x:c r="P54" s="46" t="str"/>
      <x:c r="Q54" s="46" t="str"/>
      <x:c r="R54" s="46" t="str"/>
      <x:c r="S54" s="46" t="str"/>
      <x:c r="T54" s="46" t="str"/>
      <x:c r="U54" s="46" t="str"/>
      <x:c r="V54" s="53" t="str"/>
      <x:c r="W54" s="46" t="str"/>
      <x:c r="X54" s="46" t="str"/>
      <x:c r="Y54" s="46" t="str"/>
      <x:c r="Z54" s="46" t="str"/>
      <x:c r="AA54" s="46" t="str"/>
      <x:c r="AB54" s="46" t="str"/>
      <x:c r="AC54" s="46" t="str">
        <x:v>visibility_review_needed</x:v>
      </x:c>
      <x:c r="AD54" s="51" t="n">
        <x:v>0.52</x:v>
      </x:c>
      <x:c r="AE54" s="46" t="str"/>
      <x:c r="AF54" s="53" t="str">
        <x:v>2025-11-17 11:58:26</x:v>
      </x:c>
      <x:c r="AG54" s="28" t="str">
        <x:v>https://map.kakao.com/link/roadview/37.3920871,126.9237249</x:v>
      </x:c>
      <x:c r="AH54" s="28" t="str">
        <x:v>asset_level_inherited_not_endpoint_verified</x:v>
      </x:c>
      <x:c r="AI54" s="105" t="e">
        <x:f>HYPERLINK(IF(INDEX('영상 근거'!$F$7:$F$166,MATCH($A54&amp;"-N",'영상 근거'!$A$7:$A$166,0))=0,INDEX('영상 근거'!$Q$7:$Q$166,MATCH($A54&amp;"-N",'영상 근거'!$A$7:$A$166,0)),INDEX('영상 근거'!$F$7:$F$166,MATCH($A54&amp;"-N",'영상 근거'!$A$7:$A$166,0))),IF(INDEX('영상 근거'!$F$7:$F$166,MATCH($A54&amp;"-N",'영상 근거'!$A$7:$A$166,0))=0,"네이버 위치","네이버 거리뷰"))</x:f>
        <x:v>HYPERLINK is not implemented. linkLocation=https://map.naver.com/p/entry/coordinates/3zfnX3,2AEJgj?c=15.00,0,0,0,dh, friendlyName=네이버 위치</x:v>
      </x:c>
      <x:c r="AJ54" s="105" t="e">
        <x:f>HYPERLINK(IF(INDEX('영상 근거'!$F$7:$F$166,MATCH($A54&amp;"-K",'영상 근거'!$A$7:$A$166,0))=0,INDEX('영상 근거'!$Q$7:$Q$166,MATCH($A54&amp;"-K",'영상 근거'!$A$7:$A$166,0)),INDEX('영상 근거'!$F$7:$F$166,MATCH($A54&amp;"-K",'영상 근거'!$A$7:$A$166,0))),"카카오 거리뷰")</x:f>
        <x:v>HYPERLINK is not implemented. linkLocation=https://map.kakao.com/?panoid=1202969685&amp;pan=327.1&amp;zoom=0&amp;map_type=TYPE_MAP&amp;map_attribute=ROADVIEW&amp;urlX=483129.0&amp;urlY=1081335.0, friendlyName=카카오 거리뷰</x:v>
      </x:c>
      <x:c r="AK54" s="105" t="e">
        <x:f>HYPERLINK("#'영상 근거'!A"&amp;(MATCH($A54&amp;"-N",'영상 근거'!$A$7:$A$166,0)+6),"두 영상 기록")</x:f>
        <x:v>HYPERLINK is not implemented. linkLocation=#'영상 근거'!A101, friendlyName=두 영상 기록</x:v>
      </x:c>
      <x:c r="AL54" s="106"/>
      <x:c r="AM54" s="106"/>
      <x:c r="AN54" s="67" t="str">
        <x:f>IF(COUNTIFS('영상 근거'!$B$7:$B$166,$A54,'영상 근거'!$H$7:$H$166,"pass")+COUNTIFS('영상 근거'!$B$7:$B$166,$A54,'영상 근거'!$H$7:$H$166,"block")+COUNTIFS('영상 근거'!$B$7:$B$166,$A54,'영상 근거'!$H$7:$H$166,"unknown")&lt;2,"미입력",IF(COUNTIFS('영상 근거'!$B$7:$B$166,$A54,'영상 근거'!$H$7:$H$166,"pass")=2,"pass 일치",IF(COUNTIFS('영상 근거'!$B$7:$B$166,$A54,'영상 근거'!$H$7:$H$166,"block")=2,"block 일치",IF(COUNTIFS('영상 근거'!$B$7:$B$166,$A54,'영상 근거'!$H$7:$H$166,"unknown")=2,"모두 unknown",IF(AND(COUNTIFS('영상 근거'!$B$7:$B$166,$A54,'영상 근거'!$H$7:$H$166,"pass")=1,COUNTIFS('영상 근거'!$B$7:$B$166,$A54,'영상 근거'!$H$7:$H$166,"block")=1),"불일치","한쪽 unknown")))))</x:f>
        <x:v>미입력</x:v>
      </x:c>
      <x:c r="AO54" s="67" t="str">
        <x:f>IF(COUNTIFS('영상 근거'!$B$7:$B$166,$A54,'영상 근거'!$K$7:$K$166,"pass")+COUNTIFS('영상 근거'!$B$7:$B$166,$A54,'영상 근거'!$K$7:$K$166,"block")+COUNTIFS('영상 근거'!$B$7:$B$166,$A54,'영상 근거'!$K$7:$K$166,"unknown")&lt;2,"미입력",IF(COUNTIFS('영상 근거'!$B$7:$B$166,$A54,'영상 근거'!$K$7:$K$166,"pass")=2,"pass 일치",IF(COUNTIFS('영상 근거'!$B$7:$B$166,$A54,'영상 근거'!$K$7:$K$166,"block")=2,"block 일치",IF(COUNTIFS('영상 근거'!$B$7:$B$166,$A54,'영상 근거'!$K$7:$K$166,"unknown")=2,"모두 unknown",IF(AND(COUNTIFS('영상 근거'!$B$7:$B$166,$A54,'영상 근거'!$K$7:$K$166,"pass")=1,COUNTIFS('영상 근거'!$B$7:$B$166,$A54,'영상 근거'!$K$7:$K$166,"block")=1),"불일치","한쪽 unknown")))))</x:f>
        <x:v>미입력</x:v>
      </x:c>
      <x:c r="AP54" s="106"/>
      <x:c r="AQ54" s="106"/>
      <x:c r="AR54" s="109" t="str">
        <x:v>시야 부족·판독보류</x:v>
      </x:c>
      <x:c r="AS54" s="109" t="str">
        <x:v>시야 부족·판독보류</x:v>
      </x:c>
      <x:c r="AT54" s="109" t="str">
        <x:v>보정 비대상</x:v>
      </x:c>
      <x:c r="AU54" s="162" t="str">
        <x:v>AI candidate</x:v>
      </x:c>
      <x:c r="AV54" s="162" t="str">
        <x:v>N</x:v>
      </x:c>
      <x:c r="AW54" s="206" t="str">
        <x:v>사람검수 대기</x:v>
      </x:c>
    </x:row>
    <x:row r="55" ht="34" customHeight="1">
      <x:c r="A55" s="28" t="str">
        <x:v>CW25-A</x:v>
      </x:c>
      <x:c r="B55" s="28" t="str">
        <x:v>CW25</x:v>
      </x:c>
      <x:c r="C55" s="28" t="str">
        <x:v>2025085030</x:v>
      </x:c>
      <x:c r="D55" s="28" t="str">
        <x:v>A</x:v>
      </x:c>
      <x:c r="E55" s="48" t="n">
        <x:v>37.3919801552276</x:v>
      </x:c>
      <x:c r="F55" s="48" t="n">
        <x:v>126.9237435785561</x:v>
      </x:c>
      <x:c r="G55" s="28" t="str">
        <x:v>public_explicit_present</x:v>
      </x:c>
      <x:c r="H55" s="28" t="str">
        <x:v>있음</x:v>
      </x:c>
      <x:c r="I55" s="28" t="str">
        <x:v>있음</x:v>
      </x:c>
      <x:c r="J55" s="28" t="str">
        <x:v>provisional_high</x:v>
      </x:c>
      <x:c r="K55" s="30" t="n">
        <x:v>4.39</x:v>
      </x:c>
      <x:c r="L55" s="28" t="str">
        <x:v>Y</x:v>
      </x:c>
      <x:c r="M55" s="33" t="str">
        <x:f>IF(S55="","pending_1st_review",IF(L55="Y",IF(Z55="","pending_2nd_review",IF(S55=Z55,"reviewed_agree",IF(AB55="","needs_adjudication","adjudicated"))),"reviewed_once"))</x:f>
        <x:v>pending_1st_review</x:v>
      </x:c>
      <x:c r="N55" s="46" t="str"/>
      <x:c r="O55" s="53" t="str"/>
      <x:c r="P55" s="46" t="str"/>
      <x:c r="Q55" s="46" t="str"/>
      <x:c r="R55" s="46" t="str"/>
      <x:c r="S55" s="46" t="str"/>
      <x:c r="T55" s="46" t="str"/>
      <x:c r="U55" s="46" t="str"/>
      <x:c r="V55" s="53" t="str"/>
      <x:c r="W55" s="46" t="str"/>
      <x:c r="X55" s="46" t="str"/>
      <x:c r="Y55" s="46" t="str"/>
      <x:c r="Z55" s="46" t="str"/>
      <x:c r="AA55" s="46" t="str"/>
      <x:c r="AB55" s="46" t="str"/>
      <x:c r="AC55" s="46" t="str">
        <x:v>likely_accessible_candidate</x:v>
      </x:c>
      <x:c r="AD55" s="51" t="n">
        <x:v>0.82</x:v>
      </x:c>
      <x:c r="AE55" s="46" t="str"/>
      <x:c r="AF55" s="53" t="str">
        <x:v>2025-11-17 11:58:25</x:v>
      </x:c>
      <x:c r="AG55" s="28" t="str">
        <x:v>https://map.kakao.com/link/roadview/37.3919802,126.9237436</x:v>
      </x:c>
      <x:c r="AH55" s="28" t="str">
        <x:v>asset_level_inherited_not_endpoint_verified</x:v>
      </x:c>
      <x:c r="AI55" s="105" t="e">
        <x:f>HYPERLINK(IF(INDEX('영상 근거'!$F$7:$F$166,MATCH($A55&amp;"-N",'영상 근거'!$A$7:$A$166,0))=0,INDEX('영상 근거'!$Q$7:$Q$166,MATCH($A55&amp;"-N",'영상 근거'!$A$7:$A$166,0)),INDEX('영상 근거'!$F$7:$F$166,MATCH($A55&amp;"-N",'영상 근거'!$A$7:$A$166,0))),IF(INDEX('영상 근거'!$F$7:$F$166,MATCH($A55&amp;"-N",'영상 근거'!$A$7:$A$166,0))=0,"네이버 위치","네이버 거리뷰"))</x:f>
        <x:v>HYPERLINK is not implemented. linkLocation=https://map.naver.com/p/entry/coordinates/3zfo04,2AEIZ4?c=15.00,0,0,0,dh, friendlyName=네이버 위치</x:v>
      </x:c>
      <x:c r="AJ55" s="105" t="e">
        <x:f>HYPERLINK(IF(INDEX('영상 근거'!$F$7:$F$166,MATCH($A55&amp;"-K",'영상 근거'!$A$7:$A$166,0))=0,INDEX('영상 근거'!$Q$7:$Q$166,MATCH($A55&amp;"-K",'영상 근거'!$A$7:$A$166,0)),INDEX('영상 근거'!$F$7:$F$166,MATCH($A55&amp;"-K",'영상 근거'!$A$7:$A$166,0))),"카카오 거리뷰")</x:f>
        <x:v>HYPERLINK is not implemented. linkLocation=https://map.kakao.com/?panoid=1202969684&amp;pan=326.9&amp;zoom=0&amp;map_type=TYPE_MAP&amp;map_attribute=ROADVIEW&amp;urlX=483142.0&amp;urlY=1081314.0, friendlyName=카카오 거리뷰</x:v>
      </x:c>
      <x:c r="AK55" s="105" t="e">
        <x:f>HYPERLINK("#'영상 근거'!A"&amp;(MATCH($A55&amp;"-N",'영상 근거'!$A$7:$A$166,0)+6),"두 영상 기록")</x:f>
        <x:v>HYPERLINK is not implemented. linkLocation=#'영상 근거'!A103, friendlyName=두 영상 기록</x:v>
      </x:c>
      <x:c r="AL55" s="106"/>
      <x:c r="AM55" s="106"/>
      <x:c r="AN55" s="67" t="str">
        <x:f>IF(COUNTIFS('영상 근거'!$B$7:$B$166,$A55,'영상 근거'!$H$7:$H$166,"pass")+COUNTIFS('영상 근거'!$B$7:$B$166,$A55,'영상 근거'!$H$7:$H$166,"block")+COUNTIFS('영상 근거'!$B$7:$B$166,$A55,'영상 근거'!$H$7:$H$166,"unknown")&lt;2,"미입력",IF(COUNTIFS('영상 근거'!$B$7:$B$166,$A55,'영상 근거'!$H$7:$H$166,"pass")=2,"pass 일치",IF(COUNTIFS('영상 근거'!$B$7:$B$166,$A55,'영상 근거'!$H$7:$H$166,"block")=2,"block 일치",IF(COUNTIFS('영상 근거'!$B$7:$B$166,$A55,'영상 근거'!$H$7:$H$166,"unknown")=2,"모두 unknown",IF(AND(COUNTIFS('영상 근거'!$B$7:$B$166,$A55,'영상 근거'!$H$7:$H$166,"pass")=1,COUNTIFS('영상 근거'!$B$7:$B$166,$A55,'영상 근거'!$H$7:$H$166,"block")=1),"불일치","한쪽 unknown")))))</x:f>
        <x:v>미입력</x:v>
      </x:c>
      <x:c r="AO55" s="67" t="str">
        <x:f>IF(COUNTIFS('영상 근거'!$B$7:$B$166,$A55,'영상 근거'!$K$7:$K$166,"pass")+COUNTIFS('영상 근거'!$B$7:$B$166,$A55,'영상 근거'!$K$7:$K$166,"block")+COUNTIFS('영상 근거'!$B$7:$B$166,$A55,'영상 근거'!$K$7:$K$166,"unknown")&lt;2,"미입력",IF(COUNTIFS('영상 근거'!$B$7:$B$166,$A55,'영상 근거'!$K$7:$K$166,"pass")=2,"pass 일치",IF(COUNTIFS('영상 근거'!$B$7:$B$166,$A55,'영상 근거'!$K$7:$K$166,"block")=2,"block 일치",IF(COUNTIFS('영상 근거'!$B$7:$B$166,$A55,'영상 근거'!$K$7:$K$166,"unknown")=2,"모두 unknown",IF(AND(COUNTIFS('영상 근거'!$B$7:$B$166,$A55,'영상 근거'!$K$7:$K$166,"pass")=1,COUNTIFS('영상 근거'!$B$7:$B$166,$A55,'영상 근거'!$K$7:$K$166,"block")=1),"불일치","한쪽 unknown")))))</x:f>
        <x:v>미입력</x:v>
      </x:c>
      <x:c r="AP55" s="106"/>
      <x:c r="AQ55" s="106"/>
      <x:c r="AR55" s="109" t="str">
        <x:v>통과 가능 후보</x:v>
      </x:c>
      <x:c r="AS55" s="109" t="str">
        <x:v>안내시설 양호 후보</x:v>
      </x:c>
      <x:c r="AT55" s="109" t="str">
        <x:v>보정 비대상</x:v>
      </x:c>
      <x:c r="AU55" s="162" t="str">
        <x:v>AI candidate</x:v>
      </x:c>
      <x:c r="AV55" s="162" t="str">
        <x:v>N</x:v>
      </x:c>
      <x:c r="AW55" s="206" t="str">
        <x:v>사람검수 대기</x:v>
      </x:c>
    </x:row>
    <x:row r="56" ht="34" customHeight="1">
      <x:c r="A56" s="28" t="str">
        <x:v>CW25-B</x:v>
      </x:c>
      <x:c r="B56" s="28" t="str">
        <x:v>CW25</x:v>
      </x:c>
      <x:c r="C56" s="28" t="str">
        <x:v>2025085030</x:v>
      </x:c>
      <x:c r="D56" s="28" t="str">
        <x:v>B</x:v>
      </x:c>
      <x:c r="E56" s="48" t="n">
        <x:v>37.3920609447724</x:v>
      </x:c>
      <x:c r="F56" s="48" t="n">
        <x:v>126.9238972214439</x:v>
      </x:c>
      <x:c r="G56" s="28" t="str">
        <x:v>public_explicit_present</x:v>
      </x:c>
      <x:c r="H56" s="28" t="str">
        <x:v>있음</x:v>
      </x:c>
      <x:c r="I56" s="28" t="str">
        <x:v>있음</x:v>
      </x:c>
      <x:c r="J56" s="28" t="str">
        <x:v>provisional_high</x:v>
      </x:c>
      <x:c r="K56" s="30" t="n">
        <x:v>4.39</x:v>
      </x:c>
      <x:c r="L56" s="28" t="str">
        <x:v>Y</x:v>
      </x:c>
      <x:c r="M56" s="33" t="str">
        <x:f>IF(S56="","pending_1st_review",IF(L56="Y",IF(Z56="","pending_2nd_review",IF(S56=Z56,"reviewed_agree",IF(AB56="","needs_adjudication","adjudicated"))),"reviewed_once"))</x:f>
        <x:v>pending_1st_review</x:v>
      </x:c>
      <x:c r="N56" s="46" t="str"/>
      <x:c r="O56" s="53" t="str"/>
      <x:c r="P56" s="46" t="str"/>
      <x:c r="Q56" s="46" t="str"/>
      <x:c r="R56" s="46" t="str"/>
      <x:c r="S56" s="46" t="str"/>
      <x:c r="T56" s="46" t="str"/>
      <x:c r="U56" s="46" t="str"/>
      <x:c r="V56" s="53" t="str"/>
      <x:c r="W56" s="46" t="str"/>
      <x:c r="X56" s="46" t="str"/>
      <x:c r="Y56" s="46" t="str"/>
      <x:c r="Z56" s="46" t="str"/>
      <x:c r="AA56" s="46" t="str"/>
      <x:c r="AB56" s="46" t="str"/>
      <x:c r="AC56" s="46" t="str">
        <x:v>likely_accessible_candidate</x:v>
      </x:c>
      <x:c r="AD56" s="51" t="n">
        <x:v>0.82</x:v>
      </x:c>
      <x:c r="AE56" s="46" t="str"/>
      <x:c r="AF56" s="53" t="str">
        <x:v>2025-11-17 11:58:25</x:v>
      </x:c>
      <x:c r="AG56" s="28" t="str">
        <x:v>https://map.kakao.com/link/roadview/37.3920609,126.9238972</x:v>
      </x:c>
      <x:c r="AH56" s="28" t="str">
        <x:v>asset_level_inherited_not_endpoint_verified</x:v>
      </x:c>
      <x:c r="AI56" s="105" t="e">
        <x:f>HYPERLINK(IF(INDEX('영상 근거'!$F$7:$F$166,MATCH($A56&amp;"-N",'영상 근거'!$A$7:$A$166,0))=0,INDEX('영상 근거'!$Q$7:$Q$166,MATCH($A56&amp;"-N",'영상 근거'!$A$7:$A$166,0)),INDEX('영상 근거'!$F$7:$F$166,MATCH($A56&amp;"-N",'영상 근거'!$A$7:$A$166,0))),IF(INDEX('영상 근거'!$F$7:$F$166,MATCH($A56&amp;"-N",'영상 근거'!$A$7:$A$166,0))=0,"네이버 위치","네이버 거리뷰"))</x:f>
        <x:v>HYPERLINK is not implemented. linkLocation=https://map.naver.com/p/entry/coordinates/3zfooQ,2AEJc5?c=15.00,0,0,0,dh, friendlyName=네이버 위치</x:v>
      </x:c>
      <x:c r="AJ56" s="105" t="e">
        <x:f>HYPERLINK(IF(INDEX('영상 근거'!$F$7:$F$166,MATCH($A56&amp;"-K",'영상 근거'!$A$7:$A$166,0))=0,INDEX('영상 근거'!$Q$7:$Q$166,MATCH($A56&amp;"-K",'영상 근거'!$A$7:$A$166,0)),INDEX('영상 근거'!$F$7:$F$166,MATCH($A56&amp;"-K",'영상 근거'!$A$7:$A$166,0))),"카카오 거리뷰")</x:f>
        <x:v>HYPERLINK is not implemented. linkLocation=https://map.kakao.com/?panoid=1202969684&amp;pan=326.9&amp;zoom=0&amp;map_type=TYPE_MAP&amp;map_attribute=ROADVIEW&amp;urlX=483142.0&amp;urlY=1081314.0, friendlyName=카카오 거리뷰</x:v>
      </x:c>
      <x:c r="AK56" s="105" t="e">
        <x:f>HYPERLINK("#'영상 근거'!A"&amp;(MATCH($A56&amp;"-N",'영상 근거'!$A$7:$A$166,0)+6),"두 영상 기록")</x:f>
        <x:v>HYPERLINK is not implemented. linkLocation=#'영상 근거'!A105, friendlyName=두 영상 기록</x:v>
      </x:c>
      <x:c r="AL56" s="106"/>
      <x:c r="AM56" s="106"/>
      <x:c r="AN56" s="67" t="str">
        <x:f>IF(COUNTIFS('영상 근거'!$B$7:$B$166,$A56,'영상 근거'!$H$7:$H$166,"pass")+COUNTIFS('영상 근거'!$B$7:$B$166,$A56,'영상 근거'!$H$7:$H$166,"block")+COUNTIFS('영상 근거'!$B$7:$B$166,$A56,'영상 근거'!$H$7:$H$166,"unknown")&lt;2,"미입력",IF(COUNTIFS('영상 근거'!$B$7:$B$166,$A56,'영상 근거'!$H$7:$H$166,"pass")=2,"pass 일치",IF(COUNTIFS('영상 근거'!$B$7:$B$166,$A56,'영상 근거'!$H$7:$H$166,"block")=2,"block 일치",IF(COUNTIFS('영상 근거'!$B$7:$B$166,$A56,'영상 근거'!$H$7:$H$166,"unknown")=2,"모두 unknown",IF(AND(COUNTIFS('영상 근거'!$B$7:$B$166,$A56,'영상 근거'!$H$7:$H$166,"pass")=1,COUNTIFS('영상 근거'!$B$7:$B$166,$A56,'영상 근거'!$H$7:$H$166,"block")=1),"불일치","한쪽 unknown")))))</x:f>
        <x:v>미입력</x:v>
      </x:c>
      <x:c r="AO56" s="67" t="str">
        <x:f>IF(COUNTIFS('영상 근거'!$B$7:$B$166,$A56,'영상 근거'!$K$7:$K$166,"pass")+COUNTIFS('영상 근거'!$B$7:$B$166,$A56,'영상 근거'!$K$7:$K$166,"block")+COUNTIFS('영상 근거'!$B$7:$B$166,$A56,'영상 근거'!$K$7:$K$166,"unknown")&lt;2,"미입력",IF(COUNTIFS('영상 근거'!$B$7:$B$166,$A56,'영상 근거'!$K$7:$K$166,"pass")=2,"pass 일치",IF(COUNTIFS('영상 근거'!$B$7:$B$166,$A56,'영상 근거'!$K$7:$K$166,"block")=2,"block 일치",IF(COUNTIFS('영상 근거'!$B$7:$B$166,$A56,'영상 근거'!$K$7:$K$166,"unknown")=2,"모두 unknown",IF(AND(COUNTIFS('영상 근거'!$B$7:$B$166,$A56,'영상 근거'!$K$7:$K$166,"pass")=1,COUNTIFS('영상 근거'!$B$7:$B$166,$A56,'영상 근거'!$K$7:$K$166,"block")=1),"불일치","한쪽 unknown")))))</x:f>
        <x:v>미입력</x:v>
      </x:c>
      <x:c r="AP56" s="106"/>
      <x:c r="AQ56" s="106"/>
      <x:c r="AR56" s="109" t="str">
        <x:v>통과 가능 후보</x:v>
      </x:c>
      <x:c r="AS56" s="109" t="str">
        <x:v>안내시설 양호 후보</x:v>
      </x:c>
      <x:c r="AT56" s="109" t="str">
        <x:v>보정 비대상</x:v>
      </x:c>
      <x:c r="AU56" s="162" t="str">
        <x:v>AI candidate</x:v>
      </x:c>
      <x:c r="AV56" s="162" t="str">
        <x:v>N</x:v>
      </x:c>
      <x:c r="AW56" s="206" t="str">
        <x:v>사람검수 대기</x:v>
      </x:c>
    </x:row>
    <x:row r="57" ht="34" customHeight="1">
      <x:c r="A57" s="28" t="str">
        <x:v>CW26-A</x:v>
      </x:c>
      <x:c r="B57" s="28" t="str">
        <x:v>CW26</x:v>
      </x:c>
      <x:c r="C57" s="28" t="str">
        <x:v>2025085031</x:v>
      </x:c>
      <x:c r="D57" s="28" t="str">
        <x:v>A</x:v>
      </x:c>
      <x:c r="E57" s="48" t="n">
        <x:v>37.39130366285457</x:v>
      </x:c>
      <x:c r="F57" s="48" t="n">
        <x:v>126.9243625992532</x:v>
      </x:c>
      <x:c r="G57" s="28" t="str">
        <x:v>public_explicit_present</x:v>
      </x:c>
      <x:c r="H57" s="28" t="str">
        <x:v>있음</x:v>
      </x:c>
      <x:c r="I57" s="28" t="str">
        <x:v>있음</x:v>
      </x:c>
      <x:c r="J57" s="28" t="str">
        <x:v>provisional_high</x:v>
      </x:c>
      <x:c r="K57" s="30" t="n">
        <x:v>3.09</x:v>
      </x:c>
      <x:c r="L57" s="28" t="str">
        <x:v>N</x:v>
      </x:c>
      <x:c r="M57" s="33" t="str">
        <x:f>IF(S57="","pending_1st_review",IF(L57="Y",IF(Z57="","pending_2nd_review",IF(S57=Z57,"reviewed_agree",IF(AB57="","needs_adjudication","adjudicated"))),"reviewed_once"))</x:f>
        <x:v>pending_1st_review</x:v>
      </x:c>
      <x:c r="N57" s="46" t="str"/>
      <x:c r="O57" s="53" t="str"/>
      <x:c r="P57" s="46" t="str"/>
      <x:c r="Q57" s="46" t="str"/>
      <x:c r="R57" s="46" t="str"/>
      <x:c r="S57" s="46" t="str"/>
      <x:c r="T57" s="46" t="str"/>
      <x:c r="U57" s="46" t="str"/>
      <x:c r="V57" s="53" t="str"/>
      <x:c r="W57" s="46" t="str"/>
      <x:c r="X57" s="46" t="str"/>
      <x:c r="Y57" s="46" t="str"/>
      <x:c r="Z57" s="46" t="str"/>
      <x:c r="AA57" s="46" t="str"/>
      <x:c r="AB57" s="46" t="str"/>
      <x:c r="AC57" s="46" t="str">
        <x:v>likely_accessible_candidate</x:v>
      </x:c>
      <x:c r="AD57" s="51" t="n">
        <x:v>0.82</x:v>
      </x:c>
      <x:c r="AE57" s="46" t="str"/>
      <x:c r="AF57" s="53" t="str">
        <x:v>2025-11-17 11:57:37</x:v>
      </x:c>
      <x:c r="AG57" s="28" t="str">
        <x:v>https://map.kakao.com/link/roadview/37.3913037,126.9243626</x:v>
      </x:c>
      <x:c r="AH57" s="28" t="str">
        <x:v>asset_level_inherited_not_endpoint_verified</x:v>
      </x:c>
      <x:c r="AI57" s="105" t="e">
        <x:f>HYPERLINK(IF(INDEX('영상 근거'!$F$7:$F$166,MATCH($A57&amp;"-N",'영상 근거'!$A$7:$A$166,0))=0,INDEX('영상 근거'!$Q$7:$Q$166,MATCH($A57&amp;"-N",'영상 근거'!$A$7:$A$166,0)),INDEX('영상 근거'!$F$7:$F$166,MATCH($A57&amp;"-N",'영상 근거'!$A$7:$A$166,0))),IF(INDEX('영상 근거'!$F$7:$F$166,MATCH($A57&amp;"-N",'영상 근거'!$A$7:$A$166,0))=0,"네이버 위치","네이버 거리뷰"))</x:f>
        <x:v>HYPERLINK is not implemented. linkLocation=https://map.naver.com/p/entry/coordinates/3zfpBU,2AEHdX?c=15.00,0,0,0,dh, friendlyName=네이버 위치</x:v>
      </x:c>
      <x:c r="AJ57" s="105" t="e">
        <x:f>HYPERLINK(IF(INDEX('영상 근거'!$F$7:$F$166,MATCH($A57&amp;"-K",'영상 근거'!$A$7:$A$166,0))=0,INDEX('영상 근거'!$Q$7:$Q$166,MATCH($A57&amp;"-K",'영상 근거'!$A$7:$A$166,0)),INDEX('영상 근거'!$F$7:$F$166,MATCH($A57&amp;"-K",'영상 근거'!$A$7:$A$166,0))),"카카오 거리뷰")</x:f>
        <x:v>HYPERLINK is not implemented. linkLocation=https://map.kakao.com/?panoid=1202969675&amp;pan=326.8&amp;zoom=0&amp;map_type=TYPE_MAP&amp;map_attribute=ROADVIEW&amp;urlX=483266.0&amp;urlY=1081128.0, friendlyName=카카오 거리뷰</x:v>
      </x:c>
      <x:c r="AK57" s="105" t="e">
        <x:f>HYPERLINK("#'영상 근거'!A"&amp;(MATCH($A57&amp;"-N",'영상 근거'!$A$7:$A$166,0)+6),"두 영상 기록")</x:f>
        <x:v>HYPERLINK is not implemented. linkLocation=#'영상 근거'!A107, friendlyName=두 영상 기록</x:v>
      </x:c>
      <x:c r="AL57" s="106"/>
      <x:c r="AM57" s="106"/>
      <x:c r="AN57" s="67" t="str">
        <x:f>IF(COUNTIFS('영상 근거'!$B$7:$B$166,$A57,'영상 근거'!$H$7:$H$166,"pass")+COUNTIFS('영상 근거'!$B$7:$B$166,$A57,'영상 근거'!$H$7:$H$166,"block")+COUNTIFS('영상 근거'!$B$7:$B$166,$A57,'영상 근거'!$H$7:$H$166,"unknown")&lt;2,"미입력",IF(COUNTIFS('영상 근거'!$B$7:$B$166,$A57,'영상 근거'!$H$7:$H$166,"pass")=2,"pass 일치",IF(COUNTIFS('영상 근거'!$B$7:$B$166,$A57,'영상 근거'!$H$7:$H$166,"block")=2,"block 일치",IF(COUNTIFS('영상 근거'!$B$7:$B$166,$A57,'영상 근거'!$H$7:$H$166,"unknown")=2,"모두 unknown",IF(AND(COUNTIFS('영상 근거'!$B$7:$B$166,$A57,'영상 근거'!$H$7:$H$166,"pass")=1,COUNTIFS('영상 근거'!$B$7:$B$166,$A57,'영상 근거'!$H$7:$H$166,"block")=1),"불일치","한쪽 unknown")))))</x:f>
        <x:v>미입력</x:v>
      </x:c>
      <x:c r="AO57" s="67" t="str">
        <x:f>IF(COUNTIFS('영상 근거'!$B$7:$B$166,$A57,'영상 근거'!$K$7:$K$166,"pass")+COUNTIFS('영상 근거'!$B$7:$B$166,$A57,'영상 근거'!$K$7:$K$166,"block")+COUNTIFS('영상 근거'!$B$7:$B$166,$A57,'영상 근거'!$K$7:$K$166,"unknown")&lt;2,"미입력",IF(COUNTIFS('영상 근거'!$B$7:$B$166,$A57,'영상 근거'!$K$7:$K$166,"pass")=2,"pass 일치",IF(COUNTIFS('영상 근거'!$B$7:$B$166,$A57,'영상 근거'!$K$7:$K$166,"block")=2,"block 일치",IF(COUNTIFS('영상 근거'!$B$7:$B$166,$A57,'영상 근거'!$K$7:$K$166,"unknown")=2,"모두 unknown",IF(AND(COUNTIFS('영상 근거'!$B$7:$B$166,$A57,'영상 근거'!$K$7:$K$166,"pass")=1,COUNTIFS('영상 근거'!$B$7:$B$166,$A57,'영상 근거'!$K$7:$K$166,"block")=1),"불일치","한쪽 unknown")))))</x:f>
        <x:v>미입력</x:v>
      </x:c>
      <x:c r="AP57" s="106"/>
      <x:c r="AQ57" s="106"/>
      <x:c r="AR57" s="109" t="str">
        <x:v>통과 가능 후보</x:v>
      </x:c>
      <x:c r="AS57" s="109" t="str">
        <x:v>안내시설 양호 후보</x:v>
      </x:c>
      <x:c r="AT57" s="109" t="str">
        <x:v>보정 비대상</x:v>
      </x:c>
      <x:c r="AU57" s="162" t="str">
        <x:v>AI candidate</x:v>
      </x:c>
      <x:c r="AV57" s="162" t="str">
        <x:v>N</x:v>
      </x:c>
      <x:c r="AW57" s="206" t="str">
        <x:v>사람검수 대기</x:v>
      </x:c>
    </x:row>
    <x:row r="58" ht="34" customHeight="1">
      <x:c r="A58" s="28" t="str">
        <x:v>CW26-B</x:v>
      </x:c>
      <x:c r="B58" s="28" t="str">
        <x:v>CW26</x:v>
      </x:c>
      <x:c r="C58" s="28" t="str">
        <x:v>2025085031</x:v>
      </x:c>
      <x:c r="D58" s="28" t="str">
        <x:v>B</x:v>
      </x:c>
      <x:c r="E58" s="48" t="n">
        <x:v>37.39135683714544</x:v>
      </x:c>
      <x:c r="F58" s="48" t="n">
        <x:v>126.92446840074679</x:v>
      </x:c>
      <x:c r="G58" s="28" t="str">
        <x:v>public_explicit_present</x:v>
      </x:c>
      <x:c r="H58" s="28" t="str">
        <x:v>있음</x:v>
      </x:c>
      <x:c r="I58" s="28" t="str">
        <x:v>있음</x:v>
      </x:c>
      <x:c r="J58" s="28" t="str">
        <x:v>provisional_high</x:v>
      </x:c>
      <x:c r="K58" s="30" t="n">
        <x:v>3.09</x:v>
      </x:c>
      <x:c r="L58" s="28" t="str">
        <x:v>N</x:v>
      </x:c>
      <x:c r="M58" s="33" t="str">
        <x:f>IF(S58="","pending_1st_review",IF(L58="Y",IF(Z58="","pending_2nd_review",IF(S58=Z58,"reviewed_agree",IF(AB58="","needs_adjudication","adjudicated"))),"reviewed_once"))</x:f>
        <x:v>pending_1st_review</x:v>
      </x:c>
      <x:c r="N58" s="46" t="str"/>
      <x:c r="O58" s="53" t="str"/>
      <x:c r="P58" s="46" t="str"/>
      <x:c r="Q58" s="46" t="str"/>
      <x:c r="R58" s="46" t="str"/>
      <x:c r="S58" s="46" t="str"/>
      <x:c r="T58" s="46" t="str"/>
      <x:c r="U58" s="46" t="str"/>
      <x:c r="V58" s="53" t="str"/>
      <x:c r="W58" s="46" t="str"/>
      <x:c r="X58" s="46" t="str"/>
      <x:c r="Y58" s="46" t="str"/>
      <x:c r="Z58" s="46" t="str"/>
      <x:c r="AA58" s="46" t="str"/>
      <x:c r="AB58" s="46" t="str"/>
      <x:c r="AC58" s="46" t="str">
        <x:v>geometry_mismatch_candidate</x:v>
      </x:c>
      <x:c r="AD58" s="51" t="n">
        <x:v>0.58</x:v>
      </x:c>
      <x:c r="AE58" s="46" t="str"/>
      <x:c r="AF58" s="53" t="str">
        <x:v>2025-11-17 11:57:37</x:v>
      </x:c>
      <x:c r="AG58" s="28" t="str">
        <x:v>https://map.kakao.com/link/roadview/37.3913568,126.9244684</x:v>
      </x:c>
      <x:c r="AH58" s="28" t="str">
        <x:v>asset_level_inherited_not_endpoint_verified</x:v>
      </x:c>
      <x:c r="AI58" s="105" t="e">
        <x:f>HYPERLINK(IF(INDEX('영상 근거'!$F$7:$F$166,MATCH($A58&amp;"-N",'영상 근거'!$A$7:$A$166,0))=0,INDEX('영상 근거'!$Q$7:$Q$166,MATCH($A58&amp;"-N",'영상 근거'!$A$7:$A$166,0)),INDEX('영상 근거'!$F$7:$F$166,MATCH($A58&amp;"-N",'영상 근거'!$A$7:$A$166,0))),IF(INDEX('영상 근거'!$F$7:$F$166,MATCH($A58&amp;"-N",'영상 근거'!$A$7:$A$166,0))=0,"네이버 위치","네이버 거리뷰"))</x:f>
        <x:v>HYPERLINK is not implemented. linkLocation=https://map.naver.com/p/entry/coordinates/3zfpSY,2AEHmw?c=15.00,0,0,0,dh, friendlyName=네이버 위치</x:v>
      </x:c>
      <x:c r="AJ58" s="105" t="e">
        <x:f>HYPERLINK(IF(INDEX('영상 근거'!$F$7:$F$166,MATCH($A58&amp;"-K",'영상 근거'!$A$7:$A$166,0))=0,INDEX('영상 근거'!$Q$7:$Q$166,MATCH($A58&amp;"-K",'영상 근거'!$A$7:$A$166,0)),INDEX('영상 근거'!$F$7:$F$166,MATCH($A58&amp;"-K",'영상 근거'!$A$7:$A$166,0))),"카카오 거리뷰")</x:f>
        <x:v>HYPERLINK is not implemented. linkLocation=https://map.kakao.com/?panoid=1202969675&amp;pan=326.8&amp;zoom=0&amp;map_type=TYPE_MAP&amp;map_attribute=ROADVIEW&amp;urlX=483266.0&amp;urlY=1081128.0, friendlyName=카카오 거리뷰</x:v>
      </x:c>
      <x:c r="AK58" s="105" t="e">
        <x:f>HYPERLINK("#'영상 근거'!A"&amp;(MATCH($A58&amp;"-N",'영상 근거'!$A$7:$A$166,0)+6),"두 영상 기록")</x:f>
        <x:v>HYPERLINK is not implemented. linkLocation=#'영상 근거'!A109, friendlyName=두 영상 기록</x:v>
      </x:c>
      <x:c r="AL58" s="106"/>
      <x:c r="AM58" s="106"/>
      <x:c r="AN58" s="67" t="str">
        <x:f>IF(COUNTIFS('영상 근거'!$B$7:$B$166,$A58,'영상 근거'!$H$7:$H$166,"pass")+COUNTIFS('영상 근거'!$B$7:$B$166,$A58,'영상 근거'!$H$7:$H$166,"block")+COUNTIFS('영상 근거'!$B$7:$B$166,$A58,'영상 근거'!$H$7:$H$166,"unknown")&lt;2,"미입력",IF(COUNTIFS('영상 근거'!$B$7:$B$166,$A58,'영상 근거'!$H$7:$H$166,"pass")=2,"pass 일치",IF(COUNTIFS('영상 근거'!$B$7:$B$166,$A58,'영상 근거'!$H$7:$H$166,"block")=2,"block 일치",IF(COUNTIFS('영상 근거'!$B$7:$B$166,$A58,'영상 근거'!$H$7:$H$166,"unknown")=2,"모두 unknown",IF(AND(COUNTIFS('영상 근거'!$B$7:$B$166,$A58,'영상 근거'!$H$7:$H$166,"pass")=1,COUNTIFS('영상 근거'!$B$7:$B$166,$A58,'영상 근거'!$H$7:$H$166,"block")=1),"불일치","한쪽 unknown")))))</x:f>
        <x:v>미입력</x:v>
      </x:c>
      <x:c r="AO58" s="67" t="str">
        <x:f>IF(COUNTIFS('영상 근거'!$B$7:$B$166,$A58,'영상 근거'!$K$7:$K$166,"pass")+COUNTIFS('영상 근거'!$B$7:$B$166,$A58,'영상 근거'!$K$7:$K$166,"block")+COUNTIFS('영상 근거'!$B$7:$B$166,$A58,'영상 근거'!$K$7:$K$166,"unknown")&lt;2,"미입력",IF(COUNTIFS('영상 근거'!$B$7:$B$166,$A58,'영상 근거'!$K$7:$K$166,"pass")=2,"pass 일치",IF(COUNTIFS('영상 근거'!$B$7:$B$166,$A58,'영상 근거'!$K$7:$K$166,"block")=2,"block 일치",IF(COUNTIFS('영상 근거'!$B$7:$B$166,$A58,'영상 근거'!$K$7:$K$166,"unknown")=2,"모두 unknown",IF(AND(COUNTIFS('영상 근거'!$B$7:$B$166,$A58,'영상 근거'!$K$7:$K$166,"pass")=1,COUNTIFS('영상 근거'!$B$7:$B$166,$A58,'영상 근거'!$K$7:$K$166,"block")=1),"불일치","한쪽 unknown")))))</x:f>
        <x:v>미입력</x:v>
      </x:c>
      <x:c r="AP58" s="106"/>
      <x:c r="AQ58" s="106"/>
      <x:c r="AR58" s="109" t="str">
        <x:v>위치 불일치·판독보류</x:v>
      </x:c>
      <x:c r="AS58" s="109" t="str">
        <x:v>위치 불일치·판독보류</x:v>
      </x:c>
      <x:c r="AT58" s="109" t="str">
        <x:v>보정 필요</x:v>
      </x:c>
      <x:c r="AU58" s="162" t="str">
        <x:v>AI candidate</x:v>
      </x:c>
      <x:c r="AV58" s="162" t="str">
        <x:v>N</x:v>
      </x:c>
      <x:c r="AW58" s="206" t="str">
        <x:v>사람검수 대기</x:v>
      </x:c>
    </x:row>
    <x:row r="59" ht="34" customHeight="1">
      <x:c r="A59" s="28" t="str">
        <x:v>CW27-A</x:v>
      </x:c>
      <x:c r="B59" s="28" t="str">
        <x:v>CW27</x:v>
      </x:c>
      <x:c r="C59" s="28" t="str">
        <x:v>2025085009</x:v>
      </x:c>
      <x:c r="D59" s="28" t="str">
        <x:v>A</x:v>
      </x:c>
      <x:c r="E59" s="48" t="n">
        <x:v>37.39045684884471</x:v>
      </x:c>
      <x:c r="F59" s="48" t="n">
        <x:v>126.92505581204853</x:v>
      </x:c>
      <x:c r="G59" s="28" t="str">
        <x:v>public_explicit_present</x:v>
      </x:c>
      <x:c r="H59" s="28" t="str">
        <x:v>있음</x:v>
      </x:c>
      <x:c r="I59" s="28" t="str">
        <x:v>있음</x:v>
      </x:c>
      <x:c r="J59" s="28" t="str">
        <x:v>provisional_high</x:v>
      </x:c>
      <x:c r="K59" s="30" t="n">
        <x:v>2.77</x:v>
      </x:c>
      <x:c r="L59" s="28" t="str">
        <x:v>Y</x:v>
      </x:c>
      <x:c r="M59" s="33" t="str">
        <x:f>IF(S59="","pending_1st_review",IF(L59="Y",IF(Z59="","pending_2nd_review",IF(S59=Z59,"reviewed_agree",IF(AB59="","needs_adjudication","adjudicated"))),"reviewed_once"))</x:f>
        <x:v>pending_1st_review</x:v>
      </x:c>
      <x:c r="N59" s="46" t="str"/>
      <x:c r="O59" s="53" t="str"/>
      <x:c r="P59" s="46" t="str"/>
      <x:c r="Q59" s="46" t="str"/>
      <x:c r="R59" s="46" t="str"/>
      <x:c r="S59" s="46" t="str"/>
      <x:c r="T59" s="46" t="str"/>
      <x:c r="U59" s="46" t="str"/>
      <x:c r="V59" s="53" t="str"/>
      <x:c r="W59" s="46" t="str"/>
      <x:c r="X59" s="46" t="str"/>
      <x:c r="Y59" s="46" t="str"/>
      <x:c r="Z59" s="46" t="str"/>
      <x:c r="AA59" s="46" t="str"/>
      <x:c r="AB59" s="46" t="str"/>
      <x:c r="AC59" s="46" t="str">
        <x:v>likely_accessible_candidate</x:v>
      </x:c>
      <x:c r="AD59" s="51" t="n">
        <x:v>0.82</x:v>
      </x:c>
      <x:c r="AE59" s="46" t="str"/>
      <x:c r="AF59" s="53" t="str">
        <x:v>2025-11-17 11:57:25</x:v>
      </x:c>
      <x:c r="AG59" s="28" t="str">
        <x:v>https://map.kakao.com/link/roadview/37.3904568,126.9250558</x:v>
      </x:c>
      <x:c r="AH59" s="28" t="str">
        <x:v>asset_level_inherited_not_endpoint_verified</x:v>
      </x:c>
      <x:c r="AI59" s="105" t="e">
        <x:f>HYPERLINK(IF(INDEX('영상 근거'!$F$7:$F$166,MATCH($A59&amp;"-N",'영상 근거'!$A$7:$A$166,0))=0,INDEX('영상 근거'!$Q$7:$Q$166,MATCH($A59&amp;"-N",'영상 근거'!$A$7:$A$166,0)),INDEX('영상 근거'!$F$7:$F$166,MATCH($A59&amp;"-N",'영상 근거'!$A$7:$A$166,0))),IF(INDEX('영상 근거'!$F$7:$F$166,MATCH($A59&amp;"-N",'영상 근거'!$A$7:$A$166,0))=0,"네이버 위치","네이버 거리뷰"))</x:f>
        <x:v>HYPERLINK is not implemented. linkLocation=https://map.naver.com/p/entry/coordinates/3zfrpI,2AEF1m?c=15.00,0,0,0,dh, friendlyName=네이버 위치</x:v>
      </x:c>
      <x:c r="AJ59" s="105" t="e">
        <x:f>HYPERLINK(IF(INDEX('영상 근거'!$F$7:$F$166,MATCH($A59&amp;"-K",'영상 근거'!$A$7:$A$166,0))=0,INDEX('영상 근거'!$Q$7:$Q$166,MATCH($A59&amp;"-K",'영상 근거'!$A$7:$A$166,0)),INDEX('영상 근거'!$F$7:$F$166,MATCH($A59&amp;"-K",'영상 근거'!$A$7:$A$166,0))),"카카오 거리뷰")</x:f>
        <x:v>HYPERLINK is not implemented. linkLocation=https://map.kakao.com/?panoid=1202969663&amp;pan=328.0&amp;zoom=0&amp;map_type=TYPE_MAP&amp;map_attribute=ROADVIEW&amp;urlX=483430.0&amp;urlY=1080878.0, friendlyName=카카오 거리뷰</x:v>
      </x:c>
      <x:c r="AK59" s="105" t="e">
        <x:f>HYPERLINK("#'영상 근거'!A"&amp;(MATCH($A59&amp;"-N",'영상 근거'!$A$7:$A$166,0)+6),"두 영상 기록")</x:f>
        <x:v>HYPERLINK is not implemented. linkLocation=#'영상 근거'!A111, friendlyName=두 영상 기록</x:v>
      </x:c>
      <x:c r="AL59" s="106"/>
      <x:c r="AM59" s="106"/>
      <x:c r="AN59" s="67" t="str">
        <x:f>IF(COUNTIFS('영상 근거'!$B$7:$B$166,$A59,'영상 근거'!$H$7:$H$166,"pass")+COUNTIFS('영상 근거'!$B$7:$B$166,$A59,'영상 근거'!$H$7:$H$166,"block")+COUNTIFS('영상 근거'!$B$7:$B$166,$A59,'영상 근거'!$H$7:$H$166,"unknown")&lt;2,"미입력",IF(COUNTIFS('영상 근거'!$B$7:$B$166,$A59,'영상 근거'!$H$7:$H$166,"pass")=2,"pass 일치",IF(COUNTIFS('영상 근거'!$B$7:$B$166,$A59,'영상 근거'!$H$7:$H$166,"block")=2,"block 일치",IF(COUNTIFS('영상 근거'!$B$7:$B$166,$A59,'영상 근거'!$H$7:$H$166,"unknown")=2,"모두 unknown",IF(AND(COUNTIFS('영상 근거'!$B$7:$B$166,$A59,'영상 근거'!$H$7:$H$166,"pass")=1,COUNTIFS('영상 근거'!$B$7:$B$166,$A59,'영상 근거'!$H$7:$H$166,"block")=1),"불일치","한쪽 unknown")))))</x:f>
        <x:v>미입력</x:v>
      </x:c>
      <x:c r="AO59" s="67" t="str">
        <x:f>IF(COUNTIFS('영상 근거'!$B$7:$B$166,$A59,'영상 근거'!$K$7:$K$166,"pass")+COUNTIFS('영상 근거'!$B$7:$B$166,$A59,'영상 근거'!$K$7:$K$166,"block")+COUNTIFS('영상 근거'!$B$7:$B$166,$A59,'영상 근거'!$K$7:$K$166,"unknown")&lt;2,"미입력",IF(COUNTIFS('영상 근거'!$B$7:$B$166,$A59,'영상 근거'!$K$7:$K$166,"pass")=2,"pass 일치",IF(COUNTIFS('영상 근거'!$B$7:$B$166,$A59,'영상 근거'!$K$7:$K$166,"block")=2,"block 일치",IF(COUNTIFS('영상 근거'!$B$7:$B$166,$A59,'영상 근거'!$K$7:$K$166,"unknown")=2,"모두 unknown",IF(AND(COUNTIFS('영상 근거'!$B$7:$B$166,$A59,'영상 근거'!$K$7:$K$166,"pass")=1,COUNTIFS('영상 근거'!$B$7:$B$166,$A59,'영상 근거'!$K$7:$K$166,"block")=1),"불일치","한쪽 unknown")))))</x:f>
        <x:v>미입력</x:v>
      </x:c>
      <x:c r="AP59" s="106"/>
      <x:c r="AQ59" s="106"/>
      <x:c r="AR59" s="109" t="str">
        <x:v>통과 가능 후보</x:v>
      </x:c>
      <x:c r="AS59" s="109" t="str">
        <x:v>안내시설 양호 후보</x:v>
      </x:c>
      <x:c r="AT59" s="109" t="str">
        <x:v>보정 비대상</x:v>
      </x:c>
      <x:c r="AU59" s="162" t="str">
        <x:v>AI candidate</x:v>
      </x:c>
      <x:c r="AV59" s="162" t="str">
        <x:v>N</x:v>
      </x:c>
      <x:c r="AW59" s="206" t="str">
        <x:v>사람검수 대기</x:v>
      </x:c>
    </x:row>
    <x:row r="60" ht="34" customHeight="1">
      <x:c r="A60" s="28" t="str">
        <x:v>CW27-B</x:v>
      </x:c>
      <x:c r="B60" s="28" t="str">
        <x:v>CW27</x:v>
      </x:c>
      <x:c r="C60" s="28" t="str">
        <x:v>2025085009</x:v>
      </x:c>
      <x:c r="D60" s="28" t="str">
        <x:v>B</x:v>
      </x:c>
      <x:c r="E60" s="48" t="n">
        <x:v>37.390526071155286</x:v>
      </x:c>
      <x:c r="F60" s="48" t="n">
        <x:v>126.92518498795148</x:v>
      </x:c>
      <x:c r="G60" s="28" t="str">
        <x:v>public_explicit_present</x:v>
      </x:c>
      <x:c r="H60" s="28" t="str">
        <x:v>있음</x:v>
      </x:c>
      <x:c r="I60" s="28" t="str">
        <x:v>있음</x:v>
      </x:c>
      <x:c r="J60" s="28" t="str">
        <x:v>provisional_high</x:v>
      </x:c>
      <x:c r="K60" s="30" t="n">
        <x:v>2.77</x:v>
      </x:c>
      <x:c r="L60" s="28" t="str">
        <x:v>Y</x:v>
      </x:c>
      <x:c r="M60" s="33" t="str">
        <x:f>IF(S60="","pending_1st_review",IF(L60="Y",IF(Z60="","pending_2nd_review",IF(S60=Z60,"reviewed_agree",IF(AB60="","needs_adjudication","adjudicated"))),"reviewed_once"))</x:f>
        <x:v>pending_1st_review</x:v>
      </x:c>
      <x:c r="N60" s="46" t="str"/>
      <x:c r="O60" s="53" t="str"/>
      <x:c r="P60" s="46" t="str"/>
      <x:c r="Q60" s="46" t="str"/>
      <x:c r="R60" s="46" t="str"/>
      <x:c r="S60" s="46" t="str"/>
      <x:c r="T60" s="46" t="str"/>
      <x:c r="U60" s="46" t="str"/>
      <x:c r="V60" s="53" t="str"/>
      <x:c r="W60" s="46" t="str"/>
      <x:c r="X60" s="46" t="str"/>
      <x:c r="Y60" s="46" t="str"/>
      <x:c r="Z60" s="46" t="str"/>
      <x:c r="AA60" s="46" t="str"/>
      <x:c r="AB60" s="46" t="str"/>
      <x:c r="AC60" s="46" t="str">
        <x:v>occlusion_review_needed</x:v>
      </x:c>
      <x:c r="AD60" s="51" t="n">
        <x:v>0.52</x:v>
      </x:c>
      <x:c r="AE60" s="46" t="str"/>
      <x:c r="AF60" s="53" t="str">
        <x:v>2025-11-17 11:57:25</x:v>
      </x:c>
      <x:c r="AG60" s="28" t="str">
        <x:v>https://map.kakao.com/link/roadview/37.3905261,126.9251850</x:v>
      </x:c>
      <x:c r="AH60" s="28" t="str">
        <x:v>asset_level_inherited_not_endpoint_verified</x:v>
      </x:c>
      <x:c r="AI60" s="105" t="e">
        <x:f>HYPERLINK(IF(INDEX('영상 근거'!$F$7:$F$166,MATCH($A60&amp;"-N",'영상 근거'!$A$7:$A$166,0))=0,INDEX('영상 근거'!$Q$7:$Q$166,MATCH($A60&amp;"-N",'영상 근거'!$A$7:$A$166,0)),INDEX('영상 근거'!$F$7:$F$166,MATCH($A60&amp;"-N",'영상 근거'!$A$7:$A$166,0))),IF(INDEX('영상 근거'!$F$7:$F$166,MATCH($A60&amp;"-N",'영상 근거'!$A$7:$A$166,0))=0,"네이버 위치","네이버 거리뷰"))</x:f>
        <x:v>HYPERLINK is not implemented. linkLocation=https://map.naver.com/p/entry/coordinates/3zfrKy,2AEFcx?c=15.00,0,0,0,dh, friendlyName=네이버 위치</x:v>
      </x:c>
      <x:c r="AJ60" s="105" t="e">
        <x:f>HYPERLINK(IF(INDEX('영상 근거'!$F$7:$F$166,MATCH($A60&amp;"-K",'영상 근거'!$A$7:$A$166,0))=0,INDEX('영상 근거'!$Q$7:$Q$166,MATCH($A60&amp;"-K",'영상 근거'!$A$7:$A$166,0)),INDEX('영상 근거'!$F$7:$F$166,MATCH($A60&amp;"-K",'영상 근거'!$A$7:$A$166,0))),"카카오 거리뷰")</x:f>
        <x:v>HYPERLINK is not implemented. linkLocation=https://map.kakao.com/?panoid=1202969663&amp;pan=328.0&amp;zoom=0&amp;map_type=TYPE_MAP&amp;map_attribute=ROADVIEW&amp;urlX=483430.0&amp;urlY=1080878.0, friendlyName=카카오 거리뷰</x:v>
      </x:c>
      <x:c r="AK60" s="105" t="e">
        <x:f>HYPERLINK("#'영상 근거'!A"&amp;(MATCH($A60&amp;"-N",'영상 근거'!$A$7:$A$166,0)+6),"두 영상 기록")</x:f>
        <x:v>HYPERLINK is not implemented. linkLocation=#'영상 근거'!A113, friendlyName=두 영상 기록</x:v>
      </x:c>
      <x:c r="AL60" s="106"/>
      <x:c r="AM60" s="106"/>
      <x:c r="AN60" s="67" t="str">
        <x:f>IF(COUNTIFS('영상 근거'!$B$7:$B$166,$A60,'영상 근거'!$H$7:$H$166,"pass")+COUNTIFS('영상 근거'!$B$7:$B$166,$A60,'영상 근거'!$H$7:$H$166,"block")+COUNTIFS('영상 근거'!$B$7:$B$166,$A60,'영상 근거'!$H$7:$H$166,"unknown")&lt;2,"미입력",IF(COUNTIFS('영상 근거'!$B$7:$B$166,$A60,'영상 근거'!$H$7:$H$166,"pass")=2,"pass 일치",IF(COUNTIFS('영상 근거'!$B$7:$B$166,$A60,'영상 근거'!$H$7:$H$166,"block")=2,"block 일치",IF(COUNTIFS('영상 근거'!$B$7:$B$166,$A60,'영상 근거'!$H$7:$H$166,"unknown")=2,"모두 unknown",IF(AND(COUNTIFS('영상 근거'!$B$7:$B$166,$A60,'영상 근거'!$H$7:$H$166,"pass")=1,COUNTIFS('영상 근거'!$B$7:$B$166,$A60,'영상 근거'!$H$7:$H$166,"block")=1),"불일치","한쪽 unknown")))))</x:f>
        <x:v>미입력</x:v>
      </x:c>
      <x:c r="AO60" s="67" t="str">
        <x:f>IF(COUNTIFS('영상 근거'!$B$7:$B$166,$A60,'영상 근거'!$K$7:$K$166,"pass")+COUNTIFS('영상 근거'!$B$7:$B$166,$A60,'영상 근거'!$K$7:$K$166,"block")+COUNTIFS('영상 근거'!$B$7:$B$166,$A60,'영상 근거'!$K$7:$K$166,"unknown")&lt;2,"미입력",IF(COUNTIFS('영상 근거'!$B$7:$B$166,$A60,'영상 근거'!$K$7:$K$166,"pass")=2,"pass 일치",IF(COUNTIFS('영상 근거'!$B$7:$B$166,$A60,'영상 근거'!$K$7:$K$166,"block")=2,"block 일치",IF(COUNTIFS('영상 근거'!$B$7:$B$166,$A60,'영상 근거'!$K$7:$K$166,"unknown")=2,"모두 unknown",IF(AND(COUNTIFS('영상 근거'!$B$7:$B$166,$A60,'영상 근거'!$K$7:$K$166,"pass")=1,COUNTIFS('영상 근거'!$B$7:$B$166,$A60,'영상 근거'!$K$7:$K$166,"block")=1),"불일치","한쪽 unknown")))))</x:f>
        <x:v>미입력</x:v>
      </x:c>
      <x:c r="AP60" s="106"/>
      <x:c r="AQ60" s="106"/>
      <x:c r="AR60" s="109" t="str">
        <x:v>가림·판독보류</x:v>
      </x:c>
      <x:c r="AS60" s="109" t="str">
        <x:v>가림·판독보류</x:v>
      </x:c>
      <x:c r="AT60" s="109" t="str">
        <x:v>보정 비대상</x:v>
      </x:c>
      <x:c r="AU60" s="162" t="str">
        <x:v>AI candidate</x:v>
      </x:c>
      <x:c r="AV60" s="162" t="str">
        <x:v>N</x:v>
      </x:c>
      <x:c r="AW60" s="206" t="str">
        <x:v>사람검수 대기</x:v>
      </x:c>
    </x:row>
    <x:row r="61" ht="34" customHeight="1">
      <x:c r="A61" s="28" t="str">
        <x:v>CW28-A</x:v>
      </x:c>
      <x:c r="B61" s="28" t="str">
        <x:v>CW28</x:v>
      </x:c>
      <x:c r="C61" s="28" t="str">
        <x:v>2025085010</x:v>
      </x:c>
      <x:c r="D61" s="28" t="str">
        <x:v>A</x:v>
      </x:c>
      <x:c r="E61" s="48" t="n">
        <x:v>37.39040313736469</x:v>
      </x:c>
      <x:c r="F61" s="48" t="n">
        <x:v>126.92534644316888</x:v>
      </x:c>
      <x:c r="G61" s="28" t="str">
        <x:v>public_explicit_present</x:v>
      </x:c>
      <x:c r="H61" s="28" t="str">
        <x:v>있음</x:v>
      </x:c>
      <x:c r="I61" s="28" t="str">
        <x:v>있음</x:v>
      </x:c>
      <x:c r="J61" s="28" t="str">
        <x:v>provisional_high</x:v>
      </x:c>
      <x:c r="K61" s="30" t="n">
        <x:v>1.26</x:v>
      </x:c>
      <x:c r="L61" s="28" t="str">
        <x:v>N</x:v>
      </x:c>
      <x:c r="M61" s="33" t="str">
        <x:f>IF(S61="","pending_1st_review",IF(L61="Y",IF(Z61="","pending_2nd_review",IF(S61=Z61,"reviewed_agree",IF(AB61="","needs_adjudication","adjudicated"))),"reviewed_once"))</x:f>
        <x:v>pending_1st_review</x:v>
      </x:c>
      <x:c r="N61" s="46" t="str"/>
      <x:c r="O61" s="53" t="str"/>
      <x:c r="P61" s="46" t="str"/>
      <x:c r="Q61" s="46" t="str"/>
      <x:c r="R61" s="46" t="str"/>
      <x:c r="S61" s="46" t="str"/>
      <x:c r="T61" s="46" t="str"/>
      <x:c r="U61" s="46" t="str"/>
      <x:c r="V61" s="53" t="str"/>
      <x:c r="W61" s="46" t="str"/>
      <x:c r="X61" s="46" t="str"/>
      <x:c r="Y61" s="46" t="str"/>
      <x:c r="Z61" s="46" t="str"/>
      <x:c r="AA61" s="46" t="str"/>
      <x:c r="AB61" s="46" t="str"/>
      <x:c r="AC61" s="46" t="str">
        <x:v>visibility_review_needed</x:v>
      </x:c>
      <x:c r="AD61" s="51" t="n">
        <x:v>0.52</x:v>
      </x:c>
      <x:c r="AE61" s="46" t="str"/>
      <x:c r="AF61" s="53" t="str">
        <x:v>2025-11-17 13:29:46</x:v>
      </x:c>
      <x:c r="AG61" s="28" t="str">
        <x:v>https://map.kakao.com/link/roadview/37.3904031,126.9253464</x:v>
      </x:c>
      <x:c r="AH61" s="28" t="str">
        <x:v>asset_level_inherited_not_endpoint_verified</x:v>
      </x:c>
      <x:c r="AI61" s="105" t="e">
        <x:f>HYPERLINK(IF(INDEX('영상 근거'!$F$7:$F$166,MATCH($A61&amp;"-N",'영상 근거'!$A$7:$A$166,0))=0,INDEX('영상 근거'!$Q$7:$Q$166,MATCH($A61&amp;"-N",'영상 근거'!$A$7:$A$166,0)),INDEX('영상 근거'!$F$7:$F$166,MATCH($A61&amp;"-N",'영상 근거'!$A$7:$A$166,0))),IF(INDEX('영상 근거'!$F$7:$F$166,MATCH($A61&amp;"-N",'영상 근거'!$A$7:$A$166,0))=0,"네이버 위치","네이버 거리뷰"))</x:f>
        <x:v>HYPERLINK is not implemented. linkLocation=https://map.naver.com/p/entry/coordinates/3zfsaA,2AEESH?c=15.00,0,0,0,dh, friendlyName=네이버 위치</x:v>
      </x:c>
      <x:c r="AJ61" s="105" t="e">
        <x:f>HYPERLINK(IF(INDEX('영상 근거'!$F$7:$F$166,MATCH($A61&amp;"-K",'영상 근거'!$A$7:$A$166,0))=0,INDEX('영상 근거'!$Q$7:$Q$166,MATCH($A61&amp;"-K",'영상 근거'!$A$7:$A$166,0)),INDEX('영상 근거'!$F$7:$F$166,MATCH($A61&amp;"-K",'영상 근거'!$A$7:$A$166,0))),"카카오 거리뷰")</x:f>
        <x:v>HYPERLINK is not implemented. linkLocation=https://map.kakao.com/?panoid=1202970288&amp;pan=58.4&amp;zoom=0&amp;map_type=TYPE_MAP&amp;map_attribute=ROADVIEW&amp;urlX=483475.0&amp;urlY=1080867.0, friendlyName=카카오 거리뷰</x:v>
      </x:c>
      <x:c r="AK61" s="105" t="e">
        <x:f>HYPERLINK("#'영상 근거'!A"&amp;(MATCH($A61&amp;"-N",'영상 근거'!$A$7:$A$166,0)+6),"두 영상 기록")</x:f>
        <x:v>HYPERLINK is not implemented. linkLocation=#'영상 근거'!A115, friendlyName=두 영상 기록</x:v>
      </x:c>
      <x:c r="AL61" s="106"/>
      <x:c r="AM61" s="106"/>
      <x:c r="AN61" s="67" t="str">
        <x:f>IF(COUNTIFS('영상 근거'!$B$7:$B$166,$A61,'영상 근거'!$H$7:$H$166,"pass")+COUNTIFS('영상 근거'!$B$7:$B$166,$A61,'영상 근거'!$H$7:$H$166,"block")+COUNTIFS('영상 근거'!$B$7:$B$166,$A61,'영상 근거'!$H$7:$H$166,"unknown")&lt;2,"미입력",IF(COUNTIFS('영상 근거'!$B$7:$B$166,$A61,'영상 근거'!$H$7:$H$166,"pass")=2,"pass 일치",IF(COUNTIFS('영상 근거'!$B$7:$B$166,$A61,'영상 근거'!$H$7:$H$166,"block")=2,"block 일치",IF(COUNTIFS('영상 근거'!$B$7:$B$166,$A61,'영상 근거'!$H$7:$H$166,"unknown")=2,"모두 unknown",IF(AND(COUNTIFS('영상 근거'!$B$7:$B$166,$A61,'영상 근거'!$H$7:$H$166,"pass")=1,COUNTIFS('영상 근거'!$B$7:$B$166,$A61,'영상 근거'!$H$7:$H$166,"block")=1),"불일치","한쪽 unknown")))))</x:f>
        <x:v>미입력</x:v>
      </x:c>
      <x:c r="AO61" s="67" t="str">
        <x:f>IF(COUNTIFS('영상 근거'!$B$7:$B$166,$A61,'영상 근거'!$K$7:$K$166,"pass")+COUNTIFS('영상 근거'!$B$7:$B$166,$A61,'영상 근거'!$K$7:$K$166,"block")+COUNTIFS('영상 근거'!$B$7:$B$166,$A61,'영상 근거'!$K$7:$K$166,"unknown")&lt;2,"미입력",IF(COUNTIFS('영상 근거'!$B$7:$B$166,$A61,'영상 근거'!$K$7:$K$166,"pass")=2,"pass 일치",IF(COUNTIFS('영상 근거'!$B$7:$B$166,$A61,'영상 근거'!$K$7:$K$166,"block")=2,"block 일치",IF(COUNTIFS('영상 근거'!$B$7:$B$166,$A61,'영상 근거'!$K$7:$K$166,"unknown")=2,"모두 unknown",IF(AND(COUNTIFS('영상 근거'!$B$7:$B$166,$A61,'영상 근거'!$K$7:$K$166,"pass")=1,COUNTIFS('영상 근거'!$B$7:$B$166,$A61,'영상 근거'!$K$7:$K$166,"block")=1),"불일치","한쪽 unknown")))))</x:f>
        <x:v>미입력</x:v>
      </x:c>
      <x:c r="AP61" s="106"/>
      <x:c r="AQ61" s="106"/>
      <x:c r="AR61" s="109" t="str">
        <x:v>시야 부족·판독보류</x:v>
      </x:c>
      <x:c r="AS61" s="109" t="str">
        <x:v>시야 부족·판독보류</x:v>
      </x:c>
      <x:c r="AT61" s="109" t="str">
        <x:v>보정 비대상</x:v>
      </x:c>
      <x:c r="AU61" s="162" t="str">
        <x:v>AI candidate</x:v>
      </x:c>
      <x:c r="AV61" s="162" t="str">
        <x:v>N</x:v>
      </x:c>
      <x:c r="AW61" s="206" t="str">
        <x:v>사람검수 대기</x:v>
      </x:c>
    </x:row>
    <x:row r="62" ht="34" customHeight="1">
      <x:c r="A62" s="28" t="str">
        <x:v>CW28-B</x:v>
      </x:c>
      <x:c r="B62" s="28" t="str">
        <x:v>CW28</x:v>
      </x:c>
      <x:c r="C62" s="28" t="str">
        <x:v>2025085010</x:v>
      </x:c>
      <x:c r="D62" s="28" t="str">
        <x:v>B</x:v>
      </x:c>
      <x:c r="E62" s="48" t="n">
        <x:v>37.390506262635306</x:v>
      </x:c>
      <x:c r="F62" s="48" t="n">
        <x:v>126.92526195683112</x:v>
      </x:c>
      <x:c r="G62" s="28" t="str">
        <x:v>public_explicit_present</x:v>
      </x:c>
      <x:c r="H62" s="28" t="str">
        <x:v>있음</x:v>
      </x:c>
      <x:c r="I62" s="28" t="str">
        <x:v>있음</x:v>
      </x:c>
      <x:c r="J62" s="28" t="str">
        <x:v>provisional_high</x:v>
      </x:c>
      <x:c r="K62" s="30" t="n">
        <x:v>1.26</x:v>
      </x:c>
      <x:c r="L62" s="28" t="str">
        <x:v>N</x:v>
      </x:c>
      <x:c r="M62" s="33" t="str">
        <x:f>IF(S62="","pending_1st_review",IF(L62="Y",IF(Z62="","pending_2nd_review",IF(S62=Z62,"reviewed_agree",IF(AB62="","needs_adjudication","adjudicated"))),"reviewed_once"))</x:f>
        <x:v>pending_1st_review</x:v>
      </x:c>
      <x:c r="N62" s="46" t="str"/>
      <x:c r="O62" s="53" t="str"/>
      <x:c r="P62" s="46" t="str"/>
      <x:c r="Q62" s="46" t="str"/>
      <x:c r="R62" s="46" t="str"/>
      <x:c r="S62" s="46" t="str"/>
      <x:c r="T62" s="46" t="str"/>
      <x:c r="U62" s="46" t="str"/>
      <x:c r="V62" s="53" t="str"/>
      <x:c r="W62" s="46" t="str"/>
      <x:c r="X62" s="46" t="str"/>
      <x:c r="Y62" s="46" t="str"/>
      <x:c r="Z62" s="46" t="str"/>
      <x:c r="AA62" s="46" t="str"/>
      <x:c r="AB62" s="46" t="str"/>
      <x:c r="AC62" s="46" t="str">
        <x:v>likely_accessible_candidate</x:v>
      </x:c>
      <x:c r="AD62" s="51" t="n">
        <x:v>0.82</x:v>
      </x:c>
      <x:c r="AE62" s="46" t="str"/>
      <x:c r="AF62" s="53" t="str">
        <x:v>2025-11-17 11:57:25</x:v>
      </x:c>
      <x:c r="AG62" s="28" t="str">
        <x:v>https://map.kakao.com/link/roadview/37.3905063,126.9252620</x:v>
      </x:c>
      <x:c r="AH62" s="28" t="str">
        <x:v>asset_level_inherited_not_endpoint_verified</x:v>
      </x:c>
      <x:c r="AI62" s="105" t="e">
        <x:f>HYPERLINK(IF(INDEX('영상 근거'!$F$7:$F$166,MATCH($A62&amp;"-N",'영상 근거'!$A$7:$A$166,0))=0,INDEX('영상 근거'!$Q$7:$Q$166,MATCH($A62&amp;"-N",'영상 근거'!$A$7:$A$166,0)),INDEX('영상 근거'!$F$7:$F$166,MATCH($A62&amp;"-N",'영상 근거'!$A$7:$A$166,0))),IF(INDEX('영상 근거'!$F$7:$F$166,MATCH($A62&amp;"-N",'영상 근거'!$A$7:$A$166,0))=0,"네이버 위치","네이버 거리뷰"))</x:f>
        <x:v>HYPERLINK is not implemented. linkLocation=https://map.naver.com/p/entry/coordinates/3zfrWY,2AEF9l?c=15.00,0,0,0,dh, friendlyName=네이버 위치</x:v>
      </x:c>
      <x:c r="AJ62" s="105" t="e">
        <x:f>HYPERLINK(IF(INDEX('영상 근거'!$F$7:$F$166,MATCH($A62&amp;"-K",'영상 근거'!$A$7:$A$166,0))=0,INDEX('영상 근거'!$Q$7:$Q$166,MATCH($A62&amp;"-K",'영상 근거'!$A$7:$A$166,0)),INDEX('영상 근거'!$F$7:$F$166,MATCH($A62&amp;"-K",'영상 근거'!$A$7:$A$166,0))),"카카오 거리뷰")</x:f>
        <x:v>HYPERLINK is not implemented. linkLocation=https://map.kakao.com/?panoid=1202969663&amp;pan=328.0&amp;zoom=0&amp;map_type=TYPE_MAP&amp;map_attribute=ROADVIEW&amp;urlX=483430.0&amp;urlY=1080878.0, friendlyName=카카오 거리뷰</x:v>
      </x:c>
      <x:c r="AK62" s="105" t="e">
        <x:f>HYPERLINK("#'영상 근거'!A"&amp;(MATCH($A62&amp;"-N",'영상 근거'!$A$7:$A$166,0)+6),"두 영상 기록")</x:f>
        <x:v>HYPERLINK is not implemented. linkLocation=#'영상 근거'!A117, friendlyName=두 영상 기록</x:v>
      </x:c>
      <x:c r="AL62" s="106"/>
      <x:c r="AM62" s="106"/>
      <x:c r="AN62" s="67" t="str">
        <x:f>IF(COUNTIFS('영상 근거'!$B$7:$B$166,$A62,'영상 근거'!$H$7:$H$166,"pass")+COUNTIFS('영상 근거'!$B$7:$B$166,$A62,'영상 근거'!$H$7:$H$166,"block")+COUNTIFS('영상 근거'!$B$7:$B$166,$A62,'영상 근거'!$H$7:$H$166,"unknown")&lt;2,"미입력",IF(COUNTIFS('영상 근거'!$B$7:$B$166,$A62,'영상 근거'!$H$7:$H$166,"pass")=2,"pass 일치",IF(COUNTIFS('영상 근거'!$B$7:$B$166,$A62,'영상 근거'!$H$7:$H$166,"block")=2,"block 일치",IF(COUNTIFS('영상 근거'!$B$7:$B$166,$A62,'영상 근거'!$H$7:$H$166,"unknown")=2,"모두 unknown",IF(AND(COUNTIFS('영상 근거'!$B$7:$B$166,$A62,'영상 근거'!$H$7:$H$166,"pass")=1,COUNTIFS('영상 근거'!$B$7:$B$166,$A62,'영상 근거'!$H$7:$H$166,"block")=1),"불일치","한쪽 unknown")))))</x:f>
        <x:v>미입력</x:v>
      </x:c>
      <x:c r="AO62" s="67" t="str">
        <x:f>IF(COUNTIFS('영상 근거'!$B$7:$B$166,$A62,'영상 근거'!$K$7:$K$166,"pass")+COUNTIFS('영상 근거'!$B$7:$B$166,$A62,'영상 근거'!$K$7:$K$166,"block")+COUNTIFS('영상 근거'!$B$7:$B$166,$A62,'영상 근거'!$K$7:$K$166,"unknown")&lt;2,"미입력",IF(COUNTIFS('영상 근거'!$B$7:$B$166,$A62,'영상 근거'!$K$7:$K$166,"pass")=2,"pass 일치",IF(COUNTIFS('영상 근거'!$B$7:$B$166,$A62,'영상 근거'!$K$7:$K$166,"block")=2,"block 일치",IF(COUNTIFS('영상 근거'!$B$7:$B$166,$A62,'영상 근거'!$K$7:$K$166,"unknown")=2,"모두 unknown",IF(AND(COUNTIFS('영상 근거'!$B$7:$B$166,$A62,'영상 근거'!$K$7:$K$166,"pass")=1,COUNTIFS('영상 근거'!$B$7:$B$166,$A62,'영상 근거'!$K$7:$K$166,"block")=1),"불일치","한쪽 unknown")))))</x:f>
        <x:v>미입력</x:v>
      </x:c>
      <x:c r="AP62" s="106"/>
      <x:c r="AQ62" s="106"/>
      <x:c r="AR62" s="109" t="str">
        <x:v>통과 가능 후보</x:v>
      </x:c>
      <x:c r="AS62" s="109" t="str">
        <x:v>안내시설 양호 후보</x:v>
      </x:c>
      <x:c r="AT62" s="109" t="str">
        <x:v>보정 비대상</x:v>
      </x:c>
      <x:c r="AU62" s="162" t="str">
        <x:v>AI candidate</x:v>
      </x:c>
      <x:c r="AV62" s="162" t="str">
        <x:v>N</x:v>
      </x:c>
      <x:c r="AW62" s="206" t="str">
        <x:v>사람검수 대기</x:v>
      </x:c>
    </x:row>
    <x:row r="63" ht="34" customHeight="1">
      <x:c r="A63" s="28" t="str">
        <x:v>CW29-A</x:v>
      </x:c>
      <x:c r="B63" s="28" t="str">
        <x:v>CW29</x:v>
      </x:c>
      <x:c r="C63" s="28" t="str">
        <x:v>2025085011</x:v>
      </x:c>
      <x:c r="D63" s="28" t="str">
        <x:v>A</x:v>
      </x:c>
      <x:c r="E63" s="48" t="n">
        <x:v>37.39031011408944</x:v>
      </x:c>
      <x:c r="F63" s="48" t="n">
        <x:v>126.92508866166824</x:v>
      </x:c>
      <x:c r="G63" s="28" t="str">
        <x:v>public_explicit_present</x:v>
      </x:c>
      <x:c r="H63" s="28" t="str">
        <x:v>있음</x:v>
      </x:c>
      <x:c r="I63" s="28" t="str">
        <x:v>있음</x:v>
      </x:c>
      <x:c r="J63" s="28" t="str">
        <x:v>provisional_high</x:v>
      </x:c>
      <x:c r="K63" s="30" t="n">
        <x:v>0.67</x:v>
      </x:c>
      <x:c r="L63" s="28" t="str">
        <x:v>Y</x:v>
      </x:c>
      <x:c r="M63" s="33" t="str">
        <x:f>IF(S63="","pending_1st_review",IF(L63="Y",IF(Z63="","pending_2nd_review",IF(S63=Z63,"reviewed_agree",IF(AB63="","needs_adjudication","adjudicated"))),"reviewed_once"))</x:f>
        <x:v>pending_1st_review</x:v>
      </x:c>
      <x:c r="N63" s="46" t="str"/>
      <x:c r="O63" s="53" t="str"/>
      <x:c r="P63" s="46" t="str"/>
      <x:c r="Q63" s="46" t="str"/>
      <x:c r="R63" s="46" t="str"/>
      <x:c r="S63" s="46" t="str"/>
      <x:c r="T63" s="46" t="str"/>
      <x:c r="U63" s="46" t="str"/>
      <x:c r="V63" s="53" t="str"/>
      <x:c r="W63" s="46" t="str"/>
      <x:c r="X63" s="46" t="str"/>
      <x:c r="Y63" s="46" t="str"/>
      <x:c r="Z63" s="46" t="str"/>
      <x:c r="AA63" s="46" t="str"/>
      <x:c r="AB63" s="46" t="str"/>
      <x:c r="AC63" s="46" t="str">
        <x:v>likely_accessible_candidate</x:v>
      </x:c>
      <x:c r="AD63" s="51" t="n">
        <x:v>0.82</x:v>
      </x:c>
      <x:c r="AE63" s="46" t="str"/>
      <x:c r="AF63" s="53" t="str">
        <x:v>2025-11-17 13:29:43</x:v>
      </x:c>
      <x:c r="AG63" s="28" t="str">
        <x:v>https://map.kakao.com/link/roadview/37.3903101,126.9250887</x:v>
      </x:c>
      <x:c r="AH63" s="28" t="str">
        <x:v>asset_level_inherited_not_endpoint_verified</x:v>
      </x:c>
      <x:c r="AI63" s="105" t="e">
        <x:f>HYPERLINK(IF(INDEX('영상 근거'!$F$7:$F$166,MATCH($A63&amp;"-N",'영상 근거'!$A$7:$A$166,0))=0,INDEX('영상 근거'!$Q$7:$Q$166,MATCH($A63&amp;"-N",'영상 근거'!$A$7:$A$166,0)),INDEX('영상 근거'!$F$7:$F$166,MATCH($A63&amp;"-N",'영상 근거'!$A$7:$A$166,0))),IF(INDEX('영상 근거'!$F$7:$F$166,MATCH($A63&amp;"-N",'영상 근거'!$A$7:$A$166,0))=0,"네이버 위치","네이버 거리뷰"))</x:f>
        <x:v>HYPERLINK is not implemented. linkLocation=https://map.naver.com/p/entry/coordinates/3zfrv1,2AEEDH?c=15.00,0,0,0,dh, friendlyName=네이버 위치</x:v>
      </x:c>
      <x:c r="AJ63" s="105" t="e">
        <x:f>HYPERLINK(IF(INDEX('영상 근거'!$F$7:$F$166,MATCH($A63&amp;"-K",'영상 근거'!$A$7:$A$166,0))=0,INDEX('영상 근거'!$Q$7:$Q$166,MATCH($A63&amp;"-K",'영상 근거'!$A$7:$A$166,0)),INDEX('영상 근거'!$F$7:$F$166,MATCH($A63&amp;"-K",'영상 근거'!$A$7:$A$166,0))),"카카오 거리뷰")</x:f>
        <x:v>HYPERLINK is not implemented. linkLocation=https://map.kakao.com/?panoid=1202970285&amp;pan=67.5&amp;zoom=0&amp;map_type=TYPE_MAP&amp;map_attribute=ROADVIEW&amp;urlX=483408.0&amp;urlY=1080836.0, friendlyName=카카오 거리뷰</x:v>
      </x:c>
      <x:c r="AK63" s="105" t="e">
        <x:f>HYPERLINK("#'영상 근거'!A"&amp;(MATCH($A63&amp;"-N",'영상 근거'!$A$7:$A$166,0)+6),"두 영상 기록")</x:f>
        <x:v>HYPERLINK is not implemented. linkLocation=#'영상 근거'!A119, friendlyName=두 영상 기록</x:v>
      </x:c>
      <x:c r="AL63" s="106"/>
      <x:c r="AM63" s="106"/>
      <x:c r="AN63" s="67" t="str">
        <x:f>IF(COUNTIFS('영상 근거'!$B$7:$B$166,$A63,'영상 근거'!$H$7:$H$166,"pass")+COUNTIFS('영상 근거'!$B$7:$B$166,$A63,'영상 근거'!$H$7:$H$166,"block")+COUNTIFS('영상 근거'!$B$7:$B$166,$A63,'영상 근거'!$H$7:$H$166,"unknown")&lt;2,"미입력",IF(COUNTIFS('영상 근거'!$B$7:$B$166,$A63,'영상 근거'!$H$7:$H$166,"pass")=2,"pass 일치",IF(COUNTIFS('영상 근거'!$B$7:$B$166,$A63,'영상 근거'!$H$7:$H$166,"block")=2,"block 일치",IF(COUNTIFS('영상 근거'!$B$7:$B$166,$A63,'영상 근거'!$H$7:$H$166,"unknown")=2,"모두 unknown",IF(AND(COUNTIFS('영상 근거'!$B$7:$B$166,$A63,'영상 근거'!$H$7:$H$166,"pass")=1,COUNTIFS('영상 근거'!$B$7:$B$166,$A63,'영상 근거'!$H$7:$H$166,"block")=1),"불일치","한쪽 unknown")))))</x:f>
        <x:v>미입력</x:v>
      </x:c>
      <x:c r="AO63" s="67" t="str">
        <x:f>IF(COUNTIFS('영상 근거'!$B$7:$B$166,$A63,'영상 근거'!$K$7:$K$166,"pass")+COUNTIFS('영상 근거'!$B$7:$B$166,$A63,'영상 근거'!$K$7:$K$166,"block")+COUNTIFS('영상 근거'!$B$7:$B$166,$A63,'영상 근거'!$K$7:$K$166,"unknown")&lt;2,"미입력",IF(COUNTIFS('영상 근거'!$B$7:$B$166,$A63,'영상 근거'!$K$7:$K$166,"pass")=2,"pass 일치",IF(COUNTIFS('영상 근거'!$B$7:$B$166,$A63,'영상 근거'!$K$7:$K$166,"block")=2,"block 일치",IF(COUNTIFS('영상 근거'!$B$7:$B$166,$A63,'영상 근거'!$K$7:$K$166,"unknown")=2,"모두 unknown",IF(AND(COUNTIFS('영상 근거'!$B$7:$B$166,$A63,'영상 근거'!$K$7:$K$166,"pass")=1,COUNTIFS('영상 근거'!$B$7:$B$166,$A63,'영상 근거'!$K$7:$K$166,"block")=1),"불일치","한쪽 unknown")))))</x:f>
        <x:v>미입력</x:v>
      </x:c>
      <x:c r="AP63" s="106"/>
      <x:c r="AQ63" s="106"/>
      <x:c r="AR63" s="109" t="str">
        <x:v>통과 가능 후보</x:v>
      </x:c>
      <x:c r="AS63" s="109" t="str">
        <x:v>안내시설 양호 후보</x:v>
      </x:c>
      <x:c r="AT63" s="109" t="str">
        <x:v>보정 비대상</x:v>
      </x:c>
      <x:c r="AU63" s="162" t="str">
        <x:v>AI candidate</x:v>
      </x:c>
      <x:c r="AV63" s="162" t="str">
        <x:v>N</x:v>
      </x:c>
      <x:c r="AW63" s="206" t="str">
        <x:v>사람검수 대기</x:v>
      </x:c>
    </x:row>
    <x:row r="64" ht="34" customHeight="1">
      <x:c r="A64" s="28" t="str">
        <x:v>CW29-B</x:v>
      </x:c>
      <x:c r="B64" s="28" t="str">
        <x:v>CW29</x:v>
      </x:c>
      <x:c r="C64" s="28" t="str">
        <x:v>2025085011</x:v>
      </x:c>
      <x:c r="D64" s="28" t="str">
        <x:v>B</x:v>
      </x:c>
      <x:c r="E64" s="48" t="n">
        <x:v>37.390403245910555</x:v>
      </x:c>
      <x:c r="F64" s="48" t="n">
        <x:v>126.92504233833175</x:v>
      </x:c>
      <x:c r="G64" s="28" t="str">
        <x:v>public_explicit_present</x:v>
      </x:c>
      <x:c r="H64" s="28" t="str">
        <x:v>있음</x:v>
      </x:c>
      <x:c r="I64" s="28" t="str">
        <x:v>있음</x:v>
      </x:c>
      <x:c r="J64" s="28" t="str">
        <x:v>provisional_high</x:v>
      </x:c>
      <x:c r="K64" s="30" t="n">
        <x:v>0.67</x:v>
      </x:c>
      <x:c r="L64" s="28" t="str">
        <x:v>Y</x:v>
      </x:c>
      <x:c r="M64" s="33" t="str">
        <x:f>IF(S64="","pending_1st_review",IF(L64="Y",IF(Z64="","pending_2nd_review",IF(S64=Z64,"reviewed_agree",IF(AB64="","needs_adjudication","adjudicated"))),"reviewed_once"))</x:f>
        <x:v>pending_1st_review</x:v>
      </x:c>
      <x:c r="N64" s="46" t="str"/>
      <x:c r="O64" s="53" t="str"/>
      <x:c r="P64" s="46" t="str"/>
      <x:c r="Q64" s="46" t="str"/>
      <x:c r="R64" s="46" t="str"/>
      <x:c r="S64" s="46" t="str"/>
      <x:c r="T64" s="46" t="str"/>
      <x:c r="U64" s="46" t="str"/>
      <x:c r="V64" s="53" t="str"/>
      <x:c r="W64" s="46" t="str"/>
      <x:c r="X64" s="46" t="str"/>
      <x:c r="Y64" s="46" t="str"/>
      <x:c r="Z64" s="46" t="str"/>
      <x:c r="AA64" s="46" t="str"/>
      <x:c r="AB64" s="46" t="str"/>
      <x:c r="AC64" s="46" t="str">
        <x:v>likely_accessible_candidate</x:v>
      </x:c>
      <x:c r="AD64" s="51" t="n">
        <x:v>0.82</x:v>
      </x:c>
      <x:c r="AE64" s="46" t="str"/>
      <x:c r="AF64" s="53" t="str">
        <x:v>2025-11-17 13:29:43</x:v>
      </x:c>
      <x:c r="AG64" s="28" t="str">
        <x:v>https://map.kakao.com/link/roadview/37.3904032,126.9250423</x:v>
      </x:c>
      <x:c r="AH64" s="28" t="str">
        <x:v>asset_level_inherited_not_endpoint_verified</x:v>
      </x:c>
      <x:c r="AI64" s="105" t="e">
        <x:f>HYPERLINK(IF(INDEX('영상 근거'!$F$7:$F$166,MATCH($A64&amp;"-N",'영상 근거'!$A$7:$A$166,0))=0,INDEX('영상 근거'!$Q$7:$Q$166,MATCH($A64&amp;"-N",'영상 근거'!$A$7:$A$166,0)),INDEX('영상 근거'!$F$7:$F$166,MATCH($A64&amp;"-N",'영상 근거'!$A$7:$A$166,0))),IF(INDEX('영상 근거'!$F$7:$F$166,MATCH($A64&amp;"-N",'영상 근거'!$A$7:$A$166,0))=0,"네이버 위치","네이버 거리뷰"))</x:f>
        <x:v>HYPERLINK is not implemented. linkLocation=https://map.naver.com/p/entry/coordinates/3zfrnx,2AEESI?c=15.00,0,0,0,dh, friendlyName=네이버 위치</x:v>
      </x:c>
      <x:c r="AJ64" s="105" t="e">
        <x:f>HYPERLINK(IF(INDEX('영상 근거'!$F$7:$F$166,MATCH($A64&amp;"-K",'영상 근거'!$A$7:$A$166,0))=0,INDEX('영상 근거'!$Q$7:$Q$166,MATCH($A64&amp;"-K",'영상 근거'!$A$7:$A$166,0)),INDEX('영상 근거'!$F$7:$F$166,MATCH($A64&amp;"-K",'영상 근거'!$A$7:$A$166,0))),"카카오 거리뷰")</x:f>
        <x:v>HYPERLINK is not implemented. linkLocation=https://map.kakao.com/?panoid=1202970285&amp;pan=67.5&amp;zoom=0&amp;map_type=TYPE_MAP&amp;map_attribute=ROADVIEW&amp;urlX=483408.0&amp;urlY=1080836.0, friendlyName=카카오 거리뷰</x:v>
      </x:c>
      <x:c r="AK64" s="105" t="e">
        <x:f>HYPERLINK("#'영상 근거'!A"&amp;(MATCH($A64&amp;"-N",'영상 근거'!$A$7:$A$166,0)+6),"두 영상 기록")</x:f>
        <x:v>HYPERLINK is not implemented. linkLocation=#'영상 근거'!A121, friendlyName=두 영상 기록</x:v>
      </x:c>
      <x:c r="AL64" s="106"/>
      <x:c r="AM64" s="106"/>
      <x:c r="AN64" s="67" t="str">
        <x:f>IF(COUNTIFS('영상 근거'!$B$7:$B$166,$A64,'영상 근거'!$H$7:$H$166,"pass")+COUNTIFS('영상 근거'!$B$7:$B$166,$A64,'영상 근거'!$H$7:$H$166,"block")+COUNTIFS('영상 근거'!$B$7:$B$166,$A64,'영상 근거'!$H$7:$H$166,"unknown")&lt;2,"미입력",IF(COUNTIFS('영상 근거'!$B$7:$B$166,$A64,'영상 근거'!$H$7:$H$166,"pass")=2,"pass 일치",IF(COUNTIFS('영상 근거'!$B$7:$B$166,$A64,'영상 근거'!$H$7:$H$166,"block")=2,"block 일치",IF(COUNTIFS('영상 근거'!$B$7:$B$166,$A64,'영상 근거'!$H$7:$H$166,"unknown")=2,"모두 unknown",IF(AND(COUNTIFS('영상 근거'!$B$7:$B$166,$A64,'영상 근거'!$H$7:$H$166,"pass")=1,COUNTIFS('영상 근거'!$B$7:$B$166,$A64,'영상 근거'!$H$7:$H$166,"block")=1),"불일치","한쪽 unknown")))))</x:f>
        <x:v>미입력</x:v>
      </x:c>
      <x:c r="AO64" s="67" t="str">
        <x:f>IF(COUNTIFS('영상 근거'!$B$7:$B$166,$A64,'영상 근거'!$K$7:$K$166,"pass")+COUNTIFS('영상 근거'!$B$7:$B$166,$A64,'영상 근거'!$K$7:$K$166,"block")+COUNTIFS('영상 근거'!$B$7:$B$166,$A64,'영상 근거'!$K$7:$K$166,"unknown")&lt;2,"미입력",IF(COUNTIFS('영상 근거'!$B$7:$B$166,$A64,'영상 근거'!$K$7:$K$166,"pass")=2,"pass 일치",IF(COUNTIFS('영상 근거'!$B$7:$B$166,$A64,'영상 근거'!$K$7:$K$166,"block")=2,"block 일치",IF(COUNTIFS('영상 근거'!$B$7:$B$166,$A64,'영상 근거'!$K$7:$K$166,"unknown")=2,"모두 unknown",IF(AND(COUNTIFS('영상 근거'!$B$7:$B$166,$A64,'영상 근거'!$K$7:$K$166,"pass")=1,COUNTIFS('영상 근거'!$B$7:$B$166,$A64,'영상 근거'!$K$7:$K$166,"block")=1),"불일치","한쪽 unknown")))))</x:f>
        <x:v>미입력</x:v>
      </x:c>
      <x:c r="AP64" s="106"/>
      <x:c r="AQ64" s="106"/>
      <x:c r="AR64" s="109" t="str">
        <x:v>통과 가능 후보</x:v>
      </x:c>
      <x:c r="AS64" s="109" t="str">
        <x:v>안내시설 양호 후보</x:v>
      </x:c>
      <x:c r="AT64" s="109" t="str">
        <x:v>보정 비대상</x:v>
      </x:c>
      <x:c r="AU64" s="162" t="str">
        <x:v>AI candidate</x:v>
      </x:c>
      <x:c r="AV64" s="162" t="str">
        <x:v>N</x:v>
      </x:c>
      <x:c r="AW64" s="206" t="str">
        <x:v>사람검수 대기</x:v>
      </x:c>
    </x:row>
    <x:row r="65" ht="34" customHeight="1">
      <x:c r="A65" s="28" t="str">
        <x:v>CW30-A</x:v>
      </x:c>
      <x:c r="B65" s="28" t="str">
        <x:v>CW30</x:v>
      </x:c>
      <x:c r="C65" s="28" t="str">
        <x:v>2025085027</x:v>
      </x:c>
      <x:c r="D65" s="28" t="str">
        <x:v>A</x:v>
      </x:c>
      <x:c r="E65" s="48" t="n">
        <x:v>37.39012616733453</x:v>
      </x:c>
      <x:c r="F65" s="48" t="n">
        <x:v>126.92409457142617</x:v>
      </x:c>
      <x:c r="G65" s="28" t="str">
        <x:v>public_explicit_present</x:v>
      </x:c>
      <x:c r="H65" s="28" t="str">
        <x:v>있음</x:v>
      </x:c>
      <x:c r="I65" s="28" t="str">
        <x:v>있음</x:v>
      </x:c>
      <x:c r="J65" s="28" t="str">
        <x:v>provisional_high</x:v>
      </x:c>
      <x:c r="K65" s="30" t="n">
        <x:v>8.75</x:v>
      </x:c>
      <x:c r="L65" s="28" t="str">
        <x:v>N</x:v>
      </x:c>
      <x:c r="M65" s="33" t="str">
        <x:f>IF(S65="","pending_1st_review",IF(L65="Y",IF(Z65="","pending_2nd_review",IF(S65=Z65,"reviewed_agree",IF(AB65="","needs_adjudication","adjudicated"))),"reviewed_once"))</x:f>
        <x:v>pending_1st_review</x:v>
      </x:c>
      <x:c r="N65" s="46" t="str"/>
      <x:c r="O65" s="53" t="str"/>
      <x:c r="P65" s="46" t="str"/>
      <x:c r="Q65" s="46" t="str"/>
      <x:c r="R65" s="46" t="str"/>
      <x:c r="S65" s="46" t="str"/>
      <x:c r="T65" s="46" t="str"/>
      <x:c r="U65" s="46" t="str"/>
      <x:c r="V65" s="53" t="str"/>
      <x:c r="W65" s="46" t="str"/>
      <x:c r="X65" s="46" t="str"/>
      <x:c r="Y65" s="46" t="str"/>
      <x:c r="Z65" s="46" t="str"/>
      <x:c r="AA65" s="46" t="str"/>
      <x:c r="AB65" s="46" t="str"/>
      <x:c r="AC65" s="46" t="str">
        <x:v>visibility_review_needed</x:v>
      </x:c>
      <x:c r="AD65" s="51" t="n">
        <x:v>0.52</x:v>
      </x:c>
      <x:c r="AE65" s="46" t="str"/>
      <x:c r="AF65" s="53" t="str">
        <x:v>2025-11-17 13:29:32</x:v>
      </x:c>
      <x:c r="AG65" s="28" t="str">
        <x:v>https://map.kakao.com/link/roadview/37.3901262,126.9240946</x:v>
      </x:c>
      <x:c r="AH65" s="28" t="str">
        <x:v>asset_level_inherited_not_endpoint_verified</x:v>
      </x:c>
      <x:c r="AI65" s="105" t="e">
        <x:f>HYPERLINK(IF(INDEX('영상 근거'!$F$7:$F$166,MATCH($A65&amp;"-N",'영상 근거'!$A$7:$A$166,0))=0,INDEX('영상 근거'!$Q$7:$Q$166,MATCH($A65&amp;"-N",'영상 근거'!$A$7:$A$166,0)),INDEX('영상 근거'!$F$7:$F$166,MATCH($A65&amp;"-N",'영상 근거'!$A$7:$A$166,0))),IF(INDEX('영상 근거'!$F$7:$F$166,MATCH($A65&amp;"-N",'영상 근거'!$A$7:$A$166,0))=0,"네이버 위치","네이버 거리뷰"))</x:f>
        <x:v>HYPERLINK is not implemented. linkLocation=https://map.naver.com/p/entry/coordinates/3zfoUG,2AEEa2?c=15.00,0,0,0,dh, friendlyName=네이버 위치</x:v>
      </x:c>
      <x:c r="AJ65" s="105" t="e">
        <x:f>HYPERLINK(IF(INDEX('영상 근거'!$F$7:$F$166,MATCH($A65&amp;"-K",'영상 근거'!$A$7:$A$166,0))=0,INDEX('영상 근거'!$Q$7:$Q$166,MATCH($A65&amp;"-K",'영상 근거'!$A$7:$A$166,0)),INDEX('영상 근거'!$F$7:$F$166,MATCH($A65&amp;"-K",'영상 근거'!$A$7:$A$166,0))),"카카오 거리뷰")</x:f>
        <x:v>HYPERLINK is not implemented. linkLocation=https://map.kakao.com/?panoid=1202970276&amp;pan=110.3&amp;zoom=0&amp;map_type=TYPE_MAP&amp;map_attribute=ROADVIEW&amp;urlX=483198.0&amp;urlY=1080769.0, friendlyName=카카오 거리뷰</x:v>
      </x:c>
      <x:c r="AK65" s="105" t="e">
        <x:f>HYPERLINK("#'영상 근거'!A"&amp;(MATCH($A65&amp;"-N",'영상 근거'!$A$7:$A$166,0)+6),"두 영상 기록")</x:f>
        <x:v>HYPERLINK is not implemented. linkLocation=#'영상 근거'!A123, friendlyName=두 영상 기록</x:v>
      </x:c>
      <x:c r="AL65" s="106"/>
      <x:c r="AM65" s="106"/>
      <x:c r="AN65" s="67" t="str">
        <x:f>IF(COUNTIFS('영상 근거'!$B$7:$B$166,$A65,'영상 근거'!$H$7:$H$166,"pass")+COUNTIFS('영상 근거'!$B$7:$B$166,$A65,'영상 근거'!$H$7:$H$166,"block")+COUNTIFS('영상 근거'!$B$7:$B$166,$A65,'영상 근거'!$H$7:$H$166,"unknown")&lt;2,"미입력",IF(COUNTIFS('영상 근거'!$B$7:$B$166,$A65,'영상 근거'!$H$7:$H$166,"pass")=2,"pass 일치",IF(COUNTIFS('영상 근거'!$B$7:$B$166,$A65,'영상 근거'!$H$7:$H$166,"block")=2,"block 일치",IF(COUNTIFS('영상 근거'!$B$7:$B$166,$A65,'영상 근거'!$H$7:$H$166,"unknown")=2,"모두 unknown",IF(AND(COUNTIFS('영상 근거'!$B$7:$B$166,$A65,'영상 근거'!$H$7:$H$166,"pass")=1,COUNTIFS('영상 근거'!$B$7:$B$166,$A65,'영상 근거'!$H$7:$H$166,"block")=1),"불일치","한쪽 unknown")))))</x:f>
        <x:v>미입력</x:v>
      </x:c>
      <x:c r="AO65" s="67" t="str">
        <x:f>IF(COUNTIFS('영상 근거'!$B$7:$B$166,$A65,'영상 근거'!$K$7:$K$166,"pass")+COUNTIFS('영상 근거'!$B$7:$B$166,$A65,'영상 근거'!$K$7:$K$166,"block")+COUNTIFS('영상 근거'!$B$7:$B$166,$A65,'영상 근거'!$K$7:$K$166,"unknown")&lt;2,"미입력",IF(COUNTIFS('영상 근거'!$B$7:$B$166,$A65,'영상 근거'!$K$7:$K$166,"pass")=2,"pass 일치",IF(COUNTIFS('영상 근거'!$B$7:$B$166,$A65,'영상 근거'!$K$7:$K$166,"block")=2,"block 일치",IF(COUNTIFS('영상 근거'!$B$7:$B$166,$A65,'영상 근거'!$K$7:$K$166,"unknown")=2,"모두 unknown",IF(AND(COUNTIFS('영상 근거'!$B$7:$B$166,$A65,'영상 근거'!$K$7:$K$166,"pass")=1,COUNTIFS('영상 근거'!$B$7:$B$166,$A65,'영상 근거'!$K$7:$K$166,"block")=1),"불일치","한쪽 unknown")))))</x:f>
        <x:v>미입력</x:v>
      </x:c>
      <x:c r="AP65" s="106"/>
      <x:c r="AQ65" s="106"/>
      <x:c r="AR65" s="109" t="str">
        <x:v>시야 부족·판독보류</x:v>
      </x:c>
      <x:c r="AS65" s="109" t="str">
        <x:v>시야 부족·판독보류</x:v>
      </x:c>
      <x:c r="AT65" s="109" t="str">
        <x:v>보정 비대상</x:v>
      </x:c>
      <x:c r="AU65" s="162" t="str">
        <x:v>AI candidate</x:v>
      </x:c>
      <x:c r="AV65" s="162" t="str">
        <x:v>N</x:v>
      </x:c>
      <x:c r="AW65" s="206" t="str">
        <x:v>사람검수 대기</x:v>
      </x:c>
    </x:row>
    <x:row r="66" ht="34" customHeight="1">
      <x:c r="A66" s="28" t="str">
        <x:v>CW30-B</x:v>
      </x:c>
      <x:c r="B66" s="28" t="str">
        <x:v>CW30</x:v>
      </x:c>
      <x:c r="C66" s="28" t="str">
        <x:v>2025085027</x:v>
      </x:c>
      <x:c r="D66" s="28" t="str">
        <x:v>B</x:v>
      </x:c>
      <x:c r="E66" s="48" t="n">
        <x:v>37.390204712665465</x:v>
      </x:c>
      <x:c r="F66" s="48" t="n">
        <x:v>126.92412862857385</x:v>
      </x:c>
      <x:c r="G66" s="28" t="str">
        <x:v>public_explicit_present</x:v>
      </x:c>
      <x:c r="H66" s="28" t="str">
        <x:v>있음</x:v>
      </x:c>
      <x:c r="I66" s="28" t="str">
        <x:v>있음</x:v>
      </x:c>
      <x:c r="J66" s="28" t="str">
        <x:v>provisional_high</x:v>
      </x:c>
      <x:c r="K66" s="30" t="n">
        <x:v>8.75</x:v>
      </x:c>
      <x:c r="L66" s="28" t="str">
        <x:v>N</x:v>
      </x:c>
      <x:c r="M66" s="33" t="str">
        <x:f>IF(S66="","pending_1st_review",IF(L66="Y",IF(Z66="","pending_2nd_review",IF(S66=Z66,"reviewed_agree",IF(AB66="","needs_adjudication","adjudicated"))),"reviewed_once"))</x:f>
        <x:v>pending_1st_review</x:v>
      </x:c>
      <x:c r="N66" s="46" t="str"/>
      <x:c r="O66" s="53" t="str"/>
      <x:c r="P66" s="46" t="str"/>
      <x:c r="Q66" s="46" t="str"/>
      <x:c r="R66" s="46" t="str"/>
      <x:c r="S66" s="46" t="str"/>
      <x:c r="T66" s="46" t="str"/>
      <x:c r="U66" s="46" t="str"/>
      <x:c r="V66" s="53" t="str"/>
      <x:c r="W66" s="46" t="str"/>
      <x:c r="X66" s="46" t="str"/>
      <x:c r="Y66" s="46" t="str"/>
      <x:c r="Z66" s="46" t="str"/>
      <x:c r="AA66" s="46" t="str"/>
      <x:c r="AB66" s="46" t="str"/>
      <x:c r="AC66" s="46" t="str">
        <x:v>likely_accessible_candidate</x:v>
      </x:c>
      <x:c r="AD66" s="51" t="n">
        <x:v>0.82</x:v>
      </x:c>
      <x:c r="AE66" s="46" t="str"/>
      <x:c r="AF66" s="53" t="str">
        <x:v>2025-11-17 13:29:32</x:v>
      </x:c>
      <x:c r="AG66" s="28" t="str">
        <x:v>https://map.kakao.com/link/roadview/37.3902047,126.9241286</x:v>
      </x:c>
      <x:c r="AH66" s="28" t="str">
        <x:v>asset_level_inherited_not_endpoint_verified</x:v>
      </x:c>
      <x:c r="AI66" s="105" t="e">
        <x:f>HYPERLINK(IF(INDEX('영상 근거'!$F$7:$F$166,MATCH($A66&amp;"-N",'영상 근거'!$A$7:$A$166,0))=0,INDEX('영상 근거'!$Q$7:$Q$166,MATCH($A66&amp;"-N",'영상 근거'!$A$7:$A$166,0)),INDEX('영상 근거'!$F$7:$F$166,MATCH($A66&amp;"-N",'영상 근거'!$A$7:$A$166,0))),IF(INDEX('영상 근거'!$F$7:$F$166,MATCH($A66&amp;"-N",'영상 근거'!$A$7:$A$166,0))=0,"네이버 위치","네이버 거리뷰"))</x:f>
        <x:v>HYPERLINK is not implemented. linkLocation=https://map.naver.com/p/entry/coordinates/3zfp0a,2AEEmH?c=15.00,0,0,0,dh, friendlyName=네이버 위치</x:v>
      </x:c>
      <x:c r="AJ66" s="105" t="e">
        <x:f>HYPERLINK(IF(INDEX('영상 근거'!$F$7:$F$166,MATCH($A66&amp;"-K",'영상 근거'!$A$7:$A$166,0))=0,INDEX('영상 근거'!$Q$7:$Q$166,MATCH($A66&amp;"-K",'영상 근거'!$A$7:$A$166,0)),INDEX('영상 근거'!$F$7:$F$166,MATCH($A66&amp;"-K",'영상 근거'!$A$7:$A$166,0))),"카카오 거리뷰")</x:f>
        <x:v>HYPERLINK is not implemented. linkLocation=https://map.kakao.com/?panoid=1202970276&amp;pan=110.3&amp;zoom=0&amp;map_type=TYPE_MAP&amp;map_attribute=ROADVIEW&amp;urlX=483198.0&amp;urlY=1080769.0, friendlyName=카카오 거리뷰</x:v>
      </x:c>
      <x:c r="AK66" s="105" t="e">
        <x:f>HYPERLINK("#'영상 근거'!A"&amp;(MATCH($A66&amp;"-N",'영상 근거'!$A$7:$A$166,0)+6),"두 영상 기록")</x:f>
        <x:v>HYPERLINK is not implemented. linkLocation=#'영상 근거'!A125, friendlyName=두 영상 기록</x:v>
      </x:c>
      <x:c r="AL66" s="106"/>
      <x:c r="AM66" s="106"/>
      <x:c r="AN66" s="67" t="str">
        <x:f>IF(COUNTIFS('영상 근거'!$B$7:$B$166,$A66,'영상 근거'!$H$7:$H$166,"pass")+COUNTIFS('영상 근거'!$B$7:$B$166,$A66,'영상 근거'!$H$7:$H$166,"block")+COUNTIFS('영상 근거'!$B$7:$B$166,$A66,'영상 근거'!$H$7:$H$166,"unknown")&lt;2,"미입력",IF(COUNTIFS('영상 근거'!$B$7:$B$166,$A66,'영상 근거'!$H$7:$H$166,"pass")=2,"pass 일치",IF(COUNTIFS('영상 근거'!$B$7:$B$166,$A66,'영상 근거'!$H$7:$H$166,"block")=2,"block 일치",IF(COUNTIFS('영상 근거'!$B$7:$B$166,$A66,'영상 근거'!$H$7:$H$166,"unknown")=2,"모두 unknown",IF(AND(COUNTIFS('영상 근거'!$B$7:$B$166,$A66,'영상 근거'!$H$7:$H$166,"pass")=1,COUNTIFS('영상 근거'!$B$7:$B$166,$A66,'영상 근거'!$H$7:$H$166,"block")=1),"불일치","한쪽 unknown")))))</x:f>
        <x:v>미입력</x:v>
      </x:c>
      <x:c r="AO66" s="67" t="str">
        <x:f>IF(COUNTIFS('영상 근거'!$B$7:$B$166,$A66,'영상 근거'!$K$7:$K$166,"pass")+COUNTIFS('영상 근거'!$B$7:$B$166,$A66,'영상 근거'!$K$7:$K$166,"block")+COUNTIFS('영상 근거'!$B$7:$B$166,$A66,'영상 근거'!$K$7:$K$166,"unknown")&lt;2,"미입력",IF(COUNTIFS('영상 근거'!$B$7:$B$166,$A66,'영상 근거'!$K$7:$K$166,"pass")=2,"pass 일치",IF(COUNTIFS('영상 근거'!$B$7:$B$166,$A66,'영상 근거'!$K$7:$K$166,"block")=2,"block 일치",IF(COUNTIFS('영상 근거'!$B$7:$B$166,$A66,'영상 근거'!$K$7:$K$166,"unknown")=2,"모두 unknown",IF(AND(COUNTIFS('영상 근거'!$B$7:$B$166,$A66,'영상 근거'!$K$7:$K$166,"pass")=1,COUNTIFS('영상 근거'!$B$7:$B$166,$A66,'영상 근거'!$K$7:$K$166,"block")=1),"불일치","한쪽 unknown")))))</x:f>
        <x:v>미입력</x:v>
      </x:c>
      <x:c r="AP66" s="106"/>
      <x:c r="AQ66" s="106"/>
      <x:c r="AR66" s="109" t="str">
        <x:v>통과 가능 후보</x:v>
      </x:c>
      <x:c r="AS66" s="109" t="str">
        <x:v>안내시설 양호 후보</x:v>
      </x:c>
      <x:c r="AT66" s="109" t="str">
        <x:v>보정 비대상</x:v>
      </x:c>
      <x:c r="AU66" s="162" t="str">
        <x:v>AI candidate</x:v>
      </x:c>
      <x:c r="AV66" s="162" t="str">
        <x:v>N</x:v>
      </x:c>
      <x:c r="AW66" s="206" t="str">
        <x:v>사람검수 대기</x:v>
      </x:c>
    </x:row>
    <x:row r="67" ht="34" customHeight="1">
      <x:c r="A67" s="28" t="str">
        <x:v>CW31-A</x:v>
      </x:c>
      <x:c r="B67" s="28" t="str">
        <x:v>CW31</x:v>
      </x:c>
      <x:c r="C67" s="28" t="str">
        <x:v>2025085012</x:v>
      </x:c>
      <x:c r="D67" s="28" t="str">
        <x:v>A</x:v>
      </x:c>
      <x:c r="E67" s="48" t="n">
        <x:v>37.39032369675492</x:v>
      </x:c>
      <x:c r="F67" s="48" t="n">
        <x:v>126.92520600321222</x:v>
      </x:c>
      <x:c r="G67" s="28" t="str">
        <x:v>public_explicit_present</x:v>
      </x:c>
      <x:c r="H67" s="28" t="str">
        <x:v>있음</x:v>
      </x:c>
      <x:c r="I67" s="28" t="str">
        <x:v>있음</x:v>
      </x:c>
      <x:c r="J67" s="28" t="str">
        <x:v>provisional_high</x:v>
      </x:c>
      <x:c r="K67" s="30" t="n">
        <x:v>1.34</x:v>
      </x:c>
      <x:c r="L67" s="28" t="str">
        <x:v>N</x:v>
      </x:c>
      <x:c r="M67" s="33" t="str">
        <x:f>IF(S67="","pending_1st_review",IF(L67="Y",IF(Z67="","pending_2nd_review",IF(S67=Z67,"reviewed_agree",IF(AB67="","needs_adjudication","adjudicated"))),"reviewed_once"))</x:f>
        <x:v>pending_1st_review</x:v>
      </x:c>
      <x:c r="N67" s="46" t="str"/>
      <x:c r="O67" s="53" t="str"/>
      <x:c r="P67" s="46" t="str"/>
      <x:c r="Q67" s="46" t="str"/>
      <x:c r="R67" s="46" t="str"/>
      <x:c r="S67" s="46" t="str"/>
      <x:c r="T67" s="46" t="str"/>
      <x:c r="U67" s="46" t="str"/>
      <x:c r="V67" s="53" t="str"/>
      <x:c r="W67" s="46" t="str"/>
      <x:c r="X67" s="46" t="str"/>
      <x:c r="Y67" s="46" t="str"/>
      <x:c r="Z67" s="46" t="str"/>
      <x:c r="AA67" s="46" t="str"/>
      <x:c r="AB67" s="46" t="str"/>
      <x:c r="AC67" s="46" t="str">
        <x:v>visibility_review_needed</x:v>
      </x:c>
      <x:c r="AD67" s="51" t="n">
        <x:v>0.52</x:v>
      </x:c>
      <x:c r="AE67" s="46" t="str"/>
      <x:c r="AF67" s="53" t="str">
        <x:v>2025-11-17 11:57:23</x:v>
      </x:c>
      <x:c r="AG67" s="28" t="str">
        <x:v>https://map.kakao.com/link/roadview/37.3903237,126.9252060</x:v>
      </x:c>
      <x:c r="AH67" s="28" t="str">
        <x:v>asset_level_inherited_not_endpoint_verified</x:v>
      </x:c>
      <x:c r="AI67" s="105" t="e">
        <x:f>HYPERLINK(IF(INDEX('영상 근거'!$F$7:$F$166,MATCH($A67&amp;"-N",'영상 근거'!$A$7:$A$166,0))=0,INDEX('영상 근거'!$Q$7:$Q$166,MATCH($A67&amp;"-N",'영상 근거'!$A$7:$A$166,0)),INDEX('영상 근거'!$F$7:$F$166,MATCH($A67&amp;"-N",'영상 근거'!$A$7:$A$166,0))),IF(INDEX('영상 근거'!$F$7:$F$166,MATCH($A67&amp;"-N",'영상 근거'!$A$7:$A$166,0))=0,"네이버 위치","네이버 거리뷰"))</x:f>
        <x:v>HYPERLINK is not implemented. linkLocation=https://map.naver.com/p/entry/coordinates/3zfrNW,2AEEFT?c=15.00,0,0,0,dh, friendlyName=네이버 위치</x:v>
      </x:c>
      <x:c r="AJ67" s="105" t="e">
        <x:f>HYPERLINK(IF(INDEX('영상 근거'!$F$7:$F$166,MATCH($A67&amp;"-K",'영상 근거'!$A$7:$A$166,0))=0,INDEX('영상 근거'!$Q$7:$Q$166,MATCH($A67&amp;"-K",'영상 근거'!$A$7:$A$166,0)),INDEX('영상 근거'!$F$7:$F$166,MATCH($A67&amp;"-K",'영상 근거'!$A$7:$A$166,0))),"카카오 거리뷰")</x:f>
        <x:v>HYPERLINK is not implemented. linkLocation=https://map.kakao.com/?panoid=1202969661&amp;pan=334.4&amp;zoom=0&amp;map_type=TYPE_MAP&amp;map_attribute=ROADVIEW&amp;urlX=483455.0&amp;urlY=1080835.0, friendlyName=카카오 거리뷰</x:v>
      </x:c>
      <x:c r="AK67" s="105" t="e">
        <x:f>HYPERLINK("#'영상 근거'!A"&amp;(MATCH($A67&amp;"-N",'영상 근거'!$A$7:$A$166,0)+6),"두 영상 기록")</x:f>
        <x:v>HYPERLINK is not implemented. linkLocation=#'영상 근거'!A127, friendlyName=두 영상 기록</x:v>
      </x:c>
      <x:c r="AL67" s="106"/>
      <x:c r="AM67" s="106"/>
      <x:c r="AN67" s="67" t="str">
        <x:f>IF(COUNTIFS('영상 근거'!$B$7:$B$166,$A67,'영상 근거'!$H$7:$H$166,"pass")+COUNTIFS('영상 근거'!$B$7:$B$166,$A67,'영상 근거'!$H$7:$H$166,"block")+COUNTIFS('영상 근거'!$B$7:$B$166,$A67,'영상 근거'!$H$7:$H$166,"unknown")&lt;2,"미입력",IF(COUNTIFS('영상 근거'!$B$7:$B$166,$A67,'영상 근거'!$H$7:$H$166,"pass")=2,"pass 일치",IF(COUNTIFS('영상 근거'!$B$7:$B$166,$A67,'영상 근거'!$H$7:$H$166,"block")=2,"block 일치",IF(COUNTIFS('영상 근거'!$B$7:$B$166,$A67,'영상 근거'!$H$7:$H$166,"unknown")=2,"모두 unknown",IF(AND(COUNTIFS('영상 근거'!$B$7:$B$166,$A67,'영상 근거'!$H$7:$H$166,"pass")=1,COUNTIFS('영상 근거'!$B$7:$B$166,$A67,'영상 근거'!$H$7:$H$166,"block")=1),"불일치","한쪽 unknown")))))</x:f>
        <x:v>미입력</x:v>
      </x:c>
      <x:c r="AO67" s="67" t="str">
        <x:f>IF(COUNTIFS('영상 근거'!$B$7:$B$166,$A67,'영상 근거'!$K$7:$K$166,"pass")+COUNTIFS('영상 근거'!$B$7:$B$166,$A67,'영상 근거'!$K$7:$K$166,"block")+COUNTIFS('영상 근거'!$B$7:$B$166,$A67,'영상 근거'!$K$7:$K$166,"unknown")&lt;2,"미입력",IF(COUNTIFS('영상 근거'!$B$7:$B$166,$A67,'영상 근거'!$K$7:$K$166,"pass")=2,"pass 일치",IF(COUNTIFS('영상 근거'!$B$7:$B$166,$A67,'영상 근거'!$K$7:$K$166,"block")=2,"block 일치",IF(COUNTIFS('영상 근거'!$B$7:$B$166,$A67,'영상 근거'!$K$7:$K$166,"unknown")=2,"모두 unknown",IF(AND(COUNTIFS('영상 근거'!$B$7:$B$166,$A67,'영상 근거'!$K$7:$K$166,"pass")=1,COUNTIFS('영상 근거'!$B$7:$B$166,$A67,'영상 근거'!$K$7:$K$166,"block")=1),"불일치","한쪽 unknown")))))</x:f>
        <x:v>미입력</x:v>
      </x:c>
      <x:c r="AP67" s="106"/>
      <x:c r="AQ67" s="106"/>
      <x:c r="AR67" s="109" t="str">
        <x:v>시야 부족·판독보류</x:v>
      </x:c>
      <x:c r="AS67" s="109" t="str">
        <x:v>시야 부족·판독보류</x:v>
      </x:c>
      <x:c r="AT67" s="109" t="str">
        <x:v>보정 비대상</x:v>
      </x:c>
      <x:c r="AU67" s="162" t="str">
        <x:v>AI candidate</x:v>
      </x:c>
      <x:c r="AV67" s="162" t="str">
        <x:v>N</x:v>
      </x:c>
      <x:c r="AW67" s="206" t="str">
        <x:v>사람검수 대기</x:v>
      </x:c>
    </x:row>
    <x:row r="68" ht="34" customHeight="1">
      <x:c r="A68" s="28" t="str">
        <x:v>CW31-B</x:v>
      </x:c>
      <x:c r="B68" s="28" t="str">
        <x:v>CW31</x:v>
      </x:c>
      <x:c r="C68" s="28" t="str">
        <x:v>2025085012</x:v>
      </x:c>
      <x:c r="D68" s="28" t="str">
        <x:v>B</x:v>
      </x:c>
      <x:c r="E68" s="48" t="n">
        <x:v>37.39036492324509</x:v>
      </x:c>
      <x:c r="F68" s="48" t="n">
        <x:v>126.92534499678776</x:v>
      </x:c>
      <x:c r="G68" s="28" t="str">
        <x:v>public_explicit_present</x:v>
      </x:c>
      <x:c r="H68" s="28" t="str">
        <x:v>있음</x:v>
      </x:c>
      <x:c r="I68" s="28" t="str">
        <x:v>있음</x:v>
      </x:c>
      <x:c r="J68" s="28" t="str">
        <x:v>provisional_high</x:v>
      </x:c>
      <x:c r="K68" s="30" t="n">
        <x:v>1.34</x:v>
      </x:c>
      <x:c r="L68" s="28" t="str">
        <x:v>N</x:v>
      </x:c>
      <x:c r="M68" s="33" t="str">
        <x:f>IF(S68="","pending_1st_review",IF(L68="Y",IF(Z68="","pending_2nd_review",IF(S68=Z68,"reviewed_agree",IF(AB68="","needs_adjudication","adjudicated"))),"reviewed_once"))</x:f>
        <x:v>pending_1st_review</x:v>
      </x:c>
      <x:c r="N68" s="46" t="str"/>
      <x:c r="O68" s="53" t="str"/>
      <x:c r="P68" s="46" t="str"/>
      <x:c r="Q68" s="46" t="str"/>
      <x:c r="R68" s="46" t="str"/>
      <x:c r="S68" s="46" t="str"/>
      <x:c r="T68" s="46" t="str"/>
      <x:c r="U68" s="46" t="str"/>
      <x:c r="V68" s="53" t="str"/>
      <x:c r="W68" s="46" t="str"/>
      <x:c r="X68" s="46" t="str"/>
      <x:c r="Y68" s="46" t="str"/>
      <x:c r="Z68" s="46" t="str"/>
      <x:c r="AA68" s="46" t="str"/>
      <x:c r="AB68" s="46" t="str"/>
      <x:c r="AC68" s="46" t="str">
        <x:v>likely_accessible_candidate</x:v>
      </x:c>
      <x:c r="AD68" s="51" t="n">
        <x:v>0.82</x:v>
      </x:c>
      <x:c r="AE68" s="46" t="str"/>
      <x:c r="AF68" s="53" t="str">
        <x:v>2025-11-17 13:29:46</x:v>
      </x:c>
      <x:c r="AG68" s="28" t="str">
        <x:v>https://map.kakao.com/link/roadview/37.3903649,126.9253450</x:v>
      </x:c>
      <x:c r="AH68" s="28" t="str">
        <x:v>asset_level_inherited_not_endpoint_verified</x:v>
      </x:c>
      <x:c r="AI68" s="105" t="e">
        <x:f>HYPERLINK(IF(INDEX('영상 근거'!$F$7:$F$166,MATCH($A68&amp;"-N",'영상 근거'!$A$7:$A$166,0))=0,INDEX('영상 근거'!$Q$7:$Q$166,MATCH($A68&amp;"-N",'영상 근거'!$A$7:$A$166,0)),INDEX('영상 근거'!$F$7:$F$166,MATCH($A68&amp;"-N",'영상 근거'!$A$7:$A$166,0))),IF(INDEX('영상 근거'!$F$7:$F$166,MATCH($A68&amp;"-N",'영상 근거'!$A$7:$A$166,0))=0,"네이버 위치","네이버 거리뷰"))</x:f>
        <x:v>HYPERLINK is not implemented. linkLocation=https://map.naver.com/p/entry/coordinates/3zfsam,2AEEMx?c=15.00,0,0,0,dh, friendlyName=네이버 위치</x:v>
      </x:c>
      <x:c r="AJ68" s="105" t="e">
        <x:f>HYPERLINK(IF(INDEX('영상 근거'!$F$7:$F$166,MATCH($A68&amp;"-K",'영상 근거'!$A$7:$A$166,0))=0,INDEX('영상 근거'!$Q$7:$Q$166,MATCH($A68&amp;"-K",'영상 근거'!$A$7:$A$166,0)),INDEX('영상 근거'!$F$7:$F$166,MATCH($A68&amp;"-K",'영상 근거'!$A$7:$A$166,0))),"카카오 거리뷰")</x:f>
        <x:v>HYPERLINK is not implemented. linkLocation=https://map.kakao.com/?panoid=1202970288&amp;pan=58.4&amp;zoom=0&amp;map_type=TYPE_MAP&amp;map_attribute=ROADVIEW&amp;urlX=483475.0&amp;urlY=1080867.0, friendlyName=카카오 거리뷰</x:v>
      </x:c>
      <x:c r="AK68" s="105" t="e">
        <x:f>HYPERLINK("#'영상 근거'!A"&amp;(MATCH($A68&amp;"-N",'영상 근거'!$A$7:$A$166,0)+6),"두 영상 기록")</x:f>
        <x:v>HYPERLINK is not implemented. linkLocation=#'영상 근거'!A129, friendlyName=두 영상 기록</x:v>
      </x:c>
      <x:c r="AL68" s="106"/>
      <x:c r="AM68" s="106"/>
      <x:c r="AN68" s="67" t="str">
        <x:f>IF(COUNTIFS('영상 근거'!$B$7:$B$166,$A68,'영상 근거'!$H$7:$H$166,"pass")+COUNTIFS('영상 근거'!$B$7:$B$166,$A68,'영상 근거'!$H$7:$H$166,"block")+COUNTIFS('영상 근거'!$B$7:$B$166,$A68,'영상 근거'!$H$7:$H$166,"unknown")&lt;2,"미입력",IF(COUNTIFS('영상 근거'!$B$7:$B$166,$A68,'영상 근거'!$H$7:$H$166,"pass")=2,"pass 일치",IF(COUNTIFS('영상 근거'!$B$7:$B$166,$A68,'영상 근거'!$H$7:$H$166,"block")=2,"block 일치",IF(COUNTIFS('영상 근거'!$B$7:$B$166,$A68,'영상 근거'!$H$7:$H$166,"unknown")=2,"모두 unknown",IF(AND(COUNTIFS('영상 근거'!$B$7:$B$166,$A68,'영상 근거'!$H$7:$H$166,"pass")=1,COUNTIFS('영상 근거'!$B$7:$B$166,$A68,'영상 근거'!$H$7:$H$166,"block")=1),"불일치","한쪽 unknown")))))</x:f>
        <x:v>미입력</x:v>
      </x:c>
      <x:c r="AO68" s="67" t="str">
        <x:f>IF(COUNTIFS('영상 근거'!$B$7:$B$166,$A68,'영상 근거'!$K$7:$K$166,"pass")+COUNTIFS('영상 근거'!$B$7:$B$166,$A68,'영상 근거'!$K$7:$K$166,"block")+COUNTIFS('영상 근거'!$B$7:$B$166,$A68,'영상 근거'!$K$7:$K$166,"unknown")&lt;2,"미입력",IF(COUNTIFS('영상 근거'!$B$7:$B$166,$A68,'영상 근거'!$K$7:$K$166,"pass")=2,"pass 일치",IF(COUNTIFS('영상 근거'!$B$7:$B$166,$A68,'영상 근거'!$K$7:$K$166,"block")=2,"block 일치",IF(COUNTIFS('영상 근거'!$B$7:$B$166,$A68,'영상 근거'!$K$7:$K$166,"unknown")=2,"모두 unknown",IF(AND(COUNTIFS('영상 근거'!$B$7:$B$166,$A68,'영상 근거'!$K$7:$K$166,"pass")=1,COUNTIFS('영상 근거'!$B$7:$B$166,$A68,'영상 근거'!$K$7:$K$166,"block")=1),"불일치","한쪽 unknown")))))</x:f>
        <x:v>미입력</x:v>
      </x:c>
      <x:c r="AP68" s="106"/>
      <x:c r="AQ68" s="106"/>
      <x:c r="AR68" s="109" t="str">
        <x:v>통과 가능 후보</x:v>
      </x:c>
      <x:c r="AS68" s="109" t="str">
        <x:v>안내시설 양호 후보</x:v>
      </x:c>
      <x:c r="AT68" s="109" t="str">
        <x:v>보정 비대상</x:v>
      </x:c>
      <x:c r="AU68" s="162" t="str">
        <x:v>AI candidate</x:v>
      </x:c>
      <x:c r="AV68" s="162" t="str">
        <x:v>N</x:v>
      </x:c>
      <x:c r="AW68" s="206" t="str">
        <x:v>사람검수 대기</x:v>
      </x:c>
    </x:row>
    <x:row r="69" ht="34" customHeight="1">
      <x:c r="A69" s="28" t="str">
        <x:v>CW32-A</x:v>
      </x:c>
      <x:c r="B69" s="28" t="str">
        <x:v>CW32</x:v>
      </x:c>
      <x:c r="C69" s="28" t="str">
        <x:v>2025085025</x:v>
      </x:c>
      <x:c r="D69" s="28" t="str">
        <x:v>A</x:v>
      </x:c>
      <x:c r="E69" s="48" t="n">
        <x:v>37.390048790568265</x:v>
      </x:c>
      <x:c r="F69" s="48" t="n">
        <x:v>126.9242948447004</x:v>
      </x:c>
      <x:c r="G69" s="28" t="str">
        <x:v>public_explicit_present</x:v>
      </x:c>
      <x:c r="H69" s="28" t="str">
        <x:v>있음</x:v>
      </x:c>
      <x:c r="I69" s="28" t="str">
        <x:v>있음</x:v>
      </x:c>
      <x:c r="J69" s="28" t="str">
        <x:v>provisional_high</x:v>
      </x:c>
      <x:c r="K69" s="30" t="n">
        <x:v>1.42</x:v>
      </x:c>
      <x:c r="L69" s="28" t="str">
        <x:v>Y</x:v>
      </x:c>
      <x:c r="M69" s="33" t="str">
        <x:f>IF(S69="","pending_1st_review",IF(L69="Y",IF(Z69="","pending_2nd_review",IF(S69=Z69,"reviewed_agree",IF(AB69="","needs_adjudication","adjudicated"))),"reviewed_once"))</x:f>
        <x:v>pending_1st_review</x:v>
      </x:c>
      <x:c r="N69" s="46" t="str"/>
      <x:c r="O69" s="53" t="str"/>
      <x:c r="P69" s="46" t="str"/>
      <x:c r="Q69" s="46" t="str"/>
      <x:c r="R69" s="46" t="str"/>
      <x:c r="S69" s="46" t="str"/>
      <x:c r="T69" s="46" t="str"/>
      <x:c r="U69" s="46" t="str"/>
      <x:c r="V69" s="53" t="str"/>
      <x:c r="W69" s="46" t="str"/>
      <x:c r="X69" s="46" t="str"/>
      <x:c r="Y69" s="46" t="str"/>
      <x:c r="Z69" s="46" t="str"/>
      <x:c r="AA69" s="46" t="str"/>
      <x:c r="AB69" s="46" t="str"/>
      <x:c r="AC69" s="46" t="str">
        <x:v>visibility_review_needed</x:v>
      </x:c>
      <x:c r="AD69" s="51" t="n">
        <x:v>0.52</x:v>
      </x:c>
      <x:c r="AE69" s="46" t="str"/>
      <x:c r="AF69" s="53" t="str">
        <x:v>2025-11-17 13:29:35</x:v>
      </x:c>
      <x:c r="AG69" s="28" t="str">
        <x:v>https://map.kakao.com/link/roadview/37.3900488,126.9242948</x:v>
      </x:c>
      <x:c r="AH69" s="28" t="str">
        <x:v>asset_level_inherited_not_endpoint_verified</x:v>
      </x:c>
      <x:c r="AI69" s="105" t="e">
        <x:f>HYPERLINK(IF(INDEX('영상 근거'!$F$7:$F$166,MATCH($A69&amp;"-N",'영상 근거'!$A$7:$A$166,0))=0,INDEX('영상 근거'!$Q$7:$Q$166,MATCH($A69&amp;"-N",'영상 근거'!$A$7:$A$166,0)),INDEX('영상 근거'!$F$7:$F$166,MATCH($A69&amp;"-N",'영상 근거'!$A$7:$A$166,0))),IF(INDEX('영상 근거'!$F$7:$F$166,MATCH($A69&amp;"-N",'영상 근거'!$A$7:$A$166,0))=0,"네이버 위치","네이버 거리뷰"))</x:f>
        <x:v>HYPERLINK is not implemented. linkLocation=https://map.naver.com/p/entry/coordinates/3zfpqY,2AEDXy?c=15.00,0,0,0,dh, friendlyName=네이버 위치</x:v>
      </x:c>
      <x:c r="AJ69" s="105" t="e">
        <x:f>HYPERLINK(IF(INDEX('영상 근거'!$F$7:$F$166,MATCH($A69&amp;"-K",'영상 근거'!$A$7:$A$166,0))=0,INDEX('영상 근거'!$Q$7:$Q$166,MATCH($A69&amp;"-K",'영상 근거'!$A$7:$A$166,0)),INDEX('영상 근거'!$F$7:$F$166,MATCH($A69&amp;"-K",'영상 근거'!$A$7:$A$166,0))),"카카오 거리뷰")</x:f>
        <x:v>HYPERLINK is not implemented. linkLocation=https://map.kakao.com/?panoid=1202970278&amp;pan=71.5&amp;zoom=0&amp;map_type=TYPE_MAP&amp;map_attribute=ROADVIEW&amp;urlX=483247.0&amp;urlY=1080769.0, friendlyName=카카오 거리뷰</x:v>
      </x:c>
      <x:c r="AK69" s="105" t="e">
        <x:f>HYPERLINK("#'영상 근거'!A"&amp;(MATCH($A69&amp;"-N",'영상 근거'!$A$7:$A$166,0)+6),"두 영상 기록")</x:f>
        <x:v>HYPERLINK is not implemented. linkLocation=#'영상 근거'!A131, friendlyName=두 영상 기록</x:v>
      </x:c>
      <x:c r="AL69" s="106"/>
      <x:c r="AM69" s="106"/>
      <x:c r="AN69" s="67" t="str">
        <x:f>IF(COUNTIFS('영상 근거'!$B$7:$B$166,$A69,'영상 근거'!$H$7:$H$166,"pass")+COUNTIFS('영상 근거'!$B$7:$B$166,$A69,'영상 근거'!$H$7:$H$166,"block")+COUNTIFS('영상 근거'!$B$7:$B$166,$A69,'영상 근거'!$H$7:$H$166,"unknown")&lt;2,"미입력",IF(COUNTIFS('영상 근거'!$B$7:$B$166,$A69,'영상 근거'!$H$7:$H$166,"pass")=2,"pass 일치",IF(COUNTIFS('영상 근거'!$B$7:$B$166,$A69,'영상 근거'!$H$7:$H$166,"block")=2,"block 일치",IF(COUNTIFS('영상 근거'!$B$7:$B$166,$A69,'영상 근거'!$H$7:$H$166,"unknown")=2,"모두 unknown",IF(AND(COUNTIFS('영상 근거'!$B$7:$B$166,$A69,'영상 근거'!$H$7:$H$166,"pass")=1,COUNTIFS('영상 근거'!$B$7:$B$166,$A69,'영상 근거'!$H$7:$H$166,"block")=1),"불일치","한쪽 unknown")))))</x:f>
        <x:v>미입력</x:v>
      </x:c>
      <x:c r="AO69" s="67" t="str">
        <x:f>IF(COUNTIFS('영상 근거'!$B$7:$B$166,$A69,'영상 근거'!$K$7:$K$166,"pass")+COUNTIFS('영상 근거'!$B$7:$B$166,$A69,'영상 근거'!$K$7:$K$166,"block")+COUNTIFS('영상 근거'!$B$7:$B$166,$A69,'영상 근거'!$K$7:$K$166,"unknown")&lt;2,"미입력",IF(COUNTIFS('영상 근거'!$B$7:$B$166,$A69,'영상 근거'!$K$7:$K$166,"pass")=2,"pass 일치",IF(COUNTIFS('영상 근거'!$B$7:$B$166,$A69,'영상 근거'!$K$7:$K$166,"block")=2,"block 일치",IF(COUNTIFS('영상 근거'!$B$7:$B$166,$A69,'영상 근거'!$K$7:$K$166,"unknown")=2,"모두 unknown",IF(AND(COUNTIFS('영상 근거'!$B$7:$B$166,$A69,'영상 근거'!$K$7:$K$166,"pass")=1,COUNTIFS('영상 근거'!$B$7:$B$166,$A69,'영상 근거'!$K$7:$K$166,"block")=1),"불일치","한쪽 unknown")))))</x:f>
        <x:v>미입력</x:v>
      </x:c>
      <x:c r="AP69" s="106"/>
      <x:c r="AQ69" s="106"/>
      <x:c r="AR69" s="109" t="str">
        <x:v>시야 부족·판독보류</x:v>
      </x:c>
      <x:c r="AS69" s="109" t="str">
        <x:v>시야 부족·판독보류</x:v>
      </x:c>
      <x:c r="AT69" s="109" t="str">
        <x:v>보정 비대상</x:v>
      </x:c>
      <x:c r="AU69" s="162" t="str">
        <x:v>AI candidate</x:v>
      </x:c>
      <x:c r="AV69" s="162" t="str">
        <x:v>N</x:v>
      </x:c>
      <x:c r="AW69" s="206" t="str">
        <x:v>사람검수 대기</x:v>
      </x:c>
    </x:row>
    <x:row r="70" ht="34" customHeight="1">
      <x:c r="A70" s="28" t="str">
        <x:v>CW32-B</x:v>
      </x:c>
      <x:c r="B70" s="28" t="str">
        <x:v>CW32</x:v>
      </x:c>
      <x:c r="C70" s="28" t="str">
        <x:v>2025085025</x:v>
      </x:c>
      <x:c r="D70" s="28" t="str">
        <x:v>B</x:v>
      </x:c>
      <x:c r="E70" s="48" t="n">
        <x:v>37.39012174943174</x:v>
      </x:c>
      <x:c r="F70" s="48" t="n">
        <x:v>126.92425855529957</x:v>
      </x:c>
      <x:c r="G70" s="28" t="str">
        <x:v>public_explicit_present</x:v>
      </x:c>
      <x:c r="H70" s="28" t="str">
        <x:v>있음</x:v>
      </x:c>
      <x:c r="I70" s="28" t="str">
        <x:v>있음</x:v>
      </x:c>
      <x:c r="J70" s="28" t="str">
        <x:v>provisional_high</x:v>
      </x:c>
      <x:c r="K70" s="30" t="n">
        <x:v>1.42</x:v>
      </x:c>
      <x:c r="L70" s="28" t="str">
        <x:v>Y</x:v>
      </x:c>
      <x:c r="M70" s="33" t="str">
        <x:f>IF(S70="","pending_1st_review",IF(L70="Y",IF(Z70="","pending_2nd_review",IF(S70=Z70,"reviewed_agree",IF(AB70="","needs_adjudication","adjudicated"))),"reviewed_once"))</x:f>
        <x:v>pending_1st_review</x:v>
      </x:c>
      <x:c r="N70" s="46" t="str"/>
      <x:c r="O70" s="53" t="str"/>
      <x:c r="P70" s="46" t="str"/>
      <x:c r="Q70" s="46" t="str"/>
      <x:c r="R70" s="46" t="str"/>
      <x:c r="S70" s="46" t="str"/>
      <x:c r="T70" s="46" t="str"/>
      <x:c r="U70" s="46" t="str"/>
      <x:c r="V70" s="53" t="str"/>
      <x:c r="W70" s="46" t="str"/>
      <x:c r="X70" s="46" t="str"/>
      <x:c r="Y70" s="46" t="str"/>
      <x:c r="Z70" s="46" t="str"/>
      <x:c r="AA70" s="46" t="str"/>
      <x:c r="AB70" s="46" t="str"/>
      <x:c r="AC70" s="46" t="str">
        <x:v>likely_accessible_candidate</x:v>
      </x:c>
      <x:c r="AD70" s="51" t="n">
        <x:v>0.82</x:v>
      </x:c>
      <x:c r="AE70" s="46" t="str"/>
      <x:c r="AF70" s="53" t="str">
        <x:v>2025-11-17 13:29:34</x:v>
      </x:c>
      <x:c r="AG70" s="28" t="str">
        <x:v>https://map.kakao.com/link/roadview/37.3901217,126.9242586</x:v>
      </x:c>
      <x:c r="AH70" s="28" t="str">
        <x:v>asset_level_inherited_not_endpoint_verified</x:v>
      </x:c>
      <x:c r="AI70" s="105" t="e">
        <x:f>HYPERLINK(IF(INDEX('영상 근거'!$F$7:$F$166,MATCH($A70&amp;"-N",'영상 근거'!$A$7:$A$166,0))=0,INDEX('영상 근거'!$Q$7:$Q$166,MATCH($A70&amp;"-N",'영상 근거'!$A$7:$A$166,0)),INDEX('영상 근거'!$F$7:$F$166,MATCH($A70&amp;"-N",'영상 근거'!$A$7:$A$166,0))),IF(INDEX('영상 근거'!$F$7:$F$166,MATCH($A70&amp;"-N",'영상 근거'!$A$7:$A$166,0))=0,"네이버 위치","네이버 거리뷰"))</x:f>
        <x:v>HYPERLINK is not implemented. linkLocation=https://map.naver.com/p/entry/coordinates/3zfpl8,2AEE9j?c=15.00,0,0,0,dh, friendlyName=네이버 위치</x:v>
      </x:c>
      <x:c r="AJ70" s="105" t="e">
        <x:f>HYPERLINK(IF(INDEX('영상 근거'!$F$7:$F$166,MATCH($A70&amp;"-K",'영상 근거'!$A$7:$A$166,0))=0,INDEX('영상 근거'!$Q$7:$Q$166,MATCH($A70&amp;"-K",'영상 근거'!$A$7:$A$166,0)),INDEX('영상 근거'!$F$7:$F$166,MATCH($A70&amp;"-K",'영상 근거'!$A$7:$A$166,0))),"카카오 거리뷰")</x:f>
        <x:v>HYPERLINK is not implemented. linkLocation=https://map.kakao.com/?panoid=1202970277&amp;pan=90.4&amp;zoom=0&amp;map_type=TYPE_MAP&amp;map_attribute=ROADVIEW&amp;urlX=483222.0&amp;urlY=1080765.0, friendlyName=카카오 거리뷰</x:v>
      </x:c>
      <x:c r="AK70" s="105" t="e">
        <x:f>HYPERLINK("#'영상 근거'!A"&amp;(MATCH($A70&amp;"-N",'영상 근거'!$A$7:$A$166,0)+6),"두 영상 기록")</x:f>
        <x:v>HYPERLINK is not implemented. linkLocation=#'영상 근거'!A133, friendlyName=두 영상 기록</x:v>
      </x:c>
      <x:c r="AL70" s="106"/>
      <x:c r="AM70" s="106"/>
      <x:c r="AN70" s="67" t="str">
        <x:f>IF(COUNTIFS('영상 근거'!$B$7:$B$166,$A70,'영상 근거'!$H$7:$H$166,"pass")+COUNTIFS('영상 근거'!$B$7:$B$166,$A70,'영상 근거'!$H$7:$H$166,"block")+COUNTIFS('영상 근거'!$B$7:$B$166,$A70,'영상 근거'!$H$7:$H$166,"unknown")&lt;2,"미입력",IF(COUNTIFS('영상 근거'!$B$7:$B$166,$A70,'영상 근거'!$H$7:$H$166,"pass")=2,"pass 일치",IF(COUNTIFS('영상 근거'!$B$7:$B$166,$A70,'영상 근거'!$H$7:$H$166,"block")=2,"block 일치",IF(COUNTIFS('영상 근거'!$B$7:$B$166,$A70,'영상 근거'!$H$7:$H$166,"unknown")=2,"모두 unknown",IF(AND(COUNTIFS('영상 근거'!$B$7:$B$166,$A70,'영상 근거'!$H$7:$H$166,"pass")=1,COUNTIFS('영상 근거'!$B$7:$B$166,$A70,'영상 근거'!$H$7:$H$166,"block")=1),"불일치","한쪽 unknown")))))</x:f>
        <x:v>미입력</x:v>
      </x:c>
      <x:c r="AO70" s="67" t="str">
        <x:f>IF(COUNTIFS('영상 근거'!$B$7:$B$166,$A70,'영상 근거'!$K$7:$K$166,"pass")+COUNTIFS('영상 근거'!$B$7:$B$166,$A70,'영상 근거'!$K$7:$K$166,"block")+COUNTIFS('영상 근거'!$B$7:$B$166,$A70,'영상 근거'!$K$7:$K$166,"unknown")&lt;2,"미입력",IF(COUNTIFS('영상 근거'!$B$7:$B$166,$A70,'영상 근거'!$K$7:$K$166,"pass")=2,"pass 일치",IF(COUNTIFS('영상 근거'!$B$7:$B$166,$A70,'영상 근거'!$K$7:$K$166,"block")=2,"block 일치",IF(COUNTIFS('영상 근거'!$B$7:$B$166,$A70,'영상 근거'!$K$7:$K$166,"unknown")=2,"모두 unknown",IF(AND(COUNTIFS('영상 근거'!$B$7:$B$166,$A70,'영상 근거'!$K$7:$K$166,"pass")=1,COUNTIFS('영상 근거'!$B$7:$B$166,$A70,'영상 근거'!$K$7:$K$166,"block")=1),"불일치","한쪽 unknown")))))</x:f>
        <x:v>미입력</x:v>
      </x:c>
      <x:c r="AP70" s="106"/>
      <x:c r="AQ70" s="106"/>
      <x:c r="AR70" s="109" t="str">
        <x:v>통과 가능 후보</x:v>
      </x:c>
      <x:c r="AS70" s="109" t="str">
        <x:v>안내시설 양호 후보</x:v>
      </x:c>
      <x:c r="AT70" s="109" t="str">
        <x:v>보정 비대상</x:v>
      </x:c>
      <x:c r="AU70" s="162" t="str">
        <x:v>AI candidate</x:v>
      </x:c>
      <x:c r="AV70" s="162" t="str">
        <x:v>N</x:v>
      </x:c>
      <x:c r="AW70" s="206" t="str">
        <x:v>사람검수 대기</x:v>
      </x:c>
    </x:row>
    <x:row r="71" ht="34" customHeight="1">
      <x:c r="A71" s="28" t="str">
        <x:v>CW33-A</x:v>
      </x:c>
      <x:c r="B71" s="28" t="str">
        <x:v>CW33</x:v>
      </x:c>
      <x:c r="C71" s="28" t="str">
        <x:v>2025085001</x:v>
      </x:c>
      <x:c r="D71" s="28" t="str">
        <x:v>A</x:v>
      </x:c>
      <x:c r="E71" s="48" t="n">
        <x:v>37.389982227292826</x:v>
      </x:c>
      <x:c r="F71" s="48" t="n">
        <x:v>126.9254940088399</x:v>
      </x:c>
      <x:c r="G71" s="28" t="str">
        <x:v>public_explicit_risk</x:v>
      </x:c>
      <x:c r="H71" s="28" t="str">
        <x:v>있음</x:v>
      </x:c>
      <x:c r="I71" s="28" t="str">
        <x:v>없음</x:v>
      </x:c>
      <x:c r="J71" s="28" t="str">
        <x:v>provisional_high</x:v>
      </x:c>
      <x:c r="K71" s="30" t="n">
        <x:v>0.67</x:v>
      </x:c>
      <x:c r="L71" s="28" t="str">
        <x:v>Y</x:v>
      </x:c>
      <x:c r="M71" s="33" t="str">
        <x:f>IF(S71="","pending_1st_review",IF(L71="Y",IF(Z71="","pending_2nd_review",IF(S71=Z71,"reviewed_agree",IF(AB71="","needs_adjudication","adjudicated"))),"reviewed_once"))</x:f>
        <x:v>pending_1st_review</x:v>
      </x:c>
      <x:c r="N71" s="46" t="str"/>
      <x:c r="O71" s="53" t="str"/>
      <x:c r="P71" s="46" t="str"/>
      <x:c r="Q71" s="46" t="str"/>
      <x:c r="R71" s="46" t="str"/>
      <x:c r="S71" s="46" t="str"/>
      <x:c r="T71" s="46" t="str"/>
      <x:c r="U71" s="46" t="str"/>
      <x:c r="V71" s="53" t="str"/>
      <x:c r="W71" s="46" t="str"/>
      <x:c r="X71" s="46" t="str"/>
      <x:c r="Y71" s="46" t="str"/>
      <x:c r="Z71" s="46" t="str"/>
      <x:c r="AA71" s="46" t="str"/>
      <x:c r="AB71" s="46" t="str"/>
      <x:c r="AC71" s="46" t="str">
        <x:v>geometry_mismatch_candidate</x:v>
      </x:c>
      <x:c r="AD71" s="51" t="n">
        <x:v>0.58</x:v>
      </x:c>
      <x:c r="AE71" s="46" t="str"/>
      <x:c r="AF71" s="53" t="str">
        <x:v>2025-11-17 15:39:09</x:v>
      </x:c>
      <x:c r="AG71" s="28" t="str">
        <x:v>https://map.kakao.com/link/roadview/37.3899822,126.9254940</x:v>
      </x:c>
      <x:c r="AH71" s="28" t="str">
        <x:v>asset_level_inherited_not_endpoint_verified</x:v>
      </x:c>
      <x:c r="AI71" s="105" t="e">
        <x:f>HYPERLINK(IF(INDEX('영상 근거'!$F$7:$F$166,MATCH($A71&amp;"-N",'영상 근거'!$A$7:$A$166,0))=0,INDEX('영상 근거'!$Q$7:$Q$166,MATCH($A71&amp;"-N",'영상 근거'!$A$7:$A$166,0)),INDEX('영상 근거'!$F$7:$F$166,MATCH($A71&amp;"-N",'영상 근거'!$A$7:$A$166,0))),IF(INDEX('영상 근거'!$F$7:$F$166,MATCH($A71&amp;"-N",'영상 근거'!$A$7:$A$166,0))=0,"네이버 위치","네이버 거리뷰"))</x:f>
        <x:v>HYPERLINK is not implemented. linkLocation=https://map.naver.com/p/entry/coordinates/3zfsyo,2AEDMO?c=15.00,0,0,0,dh, friendlyName=네이버 위치</x:v>
      </x:c>
      <x:c r="AJ71" s="105" t="e">
        <x:f>HYPERLINK(IF(INDEX('영상 근거'!$F$7:$F$166,MATCH($A71&amp;"-K",'영상 근거'!$A$7:$A$166,0))=0,INDEX('영상 근거'!$Q$7:$Q$166,MATCH($A71&amp;"-K",'영상 근거'!$A$7:$A$166,0)),INDEX('영상 근거'!$F$7:$F$166,MATCH($A71&amp;"-K",'영상 근거'!$A$7:$A$166,0))),"카카오 거리뷰")</x:f>
        <x:v>HYPERLINK is not implemented. linkLocation=https://map.kakao.com/?panoid=1202972599&amp;pan=251.4&amp;zoom=0&amp;map_type=TYPE_MAP&amp;map_attribute=ROADVIEW&amp;urlX=483511.0&amp;urlY=1080749.0, friendlyName=카카오 거리뷰</x:v>
      </x:c>
      <x:c r="AK71" s="105" t="e">
        <x:f>HYPERLINK("#'영상 근거'!A"&amp;(MATCH($A71&amp;"-N",'영상 근거'!$A$7:$A$166,0)+6),"두 영상 기록")</x:f>
        <x:v>HYPERLINK is not implemented. linkLocation=#'영상 근거'!A135, friendlyName=두 영상 기록</x:v>
      </x:c>
      <x:c r="AL71" s="106"/>
      <x:c r="AM71" s="106"/>
      <x:c r="AN71" s="67" t="str">
        <x:f>IF(COUNTIFS('영상 근거'!$B$7:$B$166,$A71,'영상 근거'!$H$7:$H$166,"pass")+COUNTIFS('영상 근거'!$B$7:$B$166,$A71,'영상 근거'!$H$7:$H$166,"block")+COUNTIFS('영상 근거'!$B$7:$B$166,$A71,'영상 근거'!$H$7:$H$166,"unknown")&lt;2,"미입력",IF(COUNTIFS('영상 근거'!$B$7:$B$166,$A71,'영상 근거'!$H$7:$H$166,"pass")=2,"pass 일치",IF(COUNTIFS('영상 근거'!$B$7:$B$166,$A71,'영상 근거'!$H$7:$H$166,"block")=2,"block 일치",IF(COUNTIFS('영상 근거'!$B$7:$B$166,$A71,'영상 근거'!$H$7:$H$166,"unknown")=2,"모두 unknown",IF(AND(COUNTIFS('영상 근거'!$B$7:$B$166,$A71,'영상 근거'!$H$7:$H$166,"pass")=1,COUNTIFS('영상 근거'!$B$7:$B$166,$A71,'영상 근거'!$H$7:$H$166,"block")=1),"불일치","한쪽 unknown")))))</x:f>
        <x:v>미입력</x:v>
      </x:c>
      <x:c r="AO71" s="67" t="str">
        <x:f>IF(COUNTIFS('영상 근거'!$B$7:$B$166,$A71,'영상 근거'!$K$7:$K$166,"pass")+COUNTIFS('영상 근거'!$B$7:$B$166,$A71,'영상 근거'!$K$7:$K$166,"block")+COUNTIFS('영상 근거'!$B$7:$B$166,$A71,'영상 근거'!$K$7:$K$166,"unknown")&lt;2,"미입력",IF(COUNTIFS('영상 근거'!$B$7:$B$166,$A71,'영상 근거'!$K$7:$K$166,"pass")=2,"pass 일치",IF(COUNTIFS('영상 근거'!$B$7:$B$166,$A71,'영상 근거'!$K$7:$K$166,"block")=2,"block 일치",IF(COUNTIFS('영상 근거'!$B$7:$B$166,$A71,'영상 근거'!$K$7:$K$166,"unknown")=2,"모두 unknown",IF(AND(COUNTIFS('영상 근거'!$B$7:$B$166,$A71,'영상 근거'!$K$7:$K$166,"pass")=1,COUNTIFS('영상 근거'!$B$7:$B$166,$A71,'영상 근거'!$K$7:$K$166,"block")=1),"불일치","한쪽 unknown")))))</x:f>
        <x:v>미입력</x:v>
      </x:c>
      <x:c r="AP71" s="106"/>
      <x:c r="AQ71" s="106"/>
      <x:c r="AR71" s="109" t="str">
        <x:v>위치 불일치·판독보류</x:v>
      </x:c>
      <x:c r="AS71" s="109" t="str">
        <x:v>위치 불일치·판독보류</x:v>
      </x:c>
      <x:c r="AT71" s="109" t="str">
        <x:v>보정 필요</x:v>
      </x:c>
      <x:c r="AU71" s="162" t="str">
        <x:v>AI candidate</x:v>
      </x:c>
      <x:c r="AV71" s="162" t="str">
        <x:v>N</x:v>
      </x:c>
      <x:c r="AW71" s="206" t="str">
        <x:v>사람검수 대기</x:v>
      </x:c>
    </x:row>
    <x:row r="72" ht="34" customHeight="1">
      <x:c r="A72" s="28" t="str">
        <x:v>CW33-B</x:v>
      </x:c>
      <x:c r="B72" s="28" t="str">
        <x:v>CW33</x:v>
      </x:c>
      <x:c r="C72" s="28" t="str">
        <x:v>2025085001</x:v>
      </x:c>
      <x:c r="D72" s="28" t="str">
        <x:v>B</x:v>
      </x:c>
      <x:c r="E72" s="48" t="n">
        <x:v>37.39001577270718</x:v>
      </x:c>
      <x:c r="F72" s="48" t="n">
        <x:v>126.9254661911601</x:v>
      </x:c>
      <x:c r="G72" s="28" t="str">
        <x:v>public_explicit_risk</x:v>
      </x:c>
      <x:c r="H72" s="28" t="str">
        <x:v>있음</x:v>
      </x:c>
      <x:c r="I72" s="28" t="str">
        <x:v>없음</x:v>
      </x:c>
      <x:c r="J72" s="28" t="str">
        <x:v>provisional_high</x:v>
      </x:c>
      <x:c r="K72" s="30" t="n">
        <x:v>0.67</x:v>
      </x:c>
      <x:c r="L72" s="28" t="str">
        <x:v>Y</x:v>
      </x:c>
      <x:c r="M72" s="33" t="str">
        <x:f>IF(S72="","pending_1st_review",IF(L72="Y",IF(Z72="","pending_2nd_review",IF(S72=Z72,"reviewed_agree",IF(AB72="","needs_adjudication","adjudicated"))),"reviewed_once"))</x:f>
        <x:v>pending_1st_review</x:v>
      </x:c>
      <x:c r="N72" s="46" t="str"/>
      <x:c r="O72" s="53" t="str"/>
      <x:c r="P72" s="46" t="str"/>
      <x:c r="Q72" s="46" t="str"/>
      <x:c r="R72" s="46" t="str"/>
      <x:c r="S72" s="46" t="str"/>
      <x:c r="T72" s="46" t="str"/>
      <x:c r="U72" s="46" t="str"/>
      <x:c r="V72" s="53" t="str"/>
      <x:c r="W72" s="46" t="str"/>
      <x:c r="X72" s="46" t="str"/>
      <x:c r="Y72" s="46" t="str"/>
      <x:c r="Z72" s="46" t="str"/>
      <x:c r="AA72" s="46" t="str"/>
      <x:c r="AB72" s="46" t="str"/>
      <x:c r="AC72" s="46" t="str">
        <x:v>geometry_mismatch_candidate</x:v>
      </x:c>
      <x:c r="AD72" s="51" t="n">
        <x:v>0.58</x:v>
      </x:c>
      <x:c r="AE72" s="46" t="str"/>
      <x:c r="AF72" s="53" t="str">
        <x:v>2025-11-17 15:39:09</x:v>
      </x:c>
      <x:c r="AG72" s="28" t="str">
        <x:v>https://map.kakao.com/link/roadview/37.3900158,126.9254662</x:v>
      </x:c>
      <x:c r="AH72" s="28" t="str">
        <x:v>asset_level_inherited_not_endpoint_verified</x:v>
      </x:c>
      <x:c r="AI72" s="105" t="e">
        <x:f>HYPERLINK(IF(INDEX('영상 근거'!$F$7:$F$166,MATCH($A72&amp;"-N",'영상 근거'!$A$7:$A$166,0))=0,INDEX('영상 근거'!$Q$7:$Q$166,MATCH($A72&amp;"-N",'영상 근거'!$A$7:$A$166,0)),INDEX('영상 근거'!$F$7:$F$166,MATCH($A72&amp;"-N",'영상 근거'!$A$7:$A$166,0))),IF(INDEX('영상 근거'!$F$7:$F$166,MATCH($A72&amp;"-N",'영상 근거'!$A$7:$A$166,0))=0,"네이버 위치","네이버 거리뷰"))</x:f>
        <x:v>HYPERLINK is not implemented. linkLocation=https://map.naver.com/p/entry/coordinates/3zfstU,2AEDSe?c=15.00,0,0,0,dh, friendlyName=네이버 위치</x:v>
      </x:c>
      <x:c r="AJ72" s="105" t="e">
        <x:f>HYPERLINK(IF(INDEX('영상 근거'!$F$7:$F$166,MATCH($A72&amp;"-K",'영상 근거'!$A$7:$A$166,0))=0,INDEX('영상 근거'!$Q$7:$Q$166,MATCH($A72&amp;"-K",'영상 근거'!$A$7:$A$166,0)),INDEX('영상 근거'!$F$7:$F$166,MATCH($A72&amp;"-K",'영상 근거'!$A$7:$A$166,0))),"카카오 거리뷰")</x:f>
        <x:v>HYPERLINK is not implemented. linkLocation=https://map.kakao.com/?panoid=1202972599&amp;pan=251.4&amp;zoom=0&amp;map_type=TYPE_MAP&amp;map_attribute=ROADVIEW&amp;urlX=483511.0&amp;urlY=1080749.0, friendlyName=카카오 거리뷰</x:v>
      </x:c>
      <x:c r="AK72" s="105" t="e">
        <x:f>HYPERLINK("#'영상 근거'!A"&amp;(MATCH($A72&amp;"-N",'영상 근거'!$A$7:$A$166,0)+6),"두 영상 기록")</x:f>
        <x:v>HYPERLINK is not implemented. linkLocation=#'영상 근거'!A137, friendlyName=두 영상 기록</x:v>
      </x:c>
      <x:c r="AL72" s="106"/>
      <x:c r="AM72" s="106"/>
      <x:c r="AN72" s="67" t="str">
        <x:f>IF(COUNTIFS('영상 근거'!$B$7:$B$166,$A72,'영상 근거'!$H$7:$H$166,"pass")+COUNTIFS('영상 근거'!$B$7:$B$166,$A72,'영상 근거'!$H$7:$H$166,"block")+COUNTIFS('영상 근거'!$B$7:$B$166,$A72,'영상 근거'!$H$7:$H$166,"unknown")&lt;2,"미입력",IF(COUNTIFS('영상 근거'!$B$7:$B$166,$A72,'영상 근거'!$H$7:$H$166,"pass")=2,"pass 일치",IF(COUNTIFS('영상 근거'!$B$7:$B$166,$A72,'영상 근거'!$H$7:$H$166,"block")=2,"block 일치",IF(COUNTIFS('영상 근거'!$B$7:$B$166,$A72,'영상 근거'!$H$7:$H$166,"unknown")=2,"모두 unknown",IF(AND(COUNTIFS('영상 근거'!$B$7:$B$166,$A72,'영상 근거'!$H$7:$H$166,"pass")=1,COUNTIFS('영상 근거'!$B$7:$B$166,$A72,'영상 근거'!$H$7:$H$166,"block")=1),"불일치","한쪽 unknown")))))</x:f>
        <x:v>미입력</x:v>
      </x:c>
      <x:c r="AO72" s="67" t="str">
        <x:f>IF(COUNTIFS('영상 근거'!$B$7:$B$166,$A72,'영상 근거'!$K$7:$K$166,"pass")+COUNTIFS('영상 근거'!$B$7:$B$166,$A72,'영상 근거'!$K$7:$K$166,"block")+COUNTIFS('영상 근거'!$B$7:$B$166,$A72,'영상 근거'!$K$7:$K$166,"unknown")&lt;2,"미입력",IF(COUNTIFS('영상 근거'!$B$7:$B$166,$A72,'영상 근거'!$K$7:$K$166,"pass")=2,"pass 일치",IF(COUNTIFS('영상 근거'!$B$7:$B$166,$A72,'영상 근거'!$K$7:$K$166,"block")=2,"block 일치",IF(COUNTIFS('영상 근거'!$B$7:$B$166,$A72,'영상 근거'!$K$7:$K$166,"unknown")=2,"모두 unknown",IF(AND(COUNTIFS('영상 근거'!$B$7:$B$166,$A72,'영상 근거'!$K$7:$K$166,"pass")=1,COUNTIFS('영상 근거'!$B$7:$B$166,$A72,'영상 근거'!$K$7:$K$166,"block")=1),"불일치","한쪽 unknown")))))</x:f>
        <x:v>미입력</x:v>
      </x:c>
      <x:c r="AP72" s="106"/>
      <x:c r="AQ72" s="106"/>
      <x:c r="AR72" s="109" t="str">
        <x:v>위치 불일치·판독보류</x:v>
      </x:c>
      <x:c r="AS72" s="109" t="str">
        <x:v>위치 불일치·판독보류</x:v>
      </x:c>
      <x:c r="AT72" s="109" t="str">
        <x:v>보정 필요</x:v>
      </x:c>
      <x:c r="AU72" s="162" t="str">
        <x:v>AI candidate</x:v>
      </x:c>
      <x:c r="AV72" s="162" t="str">
        <x:v>N</x:v>
      </x:c>
      <x:c r="AW72" s="206" t="str">
        <x:v>사람검수 대기</x:v>
      </x:c>
    </x:row>
    <x:row r="73" ht="34" customHeight="1">
      <x:c r="A73" s="28" t="str">
        <x:v>CW34-A</x:v>
      </x:c>
      <x:c r="B73" s="28" t="str">
        <x:v>CW34</x:v>
      </x:c>
      <x:c r="C73" s="28" t="str">
        <x:v>2025085002</x:v>
      </x:c>
      <x:c r="D73" s="28" t="str">
        <x:v>A</x:v>
      </x:c>
      <x:c r="E73" s="48" t="n">
        <x:v>37.389622186729625</x:v>
      </x:c>
      <x:c r="F73" s="48" t="n">
        <x:v>126.92548561896953</x:v>
      </x:c>
      <x:c r="G73" s="28" t="str">
        <x:v>public_explicit_present</x:v>
      </x:c>
      <x:c r="H73" s="28" t="str">
        <x:v>있음</x:v>
      </x:c>
      <x:c r="I73" s="28" t="str">
        <x:v>있음</x:v>
      </x:c>
      <x:c r="J73" s="28" t="str">
        <x:v>provisional_high</x:v>
      </x:c>
      <x:c r="K73" s="30" t="n">
        <x:v>1.29</x:v>
      </x:c>
      <x:c r="L73" s="28" t="str">
        <x:v>Y</x:v>
      </x:c>
      <x:c r="M73" s="33" t="str">
        <x:f>IF(S73="","pending_1st_review",IF(L73="Y",IF(Z73="","pending_2nd_review",IF(S73=Z73,"reviewed_agree",IF(AB73="","needs_adjudication","adjudicated"))),"reviewed_once"))</x:f>
        <x:v>pending_1st_review</x:v>
      </x:c>
      <x:c r="N73" s="46" t="str"/>
      <x:c r="O73" s="53" t="str"/>
      <x:c r="P73" s="46" t="str"/>
      <x:c r="Q73" s="46" t="str"/>
      <x:c r="R73" s="46" t="str"/>
      <x:c r="S73" s="46" t="str"/>
      <x:c r="T73" s="46" t="str"/>
      <x:c r="U73" s="46" t="str"/>
      <x:c r="V73" s="53" t="str"/>
      <x:c r="W73" s="46" t="str"/>
      <x:c r="X73" s="46" t="str"/>
      <x:c r="Y73" s="46" t="str"/>
      <x:c r="Z73" s="46" t="str"/>
      <x:c r="AA73" s="46" t="str"/>
      <x:c r="AB73" s="46" t="str"/>
      <x:c r="AC73" s="46" t="str">
        <x:v>likely_accessible_candidate</x:v>
      </x:c>
      <x:c r="AD73" s="51" t="n">
        <x:v>0.82</x:v>
      </x:c>
      <x:c r="AE73" s="46" t="str"/>
      <x:c r="AF73" s="53" t="str">
        <x:v>2025-11-17 13:10:05</x:v>
      </x:c>
      <x:c r="AG73" s="28" t="str">
        <x:v>https://map.kakao.com/link/roadview/37.3896222,126.9254856</x:v>
      </x:c>
      <x:c r="AH73" s="28" t="str">
        <x:v>asset_level_inherited_not_endpoint_verified</x:v>
      </x:c>
      <x:c r="AI73" s="105" t="e">
        <x:f>HYPERLINK(IF(INDEX('영상 근거'!$F$7:$F$166,MATCH($A73&amp;"-N",'영상 근거'!$A$7:$A$166,0))=0,INDEX('영상 근거'!$Q$7:$Q$166,MATCH($A73&amp;"-N",'영상 근거'!$A$7:$A$166,0)),INDEX('영상 근거'!$F$7:$F$166,MATCH($A73&amp;"-N",'영상 근거'!$A$7:$A$166,0))),IF(INDEX('영상 근거'!$F$7:$F$166,MATCH($A73&amp;"-N",'영상 근거'!$A$7:$A$166,0))=0,"네이버 위치","네이버 거리뷰"))</x:f>
        <x:v>HYPERLINK is not implemented. linkLocation=https://map.naver.com/p/entry/coordinates/3zfsx2,2AECQK?c=15.00,0,0,0,dh, friendlyName=네이버 위치</x:v>
      </x:c>
      <x:c r="AJ73" s="105" t="e">
        <x:f>HYPERLINK(IF(INDEX('영상 근거'!$F$7:$F$166,MATCH($A73&amp;"-K",'영상 근거'!$A$7:$A$166,0))=0,INDEX('영상 근거'!$Q$7:$Q$166,MATCH($A73&amp;"-K",'영상 근거'!$A$7:$A$166,0)),INDEX('영상 근거'!$F$7:$F$166,MATCH($A73&amp;"-K",'영상 근거'!$A$7:$A$166,0))),"카카오 거리뷰")</x:f>
        <x:v>HYPERLINK is not implemented. linkLocation=https://map.kakao.com/?panoid=1202970045&amp;pan=233.1&amp;zoom=0&amp;map_type=TYPE_MAP&amp;map_attribute=ROADVIEW&amp;urlX=483504.0&amp;urlY=1080615.0, friendlyName=카카오 거리뷰</x:v>
      </x:c>
      <x:c r="AK73" s="105" t="e">
        <x:f>HYPERLINK("#'영상 근거'!A"&amp;(MATCH($A73&amp;"-N",'영상 근거'!$A$7:$A$166,0)+6),"두 영상 기록")</x:f>
        <x:v>HYPERLINK is not implemented. linkLocation=#'영상 근거'!A139, friendlyName=두 영상 기록</x:v>
      </x:c>
      <x:c r="AL73" s="106"/>
      <x:c r="AM73" s="106"/>
      <x:c r="AN73" s="67" t="str">
        <x:f>IF(COUNTIFS('영상 근거'!$B$7:$B$166,$A73,'영상 근거'!$H$7:$H$166,"pass")+COUNTIFS('영상 근거'!$B$7:$B$166,$A73,'영상 근거'!$H$7:$H$166,"block")+COUNTIFS('영상 근거'!$B$7:$B$166,$A73,'영상 근거'!$H$7:$H$166,"unknown")&lt;2,"미입력",IF(COUNTIFS('영상 근거'!$B$7:$B$166,$A73,'영상 근거'!$H$7:$H$166,"pass")=2,"pass 일치",IF(COUNTIFS('영상 근거'!$B$7:$B$166,$A73,'영상 근거'!$H$7:$H$166,"block")=2,"block 일치",IF(COUNTIFS('영상 근거'!$B$7:$B$166,$A73,'영상 근거'!$H$7:$H$166,"unknown")=2,"모두 unknown",IF(AND(COUNTIFS('영상 근거'!$B$7:$B$166,$A73,'영상 근거'!$H$7:$H$166,"pass")=1,COUNTIFS('영상 근거'!$B$7:$B$166,$A73,'영상 근거'!$H$7:$H$166,"block")=1),"불일치","한쪽 unknown")))))</x:f>
        <x:v>미입력</x:v>
      </x:c>
      <x:c r="AO73" s="67" t="str">
        <x:f>IF(COUNTIFS('영상 근거'!$B$7:$B$166,$A73,'영상 근거'!$K$7:$K$166,"pass")+COUNTIFS('영상 근거'!$B$7:$B$166,$A73,'영상 근거'!$K$7:$K$166,"block")+COUNTIFS('영상 근거'!$B$7:$B$166,$A73,'영상 근거'!$K$7:$K$166,"unknown")&lt;2,"미입력",IF(COUNTIFS('영상 근거'!$B$7:$B$166,$A73,'영상 근거'!$K$7:$K$166,"pass")=2,"pass 일치",IF(COUNTIFS('영상 근거'!$B$7:$B$166,$A73,'영상 근거'!$K$7:$K$166,"block")=2,"block 일치",IF(COUNTIFS('영상 근거'!$B$7:$B$166,$A73,'영상 근거'!$K$7:$K$166,"unknown")=2,"모두 unknown",IF(AND(COUNTIFS('영상 근거'!$B$7:$B$166,$A73,'영상 근거'!$K$7:$K$166,"pass")=1,COUNTIFS('영상 근거'!$B$7:$B$166,$A73,'영상 근거'!$K$7:$K$166,"block")=1),"불일치","한쪽 unknown")))))</x:f>
        <x:v>미입력</x:v>
      </x:c>
      <x:c r="AP73" s="106"/>
      <x:c r="AQ73" s="106"/>
      <x:c r="AR73" s="109" t="str">
        <x:v>통과 가능 후보</x:v>
      </x:c>
      <x:c r="AS73" s="109" t="str">
        <x:v>안내시설 양호 후보</x:v>
      </x:c>
      <x:c r="AT73" s="109" t="str">
        <x:v>보정 비대상</x:v>
      </x:c>
      <x:c r="AU73" s="162" t="str">
        <x:v>AI candidate</x:v>
      </x:c>
      <x:c r="AV73" s="162" t="str">
        <x:v>N</x:v>
      </x:c>
      <x:c r="AW73" s="206" t="str">
        <x:v>사람검수 대기</x:v>
      </x:c>
    </x:row>
    <x:row r="74" ht="34" customHeight="1">
      <x:c r="A74" s="28" t="str">
        <x:v>CW34-B</x:v>
      </x:c>
      <x:c r="B74" s="28" t="str">
        <x:v>CW34</x:v>
      </x:c>
      <x:c r="C74" s="28" t="str">
        <x:v>2025085002</x:v>
      </x:c>
      <x:c r="D74" s="28" t="str">
        <x:v>B</x:v>
      </x:c>
      <x:c r="E74" s="48" t="n">
        <x:v>37.38965699327038</x:v>
      </x:c>
      <x:c r="F74" s="48" t="n">
        <x:v>126.92561438103047</x:v>
      </x:c>
      <x:c r="G74" s="28" t="str">
        <x:v>public_explicit_present</x:v>
      </x:c>
      <x:c r="H74" s="28" t="str">
        <x:v>있음</x:v>
      </x:c>
      <x:c r="I74" s="28" t="str">
        <x:v>있음</x:v>
      </x:c>
      <x:c r="J74" s="28" t="str">
        <x:v>provisional_high</x:v>
      </x:c>
      <x:c r="K74" s="30" t="n">
        <x:v>1.29</x:v>
      </x:c>
      <x:c r="L74" s="28" t="str">
        <x:v>Y</x:v>
      </x:c>
      <x:c r="M74" s="33" t="str">
        <x:f>IF(S74="","pending_1st_review",IF(L74="Y",IF(Z74="","pending_2nd_review",IF(S74=Z74,"reviewed_agree",IF(AB74="","needs_adjudication","adjudicated"))),"reviewed_once"))</x:f>
        <x:v>pending_1st_review</x:v>
      </x:c>
      <x:c r="N74" s="46" t="str"/>
      <x:c r="O74" s="53" t="str"/>
      <x:c r="P74" s="46" t="str"/>
      <x:c r="Q74" s="46" t="str"/>
      <x:c r="R74" s="46" t="str"/>
      <x:c r="S74" s="46" t="str"/>
      <x:c r="T74" s="46" t="str"/>
      <x:c r="U74" s="46" t="str"/>
      <x:c r="V74" s="53" t="str"/>
      <x:c r="W74" s="46" t="str"/>
      <x:c r="X74" s="46" t="str"/>
      <x:c r="Y74" s="46" t="str"/>
      <x:c r="Z74" s="46" t="str"/>
      <x:c r="AA74" s="46" t="str"/>
      <x:c r="AB74" s="46" t="str"/>
      <x:c r="AC74" s="46" t="str">
        <x:v>visibility_review_needed</x:v>
      </x:c>
      <x:c r="AD74" s="51" t="n">
        <x:v>0.52</x:v>
      </x:c>
      <x:c r="AE74" s="46" t="str"/>
      <x:c r="AF74" s="53" t="str">
        <x:v>2025-11-17 11:57:08</x:v>
      </x:c>
      <x:c r="AG74" s="28" t="str">
        <x:v>https://map.kakao.com/link/roadview/37.3896570,126.9256144</x:v>
      </x:c>
      <x:c r="AH74" s="28" t="str">
        <x:v>asset_level_inherited_not_endpoint_verified</x:v>
      </x:c>
      <x:c r="AI74" s="105" t="e">
        <x:f>HYPERLINK(IF(INDEX('영상 근거'!$F$7:$F$166,MATCH($A74&amp;"-N",'영상 근거'!$A$7:$A$166,0))=0,INDEX('영상 근거'!$Q$7:$Q$166,MATCH($A74&amp;"-N",'영상 근거'!$A$7:$A$166,0)),INDEX('영상 근거'!$F$7:$F$166,MATCH($A74&amp;"-N",'영상 근거'!$A$7:$A$166,0))),IF(INDEX('영상 근거'!$F$7:$F$166,MATCH($A74&amp;"-N",'영상 근거'!$A$7:$A$166,0))=0,"네이버 위치","네이버 거리뷰"))</x:f>
        <x:v>HYPERLINK is not implemented. linkLocation=https://map.naver.com/p/entry/coordinates/3zfsRO,2AECWm?c=15.00,0,0,0,dh, friendlyName=네이버 위치</x:v>
      </x:c>
      <x:c r="AJ74" s="105" t="e">
        <x:f>HYPERLINK(IF(INDEX('영상 근거'!$F$7:$F$166,MATCH($A74&amp;"-K",'영상 근거'!$A$7:$A$166,0))=0,INDEX('영상 근거'!$Q$7:$Q$166,MATCH($A74&amp;"-K",'영상 근거'!$A$7:$A$166,0)),INDEX('영상 근거'!$F$7:$F$166,MATCH($A74&amp;"-K",'영상 근거'!$A$7:$A$166,0))),"카카오 거리뷰")</x:f>
        <x:v>HYPERLINK is not implemented. linkLocation=https://map.kakao.com/?panoid=1202969653&amp;pan=339.7&amp;zoom=0&amp;map_type=TYPE_MAP&amp;map_attribute=ROADVIEW&amp;urlX=483529.0&amp;urlY=1080649.0, friendlyName=카카오 거리뷰</x:v>
      </x:c>
      <x:c r="AK74" s="105" t="e">
        <x:f>HYPERLINK("#'영상 근거'!A"&amp;(MATCH($A74&amp;"-N",'영상 근거'!$A$7:$A$166,0)+6),"두 영상 기록")</x:f>
        <x:v>HYPERLINK is not implemented. linkLocation=#'영상 근거'!A141, friendlyName=두 영상 기록</x:v>
      </x:c>
      <x:c r="AL74" s="106"/>
      <x:c r="AM74" s="106"/>
      <x:c r="AN74" s="67" t="str">
        <x:f>IF(COUNTIFS('영상 근거'!$B$7:$B$166,$A74,'영상 근거'!$H$7:$H$166,"pass")+COUNTIFS('영상 근거'!$B$7:$B$166,$A74,'영상 근거'!$H$7:$H$166,"block")+COUNTIFS('영상 근거'!$B$7:$B$166,$A74,'영상 근거'!$H$7:$H$166,"unknown")&lt;2,"미입력",IF(COUNTIFS('영상 근거'!$B$7:$B$166,$A74,'영상 근거'!$H$7:$H$166,"pass")=2,"pass 일치",IF(COUNTIFS('영상 근거'!$B$7:$B$166,$A74,'영상 근거'!$H$7:$H$166,"block")=2,"block 일치",IF(COUNTIFS('영상 근거'!$B$7:$B$166,$A74,'영상 근거'!$H$7:$H$166,"unknown")=2,"모두 unknown",IF(AND(COUNTIFS('영상 근거'!$B$7:$B$166,$A74,'영상 근거'!$H$7:$H$166,"pass")=1,COUNTIFS('영상 근거'!$B$7:$B$166,$A74,'영상 근거'!$H$7:$H$166,"block")=1),"불일치","한쪽 unknown")))))</x:f>
        <x:v>미입력</x:v>
      </x:c>
      <x:c r="AO74" s="67" t="str">
        <x:f>IF(COUNTIFS('영상 근거'!$B$7:$B$166,$A74,'영상 근거'!$K$7:$K$166,"pass")+COUNTIFS('영상 근거'!$B$7:$B$166,$A74,'영상 근거'!$K$7:$K$166,"block")+COUNTIFS('영상 근거'!$B$7:$B$166,$A74,'영상 근거'!$K$7:$K$166,"unknown")&lt;2,"미입력",IF(COUNTIFS('영상 근거'!$B$7:$B$166,$A74,'영상 근거'!$K$7:$K$166,"pass")=2,"pass 일치",IF(COUNTIFS('영상 근거'!$B$7:$B$166,$A74,'영상 근거'!$K$7:$K$166,"block")=2,"block 일치",IF(COUNTIFS('영상 근거'!$B$7:$B$166,$A74,'영상 근거'!$K$7:$K$166,"unknown")=2,"모두 unknown",IF(AND(COUNTIFS('영상 근거'!$B$7:$B$166,$A74,'영상 근거'!$K$7:$K$166,"pass")=1,COUNTIFS('영상 근거'!$B$7:$B$166,$A74,'영상 근거'!$K$7:$K$166,"block")=1),"불일치","한쪽 unknown")))))</x:f>
        <x:v>미입력</x:v>
      </x:c>
      <x:c r="AP74" s="106"/>
      <x:c r="AQ74" s="106"/>
      <x:c r="AR74" s="109" t="str">
        <x:v>시야 부족·판독보류</x:v>
      </x:c>
      <x:c r="AS74" s="109" t="str">
        <x:v>시야 부족·판독보류</x:v>
      </x:c>
      <x:c r="AT74" s="109" t="str">
        <x:v>보정 비대상</x:v>
      </x:c>
      <x:c r="AU74" s="162" t="str">
        <x:v>AI candidate</x:v>
      </x:c>
      <x:c r="AV74" s="162" t="str">
        <x:v>N</x:v>
      </x:c>
      <x:c r="AW74" s="206" t="str">
        <x:v>사람검수 대기</x:v>
      </x:c>
    </x:row>
    <x:row r="75" ht="34" customHeight="1">
      <x:c r="A75" s="28" t="str">
        <x:v>CW35-A</x:v>
      </x:c>
      <x:c r="B75" s="28" t="str">
        <x:v>CW35</x:v>
      </x:c>
      <x:c r="C75" s="28" t="str">
        <x:v>2025085003</x:v>
      </x:c>
      <x:c r="D75" s="28" t="str">
        <x:v>A</x:v>
      </x:c>
      <x:c r="E75" s="48" t="n">
        <x:v>37.38956545502662</x:v>
      </x:c>
      <x:c r="F75" s="48" t="n">
        <x:v>126.92568254442703</x:v>
      </x:c>
      <x:c r="G75" s="28" t="str">
        <x:v>public_explicit_present</x:v>
      </x:c>
      <x:c r="H75" s="28" t="str">
        <x:v>있음</x:v>
      </x:c>
      <x:c r="I75" s="28" t="str">
        <x:v>있음</x:v>
      </x:c>
      <x:c r="J75" s="28" t="str">
        <x:v>provisional_high</x:v>
      </x:c>
      <x:c r="K75" s="30" t="n">
        <x:v>1.14</x:v>
      </x:c>
      <x:c r="L75" s="28" t="str">
        <x:v>N</x:v>
      </x:c>
      <x:c r="M75" s="33" t="str">
        <x:f>IF(S75="","pending_1st_review",IF(L75="Y",IF(Z75="","pending_2nd_review",IF(S75=Z75,"reviewed_agree",IF(AB75="","needs_adjudication","adjudicated"))),"reviewed_once"))</x:f>
        <x:v>pending_1st_review</x:v>
      </x:c>
      <x:c r="N75" s="46" t="str"/>
      <x:c r="O75" s="53" t="str"/>
      <x:c r="P75" s="46" t="str"/>
      <x:c r="Q75" s="46" t="str"/>
      <x:c r="R75" s="46" t="str"/>
      <x:c r="S75" s="46" t="str"/>
      <x:c r="T75" s="46" t="str"/>
      <x:c r="U75" s="46" t="str"/>
      <x:c r="V75" s="53" t="str"/>
      <x:c r="W75" s="46" t="str"/>
      <x:c r="X75" s="46" t="str"/>
      <x:c r="Y75" s="46" t="str"/>
      <x:c r="Z75" s="46" t="str"/>
      <x:c r="AA75" s="46" t="str"/>
      <x:c r="AB75" s="46" t="str"/>
      <x:c r="AC75" s="46" t="str">
        <x:v>likely_accessible_candidate</x:v>
      </x:c>
      <x:c r="AD75" s="51" t="n">
        <x:v>0.82</x:v>
      </x:c>
      <x:c r="AE75" s="46" t="str"/>
      <x:c r="AF75" s="53" t="str">
        <x:v>2025-11-17 11:57:07</x:v>
      </x:c>
      <x:c r="AG75" s="28" t="str">
        <x:v>https://map.kakao.com/link/roadview/37.3895655,126.9256825</x:v>
      </x:c>
      <x:c r="AH75" s="28" t="str">
        <x:v>asset_level_inherited_not_endpoint_verified</x:v>
      </x:c>
      <x:c r="AI75" s="105" t="e">
        <x:f>HYPERLINK(IF(INDEX('영상 근거'!$F$7:$F$166,MATCH($A75&amp;"-N",'영상 근거'!$A$7:$A$166,0))=0,INDEX('영상 근거'!$Q$7:$Q$166,MATCH($A75&amp;"-N",'영상 근거'!$A$7:$A$166,0)),INDEX('영상 근거'!$F$7:$F$166,MATCH($A75&amp;"-N",'영상 근거'!$A$7:$A$166,0))),IF(INDEX('영상 근거'!$F$7:$F$166,MATCH($A75&amp;"-N",'영상 근거'!$A$7:$A$166,0))=0,"네이버 위치","네이버 거리뷰"))</x:f>
        <x:v>HYPERLINK is not implemented. linkLocation=https://map.naver.com/p/entry/coordinates/3zft2N,2AECHB?c=15.00,0,0,0,dh, friendlyName=네이버 위치</x:v>
      </x:c>
      <x:c r="AJ75" s="105" t="e">
        <x:f>HYPERLINK(IF(INDEX('영상 근거'!$F$7:$F$166,MATCH($A75&amp;"-K",'영상 근거'!$A$7:$A$166,0))=0,INDEX('영상 근거'!$Q$7:$Q$166,MATCH($A75&amp;"-K",'영상 근거'!$A$7:$A$166,0)),INDEX('영상 근거'!$F$7:$F$166,MATCH($A75&amp;"-K",'영상 근거'!$A$7:$A$166,0))),"카카오 거리뷰")</x:f>
        <x:v>HYPERLINK is not implemented. linkLocation=https://map.kakao.com/?panoid=1202969652&amp;pan=339.6&amp;zoom=0&amp;map_type=TYPE_MAP&amp;map_attribute=ROADVIEW&amp;urlX=483537.0&amp;urlY=1080625.0, friendlyName=카카오 거리뷰</x:v>
      </x:c>
      <x:c r="AK75" s="105" t="e">
        <x:f>HYPERLINK("#'영상 근거'!A"&amp;(MATCH($A75&amp;"-N",'영상 근거'!$A$7:$A$166,0)+6),"두 영상 기록")</x:f>
        <x:v>HYPERLINK is not implemented. linkLocation=#'영상 근거'!A143, friendlyName=두 영상 기록</x:v>
      </x:c>
      <x:c r="AL75" s="106"/>
      <x:c r="AM75" s="106"/>
      <x:c r="AN75" s="67" t="str">
        <x:f>IF(COUNTIFS('영상 근거'!$B$7:$B$166,$A75,'영상 근거'!$H$7:$H$166,"pass")+COUNTIFS('영상 근거'!$B$7:$B$166,$A75,'영상 근거'!$H$7:$H$166,"block")+COUNTIFS('영상 근거'!$B$7:$B$166,$A75,'영상 근거'!$H$7:$H$166,"unknown")&lt;2,"미입력",IF(COUNTIFS('영상 근거'!$B$7:$B$166,$A75,'영상 근거'!$H$7:$H$166,"pass")=2,"pass 일치",IF(COUNTIFS('영상 근거'!$B$7:$B$166,$A75,'영상 근거'!$H$7:$H$166,"block")=2,"block 일치",IF(COUNTIFS('영상 근거'!$B$7:$B$166,$A75,'영상 근거'!$H$7:$H$166,"unknown")=2,"모두 unknown",IF(AND(COUNTIFS('영상 근거'!$B$7:$B$166,$A75,'영상 근거'!$H$7:$H$166,"pass")=1,COUNTIFS('영상 근거'!$B$7:$B$166,$A75,'영상 근거'!$H$7:$H$166,"block")=1),"불일치","한쪽 unknown")))))</x:f>
        <x:v>미입력</x:v>
      </x:c>
      <x:c r="AO75" s="67" t="str">
        <x:f>IF(COUNTIFS('영상 근거'!$B$7:$B$166,$A75,'영상 근거'!$K$7:$K$166,"pass")+COUNTIFS('영상 근거'!$B$7:$B$166,$A75,'영상 근거'!$K$7:$K$166,"block")+COUNTIFS('영상 근거'!$B$7:$B$166,$A75,'영상 근거'!$K$7:$K$166,"unknown")&lt;2,"미입력",IF(COUNTIFS('영상 근거'!$B$7:$B$166,$A75,'영상 근거'!$K$7:$K$166,"pass")=2,"pass 일치",IF(COUNTIFS('영상 근거'!$B$7:$B$166,$A75,'영상 근거'!$K$7:$K$166,"block")=2,"block 일치",IF(COUNTIFS('영상 근거'!$B$7:$B$166,$A75,'영상 근거'!$K$7:$K$166,"unknown")=2,"모두 unknown",IF(AND(COUNTIFS('영상 근거'!$B$7:$B$166,$A75,'영상 근거'!$K$7:$K$166,"pass")=1,COUNTIFS('영상 근거'!$B$7:$B$166,$A75,'영상 근거'!$K$7:$K$166,"block")=1),"불일치","한쪽 unknown")))))</x:f>
        <x:v>미입력</x:v>
      </x:c>
      <x:c r="AP75" s="106"/>
      <x:c r="AQ75" s="106"/>
      <x:c r="AR75" s="109" t="str">
        <x:v>통과 가능 후보</x:v>
      </x:c>
      <x:c r="AS75" s="109" t="str">
        <x:v>안내시설 양호 후보</x:v>
      </x:c>
      <x:c r="AT75" s="109" t="str">
        <x:v>보정 비대상</x:v>
      </x:c>
      <x:c r="AU75" s="162" t="str">
        <x:v>AI candidate</x:v>
      </x:c>
      <x:c r="AV75" s="162" t="str">
        <x:v>N</x:v>
      </x:c>
      <x:c r="AW75" s="206" t="str">
        <x:v>사람검수 대기</x:v>
      </x:c>
    </x:row>
    <x:row r="76" ht="34" customHeight="1">
      <x:c r="A76" s="28" t="str">
        <x:v>CW35-B</x:v>
      </x:c>
      <x:c r="B76" s="28" t="str">
        <x:v>CW35</x:v>
      </x:c>
      <x:c r="C76" s="28" t="str">
        <x:v>2025085003</x:v>
      </x:c>
      <x:c r="D76" s="28" t="str">
        <x:v>B</x:v>
      </x:c>
      <x:c r="E76" s="48" t="n">
        <x:v>37.38963516497338</x:v>
      </x:c>
      <x:c r="F76" s="48" t="n">
        <x:v>126.92564065557295</x:v>
      </x:c>
      <x:c r="G76" s="28" t="str">
        <x:v>public_explicit_present</x:v>
      </x:c>
      <x:c r="H76" s="28" t="str">
        <x:v>있음</x:v>
      </x:c>
      <x:c r="I76" s="28" t="str">
        <x:v>있음</x:v>
      </x:c>
      <x:c r="J76" s="28" t="str">
        <x:v>provisional_high</x:v>
      </x:c>
      <x:c r="K76" s="30" t="n">
        <x:v>1.14</x:v>
      </x:c>
      <x:c r="L76" s="28" t="str">
        <x:v>N</x:v>
      </x:c>
      <x:c r="M76" s="33" t="str">
        <x:f>IF(S76="","pending_1st_review",IF(L76="Y",IF(Z76="","pending_2nd_review",IF(S76=Z76,"reviewed_agree",IF(AB76="","needs_adjudication","adjudicated"))),"reviewed_once"))</x:f>
        <x:v>pending_1st_review</x:v>
      </x:c>
      <x:c r="N76" s="46" t="str"/>
      <x:c r="O76" s="53" t="str"/>
      <x:c r="P76" s="46" t="str"/>
      <x:c r="Q76" s="46" t="str"/>
      <x:c r="R76" s="46" t="str"/>
      <x:c r="S76" s="46" t="str"/>
      <x:c r="T76" s="46" t="str"/>
      <x:c r="U76" s="46" t="str"/>
      <x:c r="V76" s="53" t="str"/>
      <x:c r="W76" s="46" t="str"/>
      <x:c r="X76" s="46" t="str"/>
      <x:c r="Y76" s="46" t="str"/>
      <x:c r="Z76" s="46" t="str"/>
      <x:c r="AA76" s="46" t="str"/>
      <x:c r="AB76" s="46" t="str"/>
      <x:c r="AC76" s="46" t="str">
        <x:v>geometry_mismatch_candidate</x:v>
      </x:c>
      <x:c r="AD76" s="51" t="n">
        <x:v>0.58</x:v>
      </x:c>
      <x:c r="AE76" s="46" t="str"/>
      <x:c r="AF76" s="53" t="str">
        <x:v>2025-11-17 11:57:08</x:v>
      </x:c>
      <x:c r="AG76" s="28" t="str">
        <x:v>https://map.kakao.com/link/roadview/37.3896352,126.9256407</x:v>
      </x:c>
      <x:c r="AH76" s="28" t="str">
        <x:v>asset_level_inherited_not_endpoint_verified</x:v>
      </x:c>
      <x:c r="AI76" s="105" t="e">
        <x:f>HYPERLINK(IF(INDEX('영상 근거'!$F$7:$F$166,MATCH($A76&amp;"-N",'영상 근거'!$A$7:$A$166,0))=0,INDEX('영상 근거'!$Q$7:$Q$166,MATCH($A76&amp;"-N",'영상 근거'!$A$7:$A$166,0)),INDEX('영상 근거'!$F$7:$F$166,MATCH($A76&amp;"-N",'영상 근거'!$A$7:$A$166,0))),IF(INDEX('영상 근거'!$F$7:$F$166,MATCH($A76&amp;"-N",'영상 근거'!$A$7:$A$166,0))=0,"네이버 위치","네이버 거리뷰"))</x:f>
        <x:v>HYPERLINK is not implemented. linkLocation=https://map.naver.com/p/entry/coordinates/3zfsW3,2AECSQ?c=15.00,0,0,0,dh, friendlyName=네이버 위치</x:v>
      </x:c>
      <x:c r="AJ76" s="105" t="e">
        <x:f>HYPERLINK(IF(INDEX('영상 근거'!$F$7:$F$166,MATCH($A76&amp;"-K",'영상 근거'!$A$7:$A$166,0))=0,INDEX('영상 근거'!$Q$7:$Q$166,MATCH($A76&amp;"-K",'영상 근거'!$A$7:$A$166,0)),INDEX('영상 근거'!$F$7:$F$166,MATCH($A76&amp;"-K",'영상 근거'!$A$7:$A$166,0))),"카카오 거리뷰")</x:f>
        <x:v>HYPERLINK is not implemented. linkLocation=https://map.kakao.com/?panoid=1202969653&amp;pan=339.7&amp;zoom=0&amp;map_type=TYPE_MAP&amp;map_attribute=ROADVIEW&amp;urlX=483529.0&amp;urlY=1080649.0, friendlyName=카카오 거리뷰</x:v>
      </x:c>
      <x:c r="AK76" s="105" t="e">
        <x:f>HYPERLINK("#'영상 근거'!A"&amp;(MATCH($A76&amp;"-N",'영상 근거'!$A$7:$A$166,0)+6),"두 영상 기록")</x:f>
        <x:v>HYPERLINK is not implemented. linkLocation=#'영상 근거'!A145, friendlyName=두 영상 기록</x:v>
      </x:c>
      <x:c r="AL76" s="106"/>
      <x:c r="AM76" s="106"/>
      <x:c r="AN76" s="67" t="str">
        <x:f>IF(COUNTIFS('영상 근거'!$B$7:$B$166,$A76,'영상 근거'!$H$7:$H$166,"pass")+COUNTIFS('영상 근거'!$B$7:$B$166,$A76,'영상 근거'!$H$7:$H$166,"block")+COUNTIFS('영상 근거'!$B$7:$B$166,$A76,'영상 근거'!$H$7:$H$166,"unknown")&lt;2,"미입력",IF(COUNTIFS('영상 근거'!$B$7:$B$166,$A76,'영상 근거'!$H$7:$H$166,"pass")=2,"pass 일치",IF(COUNTIFS('영상 근거'!$B$7:$B$166,$A76,'영상 근거'!$H$7:$H$166,"block")=2,"block 일치",IF(COUNTIFS('영상 근거'!$B$7:$B$166,$A76,'영상 근거'!$H$7:$H$166,"unknown")=2,"모두 unknown",IF(AND(COUNTIFS('영상 근거'!$B$7:$B$166,$A76,'영상 근거'!$H$7:$H$166,"pass")=1,COUNTIFS('영상 근거'!$B$7:$B$166,$A76,'영상 근거'!$H$7:$H$166,"block")=1),"불일치","한쪽 unknown")))))</x:f>
        <x:v>미입력</x:v>
      </x:c>
      <x:c r="AO76" s="67" t="str">
        <x:f>IF(COUNTIFS('영상 근거'!$B$7:$B$166,$A76,'영상 근거'!$K$7:$K$166,"pass")+COUNTIFS('영상 근거'!$B$7:$B$166,$A76,'영상 근거'!$K$7:$K$166,"block")+COUNTIFS('영상 근거'!$B$7:$B$166,$A76,'영상 근거'!$K$7:$K$166,"unknown")&lt;2,"미입력",IF(COUNTIFS('영상 근거'!$B$7:$B$166,$A76,'영상 근거'!$K$7:$K$166,"pass")=2,"pass 일치",IF(COUNTIFS('영상 근거'!$B$7:$B$166,$A76,'영상 근거'!$K$7:$K$166,"block")=2,"block 일치",IF(COUNTIFS('영상 근거'!$B$7:$B$166,$A76,'영상 근거'!$K$7:$K$166,"unknown")=2,"모두 unknown",IF(AND(COUNTIFS('영상 근거'!$B$7:$B$166,$A76,'영상 근거'!$K$7:$K$166,"pass")=1,COUNTIFS('영상 근거'!$B$7:$B$166,$A76,'영상 근거'!$K$7:$K$166,"block")=1),"불일치","한쪽 unknown")))))</x:f>
        <x:v>미입력</x:v>
      </x:c>
      <x:c r="AP76" s="106"/>
      <x:c r="AQ76" s="106"/>
      <x:c r="AR76" s="109" t="str">
        <x:v>위치 불일치·판독보류</x:v>
      </x:c>
      <x:c r="AS76" s="109" t="str">
        <x:v>위치 불일치·판독보류</x:v>
      </x:c>
      <x:c r="AT76" s="109" t="str">
        <x:v>보정 필요</x:v>
      </x:c>
      <x:c r="AU76" s="162" t="str">
        <x:v>AI candidate</x:v>
      </x:c>
      <x:c r="AV76" s="162" t="str">
        <x:v>N</x:v>
      </x:c>
      <x:c r="AW76" s="206" t="str">
        <x:v>사람검수 대기</x:v>
      </x:c>
    </x:row>
    <x:row r="77" ht="34" customHeight="1">
      <x:c r="A77" s="28" t="str">
        <x:v>CW36-A</x:v>
      </x:c>
      <x:c r="B77" s="28" t="str">
        <x:v>CW36</x:v>
      </x:c>
      <x:c r="C77" s="28" t="str">
        <x:v>2025085005</x:v>
      </x:c>
      <x:c r="D77" s="28" t="str">
        <x:v>A</x:v>
      </x:c>
      <x:c r="E77" s="48" t="n">
        <x:v>37.389460889905884</x:v>
      </x:c>
      <x:c r="F77" s="48" t="n">
        <x:v>126.92553763921738</x:v>
      </x:c>
      <x:c r="G77" s="28" t="str">
        <x:v>public_explicit_present</x:v>
      </x:c>
      <x:c r="H77" s="28" t="str">
        <x:v>있음</x:v>
      </x:c>
      <x:c r="I77" s="28" t="str">
        <x:v>있음</x:v>
      </x:c>
      <x:c r="J77" s="28" t="str">
        <x:v>provisional_high</x:v>
      </x:c>
      <x:c r="K77" s="30" t="n">
        <x:v>0.6</x:v>
      </x:c>
      <x:c r="L77" s="28" t="str">
        <x:v>Y</x:v>
      </x:c>
      <x:c r="M77" s="33" t="str">
        <x:f>IF(S77="","pending_1st_review",IF(L77="Y",IF(Z77="","pending_2nd_review",IF(S77=Z77,"reviewed_agree",IF(AB77="","needs_adjudication","adjudicated"))),"reviewed_once"))</x:f>
        <x:v>pending_1st_review</x:v>
      </x:c>
      <x:c r="N77" s="46" t="str"/>
      <x:c r="O77" s="53" t="str"/>
      <x:c r="P77" s="46" t="str"/>
      <x:c r="Q77" s="46" t="str"/>
      <x:c r="R77" s="46" t="str"/>
      <x:c r="S77" s="46" t="str"/>
      <x:c r="T77" s="46" t="str"/>
      <x:c r="U77" s="46" t="str"/>
      <x:c r="V77" s="53" t="str"/>
      <x:c r="W77" s="46" t="str"/>
      <x:c r="X77" s="46" t="str"/>
      <x:c r="Y77" s="46" t="str"/>
      <x:c r="Z77" s="46" t="str"/>
      <x:c r="AA77" s="46" t="str"/>
      <x:c r="AB77" s="46" t="str"/>
      <x:c r="AC77" s="46" t="str">
        <x:v>visibility_review_needed</x:v>
      </x:c>
      <x:c r="AD77" s="51" t="n">
        <x:v>0.52</x:v>
      </x:c>
      <x:c r="AE77" s="46" t="str"/>
      <x:c r="AF77" s="53" t="str">
        <x:v>2025-11-17 13:10:05</x:v>
      </x:c>
      <x:c r="AG77" s="28" t="str">
        <x:v>https://map.kakao.com/link/roadview/37.3894609,126.9255376</x:v>
      </x:c>
      <x:c r="AH77" s="28" t="str">
        <x:v>asset_level_inherited_not_endpoint_verified</x:v>
      </x:c>
      <x:c r="AI77" s="105" t="e">
        <x:f>HYPERLINK(IF(INDEX('영상 근거'!$F$7:$F$166,MATCH($A77&amp;"-N",'영상 근거'!$A$7:$A$166,0))=0,INDEX('영상 근거'!$Q$7:$Q$166,MATCH($A77&amp;"-N",'영상 근거'!$A$7:$A$166,0)),INDEX('영상 근거'!$F$7:$F$166,MATCH($A77&amp;"-N",'영상 근거'!$A$7:$A$166,0))),IF(INDEX('영상 근거'!$F$7:$F$166,MATCH($A77&amp;"-N",'영상 근거'!$A$7:$A$166,0))=0,"네이버 위치","네이버 거리뷰"))</x:f>
        <x:v>HYPERLINK is not implemented. linkLocation=https://map.naver.com/p/entry/coordinates/3zfsFq,2AECqJ?c=15.00,0,0,0,dh, friendlyName=네이버 위치</x:v>
      </x:c>
      <x:c r="AJ77" s="105" t="e">
        <x:f>HYPERLINK(IF(INDEX('영상 근거'!$F$7:$F$166,MATCH($A77&amp;"-K",'영상 근거'!$A$7:$A$166,0))=0,INDEX('영상 근거'!$Q$7:$Q$166,MATCH($A77&amp;"-K",'영상 근거'!$A$7:$A$166,0)),INDEX('영상 근거'!$F$7:$F$166,MATCH($A77&amp;"-K",'영상 근거'!$A$7:$A$166,0))),"카카오 거리뷰")</x:f>
        <x:v>HYPERLINK is not implemented. linkLocation=https://map.kakao.com/?panoid=1202970045&amp;pan=233.1&amp;zoom=0&amp;map_type=TYPE_MAP&amp;map_attribute=ROADVIEW&amp;urlX=483504.0&amp;urlY=1080615.0, friendlyName=카카오 거리뷰</x:v>
      </x:c>
      <x:c r="AK77" s="105" t="e">
        <x:f>HYPERLINK("#'영상 근거'!A"&amp;(MATCH($A77&amp;"-N",'영상 근거'!$A$7:$A$166,0)+6),"두 영상 기록")</x:f>
        <x:v>HYPERLINK is not implemented. linkLocation=#'영상 근거'!A147, friendlyName=두 영상 기록</x:v>
      </x:c>
      <x:c r="AL77" s="106"/>
      <x:c r="AM77" s="106"/>
      <x:c r="AN77" s="67" t="str">
        <x:f>IF(COUNTIFS('영상 근거'!$B$7:$B$166,$A77,'영상 근거'!$H$7:$H$166,"pass")+COUNTIFS('영상 근거'!$B$7:$B$166,$A77,'영상 근거'!$H$7:$H$166,"block")+COUNTIFS('영상 근거'!$B$7:$B$166,$A77,'영상 근거'!$H$7:$H$166,"unknown")&lt;2,"미입력",IF(COUNTIFS('영상 근거'!$B$7:$B$166,$A77,'영상 근거'!$H$7:$H$166,"pass")=2,"pass 일치",IF(COUNTIFS('영상 근거'!$B$7:$B$166,$A77,'영상 근거'!$H$7:$H$166,"block")=2,"block 일치",IF(COUNTIFS('영상 근거'!$B$7:$B$166,$A77,'영상 근거'!$H$7:$H$166,"unknown")=2,"모두 unknown",IF(AND(COUNTIFS('영상 근거'!$B$7:$B$166,$A77,'영상 근거'!$H$7:$H$166,"pass")=1,COUNTIFS('영상 근거'!$B$7:$B$166,$A77,'영상 근거'!$H$7:$H$166,"block")=1),"불일치","한쪽 unknown")))))</x:f>
        <x:v>미입력</x:v>
      </x:c>
      <x:c r="AO77" s="67" t="str">
        <x:f>IF(COUNTIFS('영상 근거'!$B$7:$B$166,$A77,'영상 근거'!$K$7:$K$166,"pass")+COUNTIFS('영상 근거'!$B$7:$B$166,$A77,'영상 근거'!$K$7:$K$166,"block")+COUNTIFS('영상 근거'!$B$7:$B$166,$A77,'영상 근거'!$K$7:$K$166,"unknown")&lt;2,"미입력",IF(COUNTIFS('영상 근거'!$B$7:$B$166,$A77,'영상 근거'!$K$7:$K$166,"pass")=2,"pass 일치",IF(COUNTIFS('영상 근거'!$B$7:$B$166,$A77,'영상 근거'!$K$7:$K$166,"block")=2,"block 일치",IF(COUNTIFS('영상 근거'!$B$7:$B$166,$A77,'영상 근거'!$K$7:$K$166,"unknown")=2,"모두 unknown",IF(AND(COUNTIFS('영상 근거'!$B$7:$B$166,$A77,'영상 근거'!$K$7:$K$166,"pass")=1,COUNTIFS('영상 근거'!$B$7:$B$166,$A77,'영상 근거'!$K$7:$K$166,"block")=1),"불일치","한쪽 unknown")))))</x:f>
        <x:v>미입력</x:v>
      </x:c>
      <x:c r="AP77" s="106"/>
      <x:c r="AQ77" s="106"/>
      <x:c r="AR77" s="109" t="str">
        <x:v>시야 부족·판독보류</x:v>
      </x:c>
      <x:c r="AS77" s="109" t="str">
        <x:v>시야 부족·판독보류</x:v>
      </x:c>
      <x:c r="AT77" s="109" t="str">
        <x:v>보정 비대상</x:v>
      </x:c>
      <x:c r="AU77" s="162" t="str">
        <x:v>AI candidate</x:v>
      </x:c>
      <x:c r="AV77" s="162" t="str">
        <x:v>N</x:v>
      </x:c>
      <x:c r="AW77" s="206" t="str">
        <x:v>사람검수 대기</x:v>
      </x:c>
    </x:row>
    <x:row r="78" ht="34" customHeight="1">
      <x:c r="A78" s="28" t="str">
        <x:v>CW36-B</x:v>
      </x:c>
      <x:c r="B78" s="28" t="str">
        <x:v>CW36</x:v>
      </x:c>
      <x:c r="C78" s="28" t="str">
        <x:v>2025085005</x:v>
      </x:c>
      <x:c r="D78" s="28" t="str">
        <x:v>B</x:v>
      </x:c>
      <x:c r="E78" s="48" t="n">
        <x:v>37.389528410094115</x:v>
      </x:c>
      <x:c r="F78" s="48" t="n">
        <x:v>126.92545656078262</x:v>
      </x:c>
      <x:c r="G78" s="28" t="str">
        <x:v>public_explicit_present</x:v>
      </x:c>
      <x:c r="H78" s="28" t="str">
        <x:v>있음</x:v>
      </x:c>
      <x:c r="I78" s="28" t="str">
        <x:v>있음</x:v>
      </x:c>
      <x:c r="J78" s="28" t="str">
        <x:v>provisional_high</x:v>
      </x:c>
      <x:c r="K78" s="30" t="n">
        <x:v>0.6</x:v>
      </x:c>
      <x:c r="L78" s="28" t="str">
        <x:v>Y</x:v>
      </x:c>
      <x:c r="M78" s="33" t="str">
        <x:f>IF(S78="","pending_1st_review",IF(L78="Y",IF(Z78="","pending_2nd_review",IF(S78=Z78,"reviewed_agree",IF(AB78="","needs_adjudication","adjudicated"))),"reviewed_once"))</x:f>
        <x:v>pending_1st_review</x:v>
      </x:c>
      <x:c r="N78" s="46" t="str"/>
      <x:c r="O78" s="53" t="str"/>
      <x:c r="P78" s="46" t="str"/>
      <x:c r="Q78" s="46" t="str"/>
      <x:c r="R78" s="46" t="str"/>
      <x:c r="S78" s="46" t="str"/>
      <x:c r="T78" s="46" t="str"/>
      <x:c r="U78" s="46" t="str"/>
      <x:c r="V78" s="53" t="str"/>
      <x:c r="W78" s="46" t="str"/>
      <x:c r="X78" s="46" t="str"/>
      <x:c r="Y78" s="46" t="str"/>
      <x:c r="Z78" s="46" t="str"/>
      <x:c r="AA78" s="46" t="str"/>
      <x:c r="AB78" s="46" t="str"/>
      <x:c r="AC78" s="46" t="str">
        <x:v>geometry_mismatch_candidate</x:v>
      </x:c>
      <x:c r="AD78" s="51" t="n">
        <x:v>0.58</x:v>
      </x:c>
      <x:c r="AE78" s="46" t="str"/>
      <x:c r="AF78" s="53" t="str">
        <x:v>2025-11-17 13:10:05</x:v>
      </x:c>
      <x:c r="AG78" s="28" t="str">
        <x:v>https://map.kakao.com/link/roadview/37.3895284,126.9254566</x:v>
      </x:c>
      <x:c r="AH78" s="28" t="str">
        <x:v>asset_level_inherited_not_endpoint_verified</x:v>
      </x:c>
      <x:c r="AI78" s="105" t="e">
        <x:f>HYPERLINK(IF(INDEX('영상 근거'!$F$7:$F$166,MATCH($A78&amp;"-N",'영상 근거'!$A$7:$A$166,0))=0,INDEX('영상 근거'!$Q$7:$Q$166,MATCH($A78&amp;"-N",'영상 근거'!$A$7:$A$166,0)),INDEX('영상 근거'!$F$7:$F$166,MATCH($A78&amp;"-N",'영상 근거'!$A$7:$A$166,0))),IF(INDEX('영상 근거'!$F$7:$F$166,MATCH($A78&amp;"-N",'영상 근거'!$A$7:$A$166,0))=0,"네이버 위치","네이버 거리뷰"))</x:f>
        <x:v>HYPERLINK is not implemented. linkLocation=https://map.naver.com/p/entry/coordinates/3zfssm,2AECBC?c=15.00,0,0,0,dh, friendlyName=네이버 위치</x:v>
      </x:c>
      <x:c r="AJ78" s="105" t="e">
        <x:f>HYPERLINK(IF(INDEX('영상 근거'!$F$7:$F$166,MATCH($A78&amp;"-K",'영상 근거'!$A$7:$A$166,0))=0,INDEX('영상 근거'!$Q$7:$Q$166,MATCH($A78&amp;"-K",'영상 근거'!$A$7:$A$166,0)),INDEX('영상 근거'!$F$7:$F$166,MATCH($A78&amp;"-K",'영상 근거'!$A$7:$A$166,0))),"카카오 거리뷰")</x:f>
        <x:v>HYPERLINK is not implemented. linkLocation=https://map.kakao.com/?panoid=1202970045&amp;pan=233.1&amp;zoom=0&amp;map_type=TYPE_MAP&amp;map_attribute=ROADVIEW&amp;urlX=483504.0&amp;urlY=1080615.0, friendlyName=카카오 거리뷰</x:v>
      </x:c>
      <x:c r="AK78" s="105" t="e">
        <x:f>HYPERLINK("#'영상 근거'!A"&amp;(MATCH($A78&amp;"-N",'영상 근거'!$A$7:$A$166,0)+6),"두 영상 기록")</x:f>
        <x:v>HYPERLINK is not implemented. linkLocation=#'영상 근거'!A149, friendlyName=두 영상 기록</x:v>
      </x:c>
      <x:c r="AL78" s="106"/>
      <x:c r="AM78" s="106"/>
      <x:c r="AN78" s="67" t="str">
        <x:f>IF(COUNTIFS('영상 근거'!$B$7:$B$166,$A78,'영상 근거'!$H$7:$H$166,"pass")+COUNTIFS('영상 근거'!$B$7:$B$166,$A78,'영상 근거'!$H$7:$H$166,"block")+COUNTIFS('영상 근거'!$B$7:$B$166,$A78,'영상 근거'!$H$7:$H$166,"unknown")&lt;2,"미입력",IF(COUNTIFS('영상 근거'!$B$7:$B$166,$A78,'영상 근거'!$H$7:$H$166,"pass")=2,"pass 일치",IF(COUNTIFS('영상 근거'!$B$7:$B$166,$A78,'영상 근거'!$H$7:$H$166,"block")=2,"block 일치",IF(COUNTIFS('영상 근거'!$B$7:$B$166,$A78,'영상 근거'!$H$7:$H$166,"unknown")=2,"모두 unknown",IF(AND(COUNTIFS('영상 근거'!$B$7:$B$166,$A78,'영상 근거'!$H$7:$H$166,"pass")=1,COUNTIFS('영상 근거'!$B$7:$B$166,$A78,'영상 근거'!$H$7:$H$166,"block")=1),"불일치","한쪽 unknown")))))</x:f>
        <x:v>미입력</x:v>
      </x:c>
      <x:c r="AO78" s="67" t="str">
        <x:f>IF(COUNTIFS('영상 근거'!$B$7:$B$166,$A78,'영상 근거'!$K$7:$K$166,"pass")+COUNTIFS('영상 근거'!$B$7:$B$166,$A78,'영상 근거'!$K$7:$K$166,"block")+COUNTIFS('영상 근거'!$B$7:$B$166,$A78,'영상 근거'!$K$7:$K$166,"unknown")&lt;2,"미입력",IF(COUNTIFS('영상 근거'!$B$7:$B$166,$A78,'영상 근거'!$K$7:$K$166,"pass")=2,"pass 일치",IF(COUNTIFS('영상 근거'!$B$7:$B$166,$A78,'영상 근거'!$K$7:$K$166,"block")=2,"block 일치",IF(COUNTIFS('영상 근거'!$B$7:$B$166,$A78,'영상 근거'!$K$7:$K$166,"unknown")=2,"모두 unknown",IF(AND(COUNTIFS('영상 근거'!$B$7:$B$166,$A78,'영상 근거'!$K$7:$K$166,"pass")=1,COUNTIFS('영상 근거'!$B$7:$B$166,$A78,'영상 근거'!$K$7:$K$166,"block")=1),"불일치","한쪽 unknown")))))</x:f>
        <x:v>미입력</x:v>
      </x:c>
      <x:c r="AP78" s="106"/>
      <x:c r="AQ78" s="106"/>
      <x:c r="AR78" s="109" t="str">
        <x:v>위치 불일치·판독보류</x:v>
      </x:c>
      <x:c r="AS78" s="109" t="str">
        <x:v>위치 불일치·판독보류</x:v>
      </x:c>
      <x:c r="AT78" s="109" t="str">
        <x:v>보정 필요</x:v>
      </x:c>
      <x:c r="AU78" s="162" t="str">
        <x:v>AI candidate</x:v>
      </x:c>
      <x:c r="AV78" s="162" t="str">
        <x:v>N</x:v>
      </x:c>
      <x:c r="AW78" s="206" t="str">
        <x:v>사람검수 대기</x:v>
      </x:c>
    </x:row>
    <x:row r="79" ht="34" customHeight="1">
      <x:c r="A79" s="28" t="str">
        <x:v>CW37-A</x:v>
      </x:c>
      <x:c r="B79" s="28" t="str">
        <x:v>CW37</x:v>
      </x:c>
      <x:c r="C79" s="28" t="str">
        <x:v>2025085004</x:v>
      </x:c>
      <x:c r="D79" s="28" t="str">
        <x:v>A</x:v>
      </x:c>
      <x:c r="E79" s="48" t="n">
        <x:v>37.38942767602712</x:v>
      </x:c>
      <x:c r="F79" s="48" t="n">
        <x:v>126.92561176972762</x:v>
      </x:c>
      <x:c r="G79" s="28" t="str">
        <x:v>public_explicit_present</x:v>
      </x:c>
      <x:c r="H79" s="28" t="str">
        <x:v>있음</x:v>
      </x:c>
      <x:c r="I79" s="28" t="str">
        <x:v>있음</x:v>
      </x:c>
      <x:c r="J79" s="28" t="str">
        <x:v>provisional_high</x:v>
      </x:c>
      <x:c r="K79" s="30" t="n">
        <x:v>0.45</x:v>
      </x:c>
      <x:c r="L79" s="28" t="str">
        <x:v>N</x:v>
      </x:c>
      <x:c r="M79" s="33" t="str">
        <x:f>IF(S79="","pending_1st_review",IF(L79="Y",IF(Z79="","pending_2nd_review",IF(S79=Z79,"reviewed_agree",IF(AB79="","needs_adjudication","adjudicated"))),"reviewed_once"))</x:f>
        <x:v>pending_1st_review</x:v>
      </x:c>
      <x:c r="N79" s="46" t="str"/>
      <x:c r="O79" s="53" t="str"/>
      <x:c r="P79" s="46" t="str"/>
      <x:c r="Q79" s="46" t="str"/>
      <x:c r="R79" s="46" t="str"/>
      <x:c r="S79" s="46" t="str"/>
      <x:c r="T79" s="46" t="str"/>
      <x:c r="U79" s="46" t="str"/>
      <x:c r="V79" s="53" t="str"/>
      <x:c r="W79" s="46" t="str"/>
      <x:c r="X79" s="46" t="str"/>
      <x:c r="Y79" s="46" t="str"/>
      <x:c r="Z79" s="46" t="str"/>
      <x:c r="AA79" s="46" t="str"/>
      <x:c r="AB79" s="46" t="str"/>
      <x:c r="AC79" s="46" t="str">
        <x:v>occlusion_review_needed</x:v>
      </x:c>
      <x:c r="AD79" s="51" t="n">
        <x:v>0.52</x:v>
      </x:c>
      <x:c r="AE79" s="46" t="str"/>
      <x:c r="AF79" s="53" t="str">
        <x:v>2025-11-17 11:57:06</x:v>
      </x:c>
      <x:c r="AG79" s="28" t="str">
        <x:v>https://map.kakao.com/link/roadview/37.3894277,126.9256118</x:v>
      </x:c>
      <x:c r="AH79" s="28" t="str">
        <x:v>asset_level_inherited_not_endpoint_verified</x:v>
      </x:c>
      <x:c r="AI79" s="105" t="e">
        <x:f>HYPERLINK(IF(INDEX('영상 근거'!$F$7:$F$166,MATCH($A79&amp;"-N",'영상 근거'!$A$7:$A$166,0))=0,INDEX('영상 근거'!$Q$7:$Q$166,MATCH($A79&amp;"-N",'영상 근거'!$A$7:$A$166,0)),INDEX('영상 근거'!$F$7:$F$166,MATCH($A79&amp;"-N",'영상 근거'!$A$7:$A$166,0))),IF(INDEX('영상 근거'!$F$7:$F$166,MATCH($A79&amp;"-N",'영상 근거'!$A$7:$A$166,0))=0,"네이버 위치","네이버 거리뷰"))</x:f>
        <x:v>HYPERLINK is not implemented. linkLocation=https://map.naver.com/p/entry/coordinates/3zfsRo,2AECln?c=15.00,0,0,0,dh, friendlyName=네이버 위치</x:v>
      </x:c>
      <x:c r="AJ79" s="105" t="e">
        <x:f>HYPERLINK(IF(INDEX('영상 근거'!$F$7:$F$166,MATCH($A79&amp;"-K",'영상 근거'!$A$7:$A$166,0))=0,INDEX('영상 근거'!$Q$7:$Q$166,MATCH($A79&amp;"-K",'영상 근거'!$A$7:$A$166,0)),INDEX('영상 근거'!$F$7:$F$166,MATCH($A79&amp;"-K",'영상 근거'!$A$7:$A$166,0))),"카카오 거리뷰")</x:f>
        <x:v>HYPERLINK is not implemented. linkLocation=https://map.kakao.com/?panoid=1202969651&amp;pan=339.3&amp;zoom=0&amp;map_type=TYPE_MAP&amp;map_attribute=ROADVIEW&amp;urlX=483546.0&amp;urlY=1080602.0, friendlyName=카카오 거리뷰</x:v>
      </x:c>
      <x:c r="AK79" s="105" t="e">
        <x:f>HYPERLINK("#'영상 근거'!A"&amp;(MATCH($A79&amp;"-N",'영상 근거'!$A$7:$A$166,0)+6),"두 영상 기록")</x:f>
        <x:v>HYPERLINK is not implemented. linkLocation=#'영상 근거'!A151, friendlyName=두 영상 기록</x:v>
      </x:c>
      <x:c r="AL79" s="106"/>
      <x:c r="AM79" s="106"/>
      <x:c r="AN79" s="67" t="str">
        <x:f>IF(COUNTIFS('영상 근거'!$B$7:$B$166,$A79,'영상 근거'!$H$7:$H$166,"pass")+COUNTIFS('영상 근거'!$B$7:$B$166,$A79,'영상 근거'!$H$7:$H$166,"block")+COUNTIFS('영상 근거'!$B$7:$B$166,$A79,'영상 근거'!$H$7:$H$166,"unknown")&lt;2,"미입력",IF(COUNTIFS('영상 근거'!$B$7:$B$166,$A79,'영상 근거'!$H$7:$H$166,"pass")=2,"pass 일치",IF(COUNTIFS('영상 근거'!$B$7:$B$166,$A79,'영상 근거'!$H$7:$H$166,"block")=2,"block 일치",IF(COUNTIFS('영상 근거'!$B$7:$B$166,$A79,'영상 근거'!$H$7:$H$166,"unknown")=2,"모두 unknown",IF(AND(COUNTIFS('영상 근거'!$B$7:$B$166,$A79,'영상 근거'!$H$7:$H$166,"pass")=1,COUNTIFS('영상 근거'!$B$7:$B$166,$A79,'영상 근거'!$H$7:$H$166,"block")=1),"불일치","한쪽 unknown")))))</x:f>
        <x:v>미입력</x:v>
      </x:c>
      <x:c r="AO79" s="67" t="str">
        <x:f>IF(COUNTIFS('영상 근거'!$B$7:$B$166,$A79,'영상 근거'!$K$7:$K$166,"pass")+COUNTIFS('영상 근거'!$B$7:$B$166,$A79,'영상 근거'!$K$7:$K$166,"block")+COUNTIFS('영상 근거'!$B$7:$B$166,$A79,'영상 근거'!$K$7:$K$166,"unknown")&lt;2,"미입력",IF(COUNTIFS('영상 근거'!$B$7:$B$166,$A79,'영상 근거'!$K$7:$K$166,"pass")=2,"pass 일치",IF(COUNTIFS('영상 근거'!$B$7:$B$166,$A79,'영상 근거'!$K$7:$K$166,"block")=2,"block 일치",IF(COUNTIFS('영상 근거'!$B$7:$B$166,$A79,'영상 근거'!$K$7:$K$166,"unknown")=2,"모두 unknown",IF(AND(COUNTIFS('영상 근거'!$B$7:$B$166,$A79,'영상 근거'!$K$7:$K$166,"pass")=1,COUNTIFS('영상 근거'!$B$7:$B$166,$A79,'영상 근거'!$K$7:$K$166,"block")=1),"불일치","한쪽 unknown")))))</x:f>
        <x:v>미입력</x:v>
      </x:c>
      <x:c r="AP79" s="106"/>
      <x:c r="AQ79" s="106"/>
      <x:c r="AR79" s="109" t="str">
        <x:v>가림·판독보류</x:v>
      </x:c>
      <x:c r="AS79" s="109" t="str">
        <x:v>가림·판독보류</x:v>
      </x:c>
      <x:c r="AT79" s="109" t="str">
        <x:v>보정 비대상</x:v>
      </x:c>
      <x:c r="AU79" s="162" t="str">
        <x:v>AI candidate</x:v>
      </x:c>
      <x:c r="AV79" s="162" t="str">
        <x:v>N</x:v>
      </x:c>
      <x:c r="AW79" s="206" t="str">
        <x:v>사람검수 대기</x:v>
      </x:c>
    </x:row>
    <x:row r="80" ht="34" customHeight="1">
      <x:c r="A80" s="28" t="str">
        <x:v>CW37-B</x:v>
      </x:c>
      <x:c r="B80" s="28" t="str">
        <x:v>CW37</x:v>
      </x:c>
      <x:c r="C80" s="28" t="str">
        <x:v>2025085004</x:v>
      </x:c>
      <x:c r="D80" s="28" t="str">
        <x:v>B</x:v>
      </x:c>
      <x:c r="E80" s="48" t="n">
        <x:v>37.38945428397289</x:v>
      </x:c>
      <x:c r="F80" s="48" t="n">
        <x:v>126.92570423027236</x:v>
      </x:c>
      <x:c r="G80" s="28" t="str">
        <x:v>public_explicit_present</x:v>
      </x:c>
      <x:c r="H80" s="28" t="str">
        <x:v>있음</x:v>
      </x:c>
      <x:c r="I80" s="28" t="str">
        <x:v>있음</x:v>
      </x:c>
      <x:c r="J80" s="28" t="str">
        <x:v>provisional_high</x:v>
      </x:c>
      <x:c r="K80" s="30" t="n">
        <x:v>0.45</x:v>
      </x:c>
      <x:c r="L80" s="28" t="str">
        <x:v>N</x:v>
      </x:c>
      <x:c r="M80" s="33" t="str">
        <x:f>IF(S80="","pending_1st_review",IF(L80="Y",IF(Z80="","pending_2nd_review",IF(S80=Z80,"reviewed_agree",IF(AB80="","needs_adjudication","adjudicated"))),"reviewed_once"))</x:f>
        <x:v>pending_1st_review</x:v>
      </x:c>
      <x:c r="N80" s="46" t="str"/>
      <x:c r="O80" s="53" t="str"/>
      <x:c r="P80" s="46" t="str"/>
      <x:c r="Q80" s="46" t="str"/>
      <x:c r="R80" s="46" t="str"/>
      <x:c r="S80" s="46" t="str"/>
      <x:c r="T80" s="46" t="str"/>
      <x:c r="U80" s="46" t="str"/>
      <x:c r="V80" s="53" t="str"/>
      <x:c r="W80" s="46" t="str"/>
      <x:c r="X80" s="46" t="str"/>
      <x:c r="Y80" s="46" t="str"/>
      <x:c r="Z80" s="46" t="str"/>
      <x:c r="AA80" s="46" t="str"/>
      <x:c r="AB80" s="46" t="str"/>
      <x:c r="AC80" s="46" t="str">
        <x:v>visibility_review_needed</x:v>
      </x:c>
      <x:c r="AD80" s="51" t="n">
        <x:v>0.52</x:v>
      </x:c>
      <x:c r="AE80" s="46" t="str"/>
      <x:c r="AF80" s="53" t="str">
        <x:v>2025-11-17 11:57:06</x:v>
      </x:c>
      <x:c r="AG80" s="28" t="str">
        <x:v>https://map.kakao.com/link/roadview/37.3894543,126.9257042</x:v>
      </x:c>
      <x:c r="AH80" s="28" t="str">
        <x:v>asset_level_inherited_not_endpoint_verified</x:v>
      </x:c>
      <x:c r="AI80" s="105" t="e">
        <x:f>HYPERLINK(IF(INDEX('영상 근거'!$F$7:$F$166,MATCH($A80&amp;"-N",'영상 근거'!$A$7:$A$166,0))=0,INDEX('영상 근거'!$Q$7:$Q$166,MATCH($A80&amp;"-N",'영상 근거'!$A$7:$A$166,0)),INDEX('영상 근거'!$F$7:$F$166,MATCH($A80&amp;"-N",'영상 근거'!$A$7:$A$166,0))),IF(INDEX('영상 근거'!$F$7:$F$166,MATCH($A80&amp;"-N",'영상 근거'!$A$7:$A$166,0))=0,"네이버 위치","네이버 거리뷰"))</x:f>
        <x:v>HYPERLINK is not implemented. linkLocation=https://map.naver.com/p/entry/coordinates/3zft6i,2AECpF?c=15.00,0,0,0,dh, friendlyName=네이버 위치</x:v>
      </x:c>
      <x:c r="AJ80" s="105" t="e">
        <x:f>HYPERLINK(IF(INDEX('영상 근거'!$F$7:$F$166,MATCH($A80&amp;"-K",'영상 근거'!$A$7:$A$166,0))=0,INDEX('영상 근거'!$Q$7:$Q$166,MATCH($A80&amp;"-K",'영상 근거'!$A$7:$A$166,0)),INDEX('영상 근거'!$F$7:$F$166,MATCH($A80&amp;"-K",'영상 근거'!$A$7:$A$166,0))),"카카오 거리뷰")</x:f>
        <x:v>HYPERLINK is not implemented. linkLocation=https://map.kakao.com/?panoid=1202969651&amp;pan=339.3&amp;zoom=0&amp;map_type=TYPE_MAP&amp;map_attribute=ROADVIEW&amp;urlX=483546.0&amp;urlY=1080602.0, friendlyName=카카오 거리뷰</x:v>
      </x:c>
      <x:c r="AK80" s="105" t="e">
        <x:f>HYPERLINK("#'영상 근거'!A"&amp;(MATCH($A80&amp;"-N",'영상 근거'!$A$7:$A$166,0)+6),"두 영상 기록")</x:f>
        <x:v>HYPERLINK is not implemented. linkLocation=#'영상 근거'!A153, friendlyName=두 영상 기록</x:v>
      </x:c>
      <x:c r="AL80" s="106"/>
      <x:c r="AM80" s="106"/>
      <x:c r="AN80" s="67" t="str">
        <x:f>IF(COUNTIFS('영상 근거'!$B$7:$B$166,$A80,'영상 근거'!$H$7:$H$166,"pass")+COUNTIFS('영상 근거'!$B$7:$B$166,$A80,'영상 근거'!$H$7:$H$166,"block")+COUNTIFS('영상 근거'!$B$7:$B$166,$A80,'영상 근거'!$H$7:$H$166,"unknown")&lt;2,"미입력",IF(COUNTIFS('영상 근거'!$B$7:$B$166,$A80,'영상 근거'!$H$7:$H$166,"pass")=2,"pass 일치",IF(COUNTIFS('영상 근거'!$B$7:$B$166,$A80,'영상 근거'!$H$7:$H$166,"block")=2,"block 일치",IF(COUNTIFS('영상 근거'!$B$7:$B$166,$A80,'영상 근거'!$H$7:$H$166,"unknown")=2,"모두 unknown",IF(AND(COUNTIFS('영상 근거'!$B$7:$B$166,$A80,'영상 근거'!$H$7:$H$166,"pass")=1,COUNTIFS('영상 근거'!$B$7:$B$166,$A80,'영상 근거'!$H$7:$H$166,"block")=1),"불일치","한쪽 unknown")))))</x:f>
        <x:v>미입력</x:v>
      </x:c>
      <x:c r="AO80" s="67" t="str">
        <x:f>IF(COUNTIFS('영상 근거'!$B$7:$B$166,$A80,'영상 근거'!$K$7:$K$166,"pass")+COUNTIFS('영상 근거'!$B$7:$B$166,$A80,'영상 근거'!$K$7:$K$166,"block")+COUNTIFS('영상 근거'!$B$7:$B$166,$A80,'영상 근거'!$K$7:$K$166,"unknown")&lt;2,"미입력",IF(COUNTIFS('영상 근거'!$B$7:$B$166,$A80,'영상 근거'!$K$7:$K$166,"pass")=2,"pass 일치",IF(COUNTIFS('영상 근거'!$B$7:$B$166,$A80,'영상 근거'!$K$7:$K$166,"block")=2,"block 일치",IF(COUNTIFS('영상 근거'!$B$7:$B$166,$A80,'영상 근거'!$K$7:$K$166,"unknown")=2,"모두 unknown",IF(AND(COUNTIFS('영상 근거'!$B$7:$B$166,$A80,'영상 근거'!$K$7:$K$166,"pass")=1,COUNTIFS('영상 근거'!$B$7:$B$166,$A80,'영상 근거'!$K$7:$K$166,"block")=1),"불일치","한쪽 unknown")))))</x:f>
        <x:v>미입력</x:v>
      </x:c>
      <x:c r="AP80" s="106"/>
      <x:c r="AQ80" s="106"/>
      <x:c r="AR80" s="109" t="str">
        <x:v>시야 부족·판독보류</x:v>
      </x:c>
      <x:c r="AS80" s="109" t="str">
        <x:v>시야 부족·판독보류</x:v>
      </x:c>
      <x:c r="AT80" s="109" t="str">
        <x:v>보정 비대상</x:v>
      </x:c>
      <x:c r="AU80" s="162" t="str">
        <x:v>AI candidate</x:v>
      </x:c>
      <x:c r="AV80" s="162" t="str">
        <x:v>N</x:v>
      </x:c>
      <x:c r="AW80" s="206" t="str">
        <x:v>사람검수 대기</x:v>
      </x:c>
    </x:row>
    <x:row r="81" ht="34" customHeight="1">
      <x:c r="A81" s="28" t="str">
        <x:v>CW38-A</x:v>
      </x:c>
      <x:c r="B81" s="28" t="str">
        <x:v>CW38</x:v>
      </x:c>
      <x:c r="C81" s="28" t="str">
        <x:v>2025085007</x:v>
      </x:c>
      <x:c r="D81" s="28" t="str">
        <x:v>A</x:v>
      </x:c>
      <x:c r="E81" s="48" t="n">
        <x:v>37.389248330727646</x:v>
      </x:c>
      <x:c r="F81" s="48" t="n">
        <x:v>126.92520180052233</x:v>
      </x:c>
      <x:c r="G81" s="28" t="str">
        <x:v>public_explicit_present</x:v>
      </x:c>
      <x:c r="H81" s="28" t="str">
        <x:v>있음</x:v>
      </x:c>
      <x:c r="I81" s="28" t="str">
        <x:v>있음</x:v>
      </x:c>
      <x:c r="J81" s="28" t="str">
        <x:v>provisional_high</x:v>
      </x:c>
      <x:c r="K81" s="30" t="n">
        <x:v>3.15</x:v>
      </x:c>
      <x:c r="L81" s="28" t="str">
        <x:v>Y</x:v>
      </x:c>
      <x:c r="M81" s="33" t="str">
        <x:f>IF(S81="","pending_1st_review",IF(L81="Y",IF(Z81="","pending_2nd_review",IF(S81=Z81,"reviewed_agree",IF(AB81="","needs_adjudication","adjudicated"))),"reviewed_once"))</x:f>
        <x:v>pending_1st_review</x:v>
      </x:c>
      <x:c r="N81" s="46" t="str"/>
      <x:c r="O81" s="53" t="str"/>
      <x:c r="P81" s="46" t="str"/>
      <x:c r="Q81" s="46" t="str"/>
      <x:c r="R81" s="46" t="str"/>
      <x:c r="S81" s="46" t="str"/>
      <x:c r="T81" s="46" t="str"/>
      <x:c r="U81" s="46" t="str"/>
      <x:c r="V81" s="53" t="str"/>
      <x:c r="W81" s="46" t="str"/>
      <x:c r="X81" s="46" t="str"/>
      <x:c r="Y81" s="46" t="str"/>
      <x:c r="Z81" s="46" t="str"/>
      <x:c r="AA81" s="46" t="str"/>
      <x:c r="AB81" s="46" t="str"/>
      <x:c r="AC81" s="46" t="str">
        <x:v>likely_accessible_candidate</x:v>
      </x:c>
      <x:c r="AD81" s="51" t="n">
        <x:v>0.82</x:v>
      </x:c>
      <x:c r="AE81" s="46" t="str"/>
      <x:c r="AF81" s="53" t="str">
        <x:v>2025-11-17 13:10:10</x:v>
      </x:c>
      <x:c r="AG81" s="28" t="str">
        <x:v>https://map.kakao.com/link/roadview/37.3892483,126.9252018</x:v>
      </x:c>
      <x:c r="AH81" s="28" t="str">
        <x:v>asset_level_inherited_not_endpoint_verified</x:v>
      </x:c>
      <x:c r="AI81" s="105" t="e">
        <x:f>HYPERLINK(IF(INDEX('영상 근거'!$F$7:$F$166,MATCH($A81&amp;"-N",'영상 근거'!$A$7:$A$166,0))=0,INDEX('영상 근거'!$Q$7:$Q$166,MATCH($A81&amp;"-N",'영상 근거'!$A$7:$A$166,0)),INDEX('영상 근거'!$F$7:$F$166,MATCH($A81&amp;"-N",'영상 근거'!$A$7:$A$166,0))),IF(INDEX('영상 근거'!$F$7:$F$166,MATCH($A81&amp;"-N",'영상 근거'!$A$7:$A$166,0))=0,"네이버 위치","네이버 거리뷰"))</x:f>
        <x:v>HYPERLINK is not implemented. linkLocation=https://map.naver.com/p/entry/coordinates/3zfrNg,2AEBSr?c=15.00,0,0,0,dh, friendlyName=네이버 위치</x:v>
      </x:c>
      <x:c r="AJ81" s="105" t="e">
        <x:f>HYPERLINK(IF(INDEX('영상 근거'!$F$7:$F$166,MATCH($A81&amp;"-K",'영상 근거'!$A$7:$A$166,0))=0,INDEX('영상 근거'!$Q$7:$Q$166,MATCH($A81&amp;"-K",'영상 근거'!$A$7:$A$166,0)),INDEX('영상 근거'!$F$7:$F$166,MATCH($A81&amp;"-K",'영상 근거'!$A$7:$A$166,0))),"카카오 거리뷰")</x:f>
        <x:v>HYPERLINK is not implemented. linkLocation=https://map.kakao.com/?panoid=1202970049&amp;pan=225.5&amp;zoom=0&amp;map_type=TYPE_MAP&amp;map_attribute=ROADVIEW&amp;urlX=483430.0&amp;urlY=1080548.0, friendlyName=카카오 거리뷰</x:v>
      </x:c>
      <x:c r="AK81" s="105" t="e">
        <x:f>HYPERLINK("#'영상 근거'!A"&amp;(MATCH($A81&amp;"-N",'영상 근거'!$A$7:$A$166,0)+6),"두 영상 기록")</x:f>
        <x:v>HYPERLINK is not implemented. linkLocation=#'영상 근거'!A155, friendlyName=두 영상 기록</x:v>
      </x:c>
      <x:c r="AL81" s="106"/>
      <x:c r="AM81" s="106"/>
      <x:c r="AN81" s="67" t="str">
        <x:f>IF(COUNTIFS('영상 근거'!$B$7:$B$166,$A81,'영상 근거'!$H$7:$H$166,"pass")+COUNTIFS('영상 근거'!$B$7:$B$166,$A81,'영상 근거'!$H$7:$H$166,"block")+COUNTIFS('영상 근거'!$B$7:$B$166,$A81,'영상 근거'!$H$7:$H$166,"unknown")&lt;2,"미입력",IF(COUNTIFS('영상 근거'!$B$7:$B$166,$A81,'영상 근거'!$H$7:$H$166,"pass")=2,"pass 일치",IF(COUNTIFS('영상 근거'!$B$7:$B$166,$A81,'영상 근거'!$H$7:$H$166,"block")=2,"block 일치",IF(COUNTIFS('영상 근거'!$B$7:$B$166,$A81,'영상 근거'!$H$7:$H$166,"unknown")=2,"모두 unknown",IF(AND(COUNTIFS('영상 근거'!$B$7:$B$166,$A81,'영상 근거'!$H$7:$H$166,"pass")=1,COUNTIFS('영상 근거'!$B$7:$B$166,$A81,'영상 근거'!$H$7:$H$166,"block")=1),"불일치","한쪽 unknown")))))</x:f>
        <x:v>미입력</x:v>
      </x:c>
      <x:c r="AO81" s="67" t="str">
        <x:f>IF(COUNTIFS('영상 근거'!$B$7:$B$166,$A81,'영상 근거'!$K$7:$K$166,"pass")+COUNTIFS('영상 근거'!$B$7:$B$166,$A81,'영상 근거'!$K$7:$K$166,"block")+COUNTIFS('영상 근거'!$B$7:$B$166,$A81,'영상 근거'!$K$7:$K$166,"unknown")&lt;2,"미입력",IF(COUNTIFS('영상 근거'!$B$7:$B$166,$A81,'영상 근거'!$K$7:$K$166,"pass")=2,"pass 일치",IF(COUNTIFS('영상 근거'!$B$7:$B$166,$A81,'영상 근거'!$K$7:$K$166,"block")=2,"block 일치",IF(COUNTIFS('영상 근거'!$B$7:$B$166,$A81,'영상 근거'!$K$7:$K$166,"unknown")=2,"모두 unknown",IF(AND(COUNTIFS('영상 근거'!$B$7:$B$166,$A81,'영상 근거'!$K$7:$K$166,"pass")=1,COUNTIFS('영상 근거'!$B$7:$B$166,$A81,'영상 근거'!$K$7:$K$166,"block")=1),"불일치","한쪽 unknown")))))</x:f>
        <x:v>미입력</x:v>
      </x:c>
      <x:c r="AP81" s="106"/>
      <x:c r="AQ81" s="106"/>
      <x:c r="AR81" s="109" t="str">
        <x:v>통과 가능 후보</x:v>
      </x:c>
      <x:c r="AS81" s="109" t="str">
        <x:v>안내시설 양호 후보</x:v>
      </x:c>
      <x:c r="AT81" s="109" t="str">
        <x:v>보정 비대상</x:v>
      </x:c>
      <x:c r="AU81" s="162" t="str">
        <x:v>AI candidate</x:v>
      </x:c>
      <x:c r="AV81" s="162" t="str">
        <x:v>N</x:v>
      </x:c>
      <x:c r="AW81" s="206" t="str">
        <x:v>사람검수 대기</x:v>
      </x:c>
    </x:row>
    <x:row r="82" ht="34" customHeight="1">
      <x:c r="A82" s="28" t="str">
        <x:v>CW38-B</x:v>
      </x:c>
      <x:c r="B82" s="28" t="str">
        <x:v>CW38</x:v>
      </x:c>
      <x:c r="C82" s="28" t="str">
        <x:v>2025085007</x:v>
      </x:c>
      <x:c r="D82" s="28" t="str">
        <x:v>B</x:v>
      </x:c>
      <x:c r="E82" s="48" t="n">
        <x:v>37.38930162927237</x:v>
      </x:c>
      <x:c r="F82" s="48" t="n">
        <x:v>126.9251377994777</x:v>
      </x:c>
      <x:c r="G82" s="28" t="str">
        <x:v>public_explicit_present</x:v>
      </x:c>
      <x:c r="H82" s="28" t="str">
        <x:v>있음</x:v>
      </x:c>
      <x:c r="I82" s="28" t="str">
        <x:v>있음</x:v>
      </x:c>
      <x:c r="J82" s="28" t="str">
        <x:v>provisional_high</x:v>
      </x:c>
      <x:c r="K82" s="30" t="n">
        <x:v>3.15</x:v>
      </x:c>
      <x:c r="L82" s="28" t="str">
        <x:v>Y</x:v>
      </x:c>
      <x:c r="M82" s="33" t="str">
        <x:f>IF(S82="","pending_1st_review",IF(L82="Y",IF(Z82="","pending_2nd_review",IF(S82=Z82,"reviewed_agree",IF(AB82="","needs_adjudication","adjudicated"))),"reviewed_once"))</x:f>
        <x:v>pending_1st_review</x:v>
      </x:c>
      <x:c r="N82" s="46" t="str"/>
      <x:c r="O82" s="53" t="str"/>
      <x:c r="P82" s="46" t="str"/>
      <x:c r="Q82" s="46" t="str"/>
      <x:c r="R82" s="46" t="str"/>
      <x:c r="S82" s="46" t="str"/>
      <x:c r="T82" s="46" t="str"/>
      <x:c r="U82" s="46" t="str"/>
      <x:c r="V82" s="53" t="str"/>
      <x:c r="W82" s="46" t="str"/>
      <x:c r="X82" s="46" t="str"/>
      <x:c r="Y82" s="46" t="str"/>
      <x:c r="Z82" s="46" t="str"/>
      <x:c r="AA82" s="46" t="str"/>
      <x:c r="AB82" s="46" t="str"/>
      <x:c r="AC82" s="46" t="str">
        <x:v>likely_accessible_candidate</x:v>
      </x:c>
      <x:c r="AD82" s="51" t="n">
        <x:v>0.82</x:v>
      </x:c>
      <x:c r="AE82" s="46" t="str"/>
      <x:c r="AF82" s="53" t="str">
        <x:v>2025-11-17 13:10:10</x:v>
      </x:c>
      <x:c r="AG82" s="28" t="str">
        <x:v>https://map.kakao.com/link/roadview/37.3893016,126.9251378</x:v>
      </x:c>
      <x:c r="AH82" s="28" t="str">
        <x:v>asset_level_inherited_not_endpoint_verified</x:v>
      </x:c>
      <x:c r="AI82" s="105" t="e">
        <x:f>HYPERLINK(IF(INDEX('영상 근거'!$F$7:$F$166,MATCH($A82&amp;"-N",'영상 근거'!$A$7:$A$166,0))=0,INDEX('영상 근거'!$Q$7:$Q$166,MATCH($A82&amp;"-N",'영상 근거'!$A$7:$A$166,0)),INDEX('영상 근거'!$F$7:$F$166,MATCH($A82&amp;"-N",'영상 근거'!$A$7:$A$166,0))),IF(INDEX('영상 근거'!$F$7:$F$166,MATCH($A82&amp;"-N",'영상 근거'!$A$7:$A$166,0))=0,"네이버 위치","네이버 거리뷰"))</x:f>
        <x:v>HYPERLINK is not implemented. linkLocation=https://map.naver.com/p/entry/coordinates/3zfrCW,2AEC12?c=15.00,0,0,0,dh, friendlyName=네이버 위치</x:v>
      </x:c>
      <x:c r="AJ82" s="105" t="e">
        <x:f>HYPERLINK(IF(INDEX('영상 근거'!$F$7:$F$166,MATCH($A82&amp;"-K",'영상 근거'!$A$7:$A$166,0))=0,INDEX('영상 근거'!$Q$7:$Q$166,MATCH($A82&amp;"-K",'영상 근거'!$A$7:$A$166,0)),INDEX('영상 근거'!$F$7:$F$166,MATCH($A82&amp;"-K",'영상 근거'!$A$7:$A$166,0))),"카카오 거리뷰")</x:f>
        <x:v>HYPERLINK is not implemented. linkLocation=https://map.kakao.com/?panoid=1202970049&amp;pan=225.5&amp;zoom=0&amp;map_type=TYPE_MAP&amp;map_attribute=ROADVIEW&amp;urlX=483430.0&amp;urlY=1080548.0, friendlyName=카카오 거리뷰</x:v>
      </x:c>
      <x:c r="AK82" s="105" t="e">
        <x:f>HYPERLINK("#'영상 근거'!A"&amp;(MATCH($A82&amp;"-N",'영상 근거'!$A$7:$A$166,0)+6),"두 영상 기록")</x:f>
        <x:v>HYPERLINK is not implemented. linkLocation=#'영상 근거'!A157, friendlyName=두 영상 기록</x:v>
      </x:c>
      <x:c r="AL82" s="106"/>
      <x:c r="AM82" s="106"/>
      <x:c r="AN82" s="67" t="str">
        <x:f>IF(COUNTIFS('영상 근거'!$B$7:$B$166,$A82,'영상 근거'!$H$7:$H$166,"pass")+COUNTIFS('영상 근거'!$B$7:$B$166,$A82,'영상 근거'!$H$7:$H$166,"block")+COUNTIFS('영상 근거'!$B$7:$B$166,$A82,'영상 근거'!$H$7:$H$166,"unknown")&lt;2,"미입력",IF(COUNTIFS('영상 근거'!$B$7:$B$166,$A82,'영상 근거'!$H$7:$H$166,"pass")=2,"pass 일치",IF(COUNTIFS('영상 근거'!$B$7:$B$166,$A82,'영상 근거'!$H$7:$H$166,"block")=2,"block 일치",IF(COUNTIFS('영상 근거'!$B$7:$B$166,$A82,'영상 근거'!$H$7:$H$166,"unknown")=2,"모두 unknown",IF(AND(COUNTIFS('영상 근거'!$B$7:$B$166,$A82,'영상 근거'!$H$7:$H$166,"pass")=1,COUNTIFS('영상 근거'!$B$7:$B$166,$A82,'영상 근거'!$H$7:$H$166,"block")=1),"불일치","한쪽 unknown")))))</x:f>
        <x:v>미입력</x:v>
      </x:c>
      <x:c r="AO82" s="67" t="str">
        <x:f>IF(COUNTIFS('영상 근거'!$B$7:$B$166,$A82,'영상 근거'!$K$7:$K$166,"pass")+COUNTIFS('영상 근거'!$B$7:$B$166,$A82,'영상 근거'!$K$7:$K$166,"block")+COUNTIFS('영상 근거'!$B$7:$B$166,$A82,'영상 근거'!$K$7:$K$166,"unknown")&lt;2,"미입력",IF(COUNTIFS('영상 근거'!$B$7:$B$166,$A82,'영상 근거'!$K$7:$K$166,"pass")=2,"pass 일치",IF(COUNTIFS('영상 근거'!$B$7:$B$166,$A82,'영상 근거'!$K$7:$K$166,"block")=2,"block 일치",IF(COUNTIFS('영상 근거'!$B$7:$B$166,$A82,'영상 근거'!$K$7:$K$166,"unknown")=2,"모두 unknown",IF(AND(COUNTIFS('영상 근거'!$B$7:$B$166,$A82,'영상 근거'!$K$7:$K$166,"pass")=1,COUNTIFS('영상 근거'!$B$7:$B$166,$A82,'영상 근거'!$K$7:$K$166,"block")=1),"불일치","한쪽 unknown")))))</x:f>
        <x:v>미입력</x:v>
      </x:c>
      <x:c r="AP82" s="106"/>
      <x:c r="AQ82" s="106"/>
      <x:c r="AR82" s="109" t="str">
        <x:v>통과 가능 후보</x:v>
      </x:c>
      <x:c r="AS82" s="109" t="str">
        <x:v>안내시설 양호 후보</x:v>
      </x:c>
      <x:c r="AT82" s="109" t="str">
        <x:v>보정 비대상</x:v>
      </x:c>
      <x:c r="AU82" s="162" t="str">
        <x:v>AI candidate</x:v>
      </x:c>
      <x:c r="AV82" s="162" t="str">
        <x:v>N</x:v>
      </x:c>
      <x:c r="AW82" s="206" t="str">
        <x:v>사람검수 대기</x:v>
      </x:c>
    </x:row>
    <x:row r="83" ht="34" customHeight="1">
      <x:c r="A83" s="28" t="str">
        <x:v>CW39-A</x:v>
      </x:c>
      <x:c r="B83" s="28" t="str">
        <x:v>CW39</x:v>
      </x:c>
      <x:c r="C83" s="28" t="str">
        <x:v>2025085006</x:v>
      </x:c>
      <x:c r="D83" s="28" t="str">
        <x:v>A</x:v>
      </x:c>
      <x:c r="E83" s="48" t="n">
        <x:v>37.38924455741109</x:v>
      </x:c>
      <x:c r="F83" s="48" t="n">
        <x:v>126.92509509723544</x:v>
      </x:c>
      <x:c r="G83" s="28" t="str">
        <x:v>public_explicit_present</x:v>
      </x:c>
      <x:c r="H83" s="28" t="str">
        <x:v>있음</x:v>
      </x:c>
      <x:c r="I83" s="28" t="str">
        <x:v>있음</x:v>
      </x:c>
      <x:c r="J83" s="28" t="str">
        <x:v>provisional_high</x:v>
      </x:c>
      <x:c r="K83" s="30" t="n">
        <x:v>9.52</x:v>
      </x:c>
      <x:c r="L83" s="28" t="str">
        <x:v>N</x:v>
      </x:c>
      <x:c r="M83" s="33" t="str">
        <x:f>IF(S83="","pending_1st_review",IF(L83="Y",IF(Z83="","pending_2nd_review",IF(S83=Z83,"reviewed_agree",IF(AB83="","needs_adjudication","adjudicated"))),"reviewed_once"))</x:f>
        <x:v>pending_1st_review</x:v>
      </x:c>
      <x:c r="N83" s="46" t="str"/>
      <x:c r="O83" s="53" t="str"/>
      <x:c r="P83" s="46" t="str"/>
      <x:c r="Q83" s="46" t="str"/>
      <x:c r="R83" s="46" t="str"/>
      <x:c r="S83" s="46" t="str"/>
      <x:c r="T83" s="46" t="str"/>
      <x:c r="U83" s="46" t="str"/>
      <x:c r="V83" s="53" t="str"/>
      <x:c r="W83" s="46" t="str"/>
      <x:c r="X83" s="46" t="str"/>
      <x:c r="Y83" s="46" t="str"/>
      <x:c r="Z83" s="46" t="str"/>
      <x:c r="AA83" s="46" t="str"/>
      <x:c r="AB83" s="46" t="str"/>
      <x:c r="AC83" s="46" t="str">
        <x:v>geometry_mismatch_candidate</x:v>
      </x:c>
      <x:c r="AD83" s="51" t="n">
        <x:v>0.58</x:v>
      </x:c>
      <x:c r="AE83" s="46" t="str"/>
      <x:c r="AF83" s="53" t="str">
        <x:v>2025-11-17 13:10:11</x:v>
      </x:c>
      <x:c r="AG83" s="28" t="str">
        <x:v>https://map.kakao.com/link/roadview/37.3892446,126.9250951</x:v>
      </x:c>
      <x:c r="AH83" s="28" t="str">
        <x:v>asset_level_inherited_not_endpoint_verified</x:v>
      </x:c>
      <x:c r="AI83" s="105" t="e">
        <x:f>HYPERLINK(IF(INDEX('영상 근거'!$F$7:$F$166,MATCH($A83&amp;"-N",'영상 근거'!$A$7:$A$166,0))=0,INDEX('영상 근거'!$Q$7:$Q$166,MATCH($A83&amp;"-N",'영상 근거'!$A$7:$A$166,0)),INDEX('영상 근거'!$F$7:$F$166,MATCH($A83&amp;"-N",'영상 근거'!$A$7:$A$166,0))),IF(INDEX('영상 근거'!$F$7:$F$166,MATCH($A83&amp;"-N",'영상 근거'!$A$7:$A$166,0))=0,"네이버 위치","네이버 거리뷰"))</x:f>
        <x:v>HYPERLINK is not implemented. linkLocation=https://map.naver.com/p/entry/coordinates/3zfrw3,2AEBRQ?c=15.00,0,0,0,dh, friendlyName=네이버 위치</x:v>
      </x:c>
      <x:c r="AJ83" s="105" t="e">
        <x:f>HYPERLINK(IF(INDEX('영상 근거'!$F$7:$F$166,MATCH($A83&amp;"-K",'영상 근거'!$A$7:$A$166,0))=0,INDEX('영상 근거'!$Q$7:$Q$166,MATCH($A83&amp;"-K",'영상 근거'!$A$7:$A$166,0)),INDEX('영상 근거'!$F$7:$F$166,MATCH($A83&amp;"-K",'영상 근거'!$A$7:$A$166,0))),"카카오 거리뷰")</x:f>
        <x:v>HYPERLINK is not implemented. linkLocation=https://map.kakao.com/?panoid=1202970050&amp;pan=224.2&amp;zoom=0&amp;map_type=TYPE_MAP&amp;map_attribute=ROADVIEW&amp;urlX=483412.0&amp;urlY=1080530.0, friendlyName=카카오 거리뷰</x:v>
      </x:c>
      <x:c r="AK83" s="105" t="e">
        <x:f>HYPERLINK("#'영상 근거'!A"&amp;(MATCH($A83&amp;"-N",'영상 근거'!$A$7:$A$166,0)+6),"두 영상 기록")</x:f>
        <x:v>HYPERLINK is not implemented. linkLocation=#'영상 근거'!A159, friendlyName=두 영상 기록</x:v>
      </x:c>
      <x:c r="AL83" s="106"/>
      <x:c r="AM83" s="106"/>
      <x:c r="AN83" s="67" t="str">
        <x:f>IF(COUNTIFS('영상 근거'!$B$7:$B$166,$A83,'영상 근거'!$H$7:$H$166,"pass")+COUNTIFS('영상 근거'!$B$7:$B$166,$A83,'영상 근거'!$H$7:$H$166,"block")+COUNTIFS('영상 근거'!$B$7:$B$166,$A83,'영상 근거'!$H$7:$H$166,"unknown")&lt;2,"미입력",IF(COUNTIFS('영상 근거'!$B$7:$B$166,$A83,'영상 근거'!$H$7:$H$166,"pass")=2,"pass 일치",IF(COUNTIFS('영상 근거'!$B$7:$B$166,$A83,'영상 근거'!$H$7:$H$166,"block")=2,"block 일치",IF(COUNTIFS('영상 근거'!$B$7:$B$166,$A83,'영상 근거'!$H$7:$H$166,"unknown")=2,"모두 unknown",IF(AND(COUNTIFS('영상 근거'!$B$7:$B$166,$A83,'영상 근거'!$H$7:$H$166,"pass")=1,COUNTIFS('영상 근거'!$B$7:$B$166,$A83,'영상 근거'!$H$7:$H$166,"block")=1),"불일치","한쪽 unknown")))))</x:f>
        <x:v>미입력</x:v>
      </x:c>
      <x:c r="AO83" s="67" t="str">
        <x:f>IF(COUNTIFS('영상 근거'!$B$7:$B$166,$A83,'영상 근거'!$K$7:$K$166,"pass")+COUNTIFS('영상 근거'!$B$7:$B$166,$A83,'영상 근거'!$K$7:$K$166,"block")+COUNTIFS('영상 근거'!$B$7:$B$166,$A83,'영상 근거'!$K$7:$K$166,"unknown")&lt;2,"미입력",IF(COUNTIFS('영상 근거'!$B$7:$B$166,$A83,'영상 근거'!$K$7:$K$166,"pass")=2,"pass 일치",IF(COUNTIFS('영상 근거'!$B$7:$B$166,$A83,'영상 근거'!$K$7:$K$166,"block")=2,"block 일치",IF(COUNTIFS('영상 근거'!$B$7:$B$166,$A83,'영상 근거'!$K$7:$K$166,"unknown")=2,"모두 unknown",IF(AND(COUNTIFS('영상 근거'!$B$7:$B$166,$A83,'영상 근거'!$K$7:$K$166,"pass")=1,COUNTIFS('영상 근거'!$B$7:$B$166,$A83,'영상 근거'!$K$7:$K$166,"block")=1),"불일치","한쪽 unknown")))))</x:f>
        <x:v>미입력</x:v>
      </x:c>
      <x:c r="AP83" s="106"/>
      <x:c r="AQ83" s="106"/>
      <x:c r="AR83" s="109" t="str">
        <x:v>위치 불일치·판독보류</x:v>
      </x:c>
      <x:c r="AS83" s="109" t="str">
        <x:v>위치 불일치·판독보류</x:v>
      </x:c>
      <x:c r="AT83" s="109" t="str">
        <x:v>보정 필요</x:v>
      </x:c>
      <x:c r="AU83" s="162" t="str">
        <x:v>AI candidate</x:v>
      </x:c>
      <x:c r="AV83" s="162" t="str">
        <x:v>N</x:v>
      </x:c>
      <x:c r="AW83" s="206" t="str">
        <x:v>사람검수 대기</x:v>
      </x:c>
    </x:row>
    <x:row r="84" ht="34" customHeight="1">
      <x:c r="A84" s="28" t="str">
        <x:v>CW39-B</x:v>
      </x:c>
      <x:c r="B84" s="28" t="str">
        <x:v>CW39</x:v>
      </x:c>
      <x:c r="C84" s="28" t="str">
        <x:v>2025085006</x:v>
      </x:c>
      <x:c r="D84" s="28" t="str">
        <x:v>B</x:v>
      </x:c>
      <x:c r="E84" s="48" t="n">
        <x:v>37.38929968258892</x:v>
      </x:c>
      <x:c r="F84" s="48" t="n">
        <x:v>126.92502890276454</x:v>
      </x:c>
      <x:c r="G84" s="28" t="str">
        <x:v>public_explicit_present</x:v>
      </x:c>
      <x:c r="H84" s="28" t="str">
        <x:v>있음</x:v>
      </x:c>
      <x:c r="I84" s="28" t="str">
        <x:v>있음</x:v>
      </x:c>
      <x:c r="J84" s="28" t="str">
        <x:v>provisional_high</x:v>
      </x:c>
      <x:c r="K84" s="30" t="n">
        <x:v>9.52</x:v>
      </x:c>
      <x:c r="L84" s="28" t="str">
        <x:v>N</x:v>
      </x:c>
      <x:c r="M84" s="33" t="str">
        <x:f>IF(S84="","pending_1st_review",IF(L84="Y",IF(Z84="","pending_2nd_review",IF(S84=Z84,"reviewed_agree",IF(AB84="","needs_adjudication","adjudicated"))),"reviewed_once"))</x:f>
        <x:v>pending_1st_review</x:v>
      </x:c>
      <x:c r="N84" s="46" t="str"/>
      <x:c r="O84" s="53" t="str"/>
      <x:c r="P84" s="46" t="str"/>
      <x:c r="Q84" s="46" t="str"/>
      <x:c r="R84" s="46" t="str"/>
      <x:c r="S84" s="46" t="str"/>
      <x:c r="T84" s="46" t="str"/>
      <x:c r="U84" s="46" t="str"/>
      <x:c r="V84" s="53" t="str"/>
      <x:c r="W84" s="46" t="str"/>
      <x:c r="X84" s="46" t="str"/>
      <x:c r="Y84" s="46" t="str"/>
      <x:c r="Z84" s="46" t="str"/>
      <x:c r="AA84" s="46" t="str"/>
      <x:c r="AB84" s="46" t="str"/>
      <x:c r="AC84" s="46" t="str">
        <x:v>geometry_mismatch_candidate</x:v>
      </x:c>
      <x:c r="AD84" s="51" t="n">
        <x:v>0.58</x:v>
      </x:c>
      <x:c r="AE84" s="46" t="str"/>
      <x:c r="AF84" s="53" t="str">
        <x:v>2025-11-17 13:10:11</x:v>
      </x:c>
      <x:c r="AG84" s="28" t="str">
        <x:v>https://map.kakao.com/link/roadview/37.3892997,126.9250289</x:v>
      </x:c>
      <x:c r="AH84" s="28" t="str">
        <x:v>asset_level_inherited_not_endpoint_verified</x:v>
      </x:c>
      <x:c r="AI84" s="105" t="e">
        <x:f>HYPERLINK(IF(INDEX('영상 근거'!$F$7:$F$166,MATCH($A84&amp;"-N",'영상 근거'!$A$7:$A$166,0))=0,INDEX('영상 근거'!$Q$7:$Q$166,MATCH($A84&amp;"-N",'영상 근거'!$A$7:$A$166,0)),INDEX('영상 근거'!$F$7:$F$166,MATCH($A84&amp;"-N",'영상 근거'!$A$7:$A$166,0))),IF(INDEX('영상 근거'!$F$7:$F$166,MATCH($A84&amp;"-N",'영상 근거'!$A$7:$A$166,0))=0,"네이버 위치","네이버 거리뷰"))</x:f>
        <x:v>HYPERLINK is not implemented. linkLocation=https://map.naver.com/p/entry/coordinates/3zfrln,2AEC0J?c=15.00,0,0,0,dh, friendlyName=네이버 위치</x:v>
      </x:c>
      <x:c r="AJ84" s="105" t="e">
        <x:f>HYPERLINK(IF(INDEX('영상 근거'!$F$7:$F$166,MATCH($A84&amp;"-K",'영상 근거'!$A$7:$A$166,0))=0,INDEX('영상 근거'!$Q$7:$Q$166,MATCH($A84&amp;"-K",'영상 근거'!$A$7:$A$166,0)),INDEX('영상 근거'!$F$7:$F$166,MATCH($A84&amp;"-K",'영상 근거'!$A$7:$A$166,0))),"카카오 거리뷰")</x:f>
        <x:v>HYPERLINK is not implemented. linkLocation=https://map.kakao.com/?panoid=1202970050&amp;pan=224.2&amp;zoom=0&amp;map_type=TYPE_MAP&amp;map_attribute=ROADVIEW&amp;urlX=483412.0&amp;urlY=1080530.0, friendlyName=카카오 거리뷰</x:v>
      </x:c>
      <x:c r="AK84" s="105" t="e">
        <x:f>HYPERLINK("#'영상 근거'!A"&amp;(MATCH($A84&amp;"-N",'영상 근거'!$A$7:$A$166,0)+6),"두 영상 기록")</x:f>
        <x:v>HYPERLINK is not implemented. linkLocation=#'영상 근거'!A161, friendlyName=두 영상 기록</x:v>
      </x:c>
      <x:c r="AL84" s="106"/>
      <x:c r="AM84" s="106"/>
      <x:c r="AN84" s="67" t="str">
        <x:f>IF(COUNTIFS('영상 근거'!$B$7:$B$166,$A84,'영상 근거'!$H$7:$H$166,"pass")+COUNTIFS('영상 근거'!$B$7:$B$166,$A84,'영상 근거'!$H$7:$H$166,"block")+COUNTIFS('영상 근거'!$B$7:$B$166,$A84,'영상 근거'!$H$7:$H$166,"unknown")&lt;2,"미입력",IF(COUNTIFS('영상 근거'!$B$7:$B$166,$A84,'영상 근거'!$H$7:$H$166,"pass")=2,"pass 일치",IF(COUNTIFS('영상 근거'!$B$7:$B$166,$A84,'영상 근거'!$H$7:$H$166,"block")=2,"block 일치",IF(COUNTIFS('영상 근거'!$B$7:$B$166,$A84,'영상 근거'!$H$7:$H$166,"unknown")=2,"모두 unknown",IF(AND(COUNTIFS('영상 근거'!$B$7:$B$166,$A84,'영상 근거'!$H$7:$H$166,"pass")=1,COUNTIFS('영상 근거'!$B$7:$B$166,$A84,'영상 근거'!$H$7:$H$166,"block")=1),"불일치","한쪽 unknown")))))</x:f>
        <x:v>미입력</x:v>
      </x:c>
      <x:c r="AO84" s="67" t="str">
        <x:f>IF(COUNTIFS('영상 근거'!$B$7:$B$166,$A84,'영상 근거'!$K$7:$K$166,"pass")+COUNTIFS('영상 근거'!$B$7:$B$166,$A84,'영상 근거'!$K$7:$K$166,"block")+COUNTIFS('영상 근거'!$B$7:$B$166,$A84,'영상 근거'!$K$7:$K$166,"unknown")&lt;2,"미입력",IF(COUNTIFS('영상 근거'!$B$7:$B$166,$A84,'영상 근거'!$K$7:$K$166,"pass")=2,"pass 일치",IF(COUNTIFS('영상 근거'!$B$7:$B$166,$A84,'영상 근거'!$K$7:$K$166,"block")=2,"block 일치",IF(COUNTIFS('영상 근거'!$B$7:$B$166,$A84,'영상 근거'!$K$7:$K$166,"unknown")=2,"모두 unknown",IF(AND(COUNTIFS('영상 근거'!$B$7:$B$166,$A84,'영상 근거'!$K$7:$K$166,"pass")=1,COUNTIFS('영상 근거'!$B$7:$B$166,$A84,'영상 근거'!$K$7:$K$166,"block")=1),"불일치","한쪽 unknown")))))</x:f>
        <x:v>미입력</x:v>
      </x:c>
      <x:c r="AP84" s="106"/>
      <x:c r="AQ84" s="106"/>
      <x:c r="AR84" s="109" t="str">
        <x:v>위치 불일치·판독보류</x:v>
      </x:c>
      <x:c r="AS84" s="109" t="str">
        <x:v>위치 불일치·판독보류</x:v>
      </x:c>
      <x:c r="AT84" s="109" t="str">
        <x:v>보정 필요</x:v>
      </x:c>
      <x:c r="AU84" s="162" t="str">
        <x:v>AI candidate</x:v>
      </x:c>
      <x:c r="AV84" s="162" t="str">
        <x:v>N</x:v>
      </x:c>
      <x:c r="AW84" s="206" t="str">
        <x:v>사람검수 대기</x:v>
      </x:c>
    </x:row>
    <x:row r="85" ht="34" customHeight="1">
      <x:c r="A85" s="28" t="str">
        <x:v>CW40-A</x:v>
      </x:c>
      <x:c r="B85" s="28" t="str">
        <x:v>CW40</x:v>
      </x:c>
      <x:c r="C85" s="28" t="str">
        <x:v>2025085008</x:v>
      </x:c>
      <x:c r="D85" s="28" t="str">
        <x:v>A</x:v>
      </x:c>
      <x:c r="E85" s="48" t="n">
        <x:v>37.38914772596454</x:v>
      </x:c>
      <x:c r="F85" s="48" t="n">
        <x:v>126.92506392218567</x:v>
      </x:c>
      <x:c r="G85" s="28" t="str">
        <x:v>public_explicit_present</x:v>
      </x:c>
      <x:c r="H85" s="28" t="str">
        <x:v>있음</x:v>
      </x:c>
      <x:c r="I85" s="28" t="str">
        <x:v>있음</x:v>
      </x:c>
      <x:c r="J85" s="28" t="str">
        <x:v>provisional_high</x:v>
      </x:c>
      <x:c r="K85" s="30" t="n">
        <x:v>3.56</x:v>
      </x:c>
      <x:c r="L85" s="28" t="str">
        <x:v>N</x:v>
      </x:c>
      <x:c r="M85" s="33" t="str">
        <x:f>IF(S85="","pending_1st_review",IF(L85="Y",IF(Z85="","pending_2nd_review",IF(S85=Z85,"reviewed_agree",IF(AB85="","needs_adjudication","adjudicated"))),"reviewed_once"))</x:f>
        <x:v>pending_1st_review</x:v>
      </x:c>
      <x:c r="N85" s="46" t="str"/>
      <x:c r="O85" s="53" t="str"/>
      <x:c r="P85" s="46" t="str"/>
      <x:c r="Q85" s="46" t="str"/>
      <x:c r="R85" s="46" t="str"/>
      <x:c r="S85" s="46" t="str"/>
      <x:c r="T85" s="46" t="str"/>
      <x:c r="U85" s="46" t="str"/>
      <x:c r="V85" s="53" t="str"/>
      <x:c r="W85" s="46" t="str"/>
      <x:c r="X85" s="46" t="str"/>
      <x:c r="Y85" s="46" t="str"/>
      <x:c r="Z85" s="46" t="str"/>
      <x:c r="AA85" s="46" t="str"/>
      <x:c r="AB85" s="46" t="str"/>
      <x:c r="AC85" s="46" t="str">
        <x:v>likely_accessible_candidate</x:v>
      </x:c>
      <x:c r="AD85" s="51" t="n">
        <x:v>0.82</x:v>
      </x:c>
      <x:c r="AE85" s="46" t="str"/>
      <x:c r="AF85" s="53" t="str">
        <x:v>2025-11-17 13:10:12</x:v>
      </x:c>
      <x:c r="AG85" s="28" t="str">
        <x:v>https://map.kakao.com/link/roadview/37.3891477,126.9250639</x:v>
      </x:c>
      <x:c r="AH85" s="28" t="str">
        <x:v>asset_level_inherited_not_endpoint_verified</x:v>
      </x:c>
      <x:c r="AI85" s="105" t="e">
        <x:f>HYPERLINK(IF(INDEX('영상 근거'!$F$7:$F$166,MATCH($A85&amp;"-N",'영상 근거'!$A$7:$A$166,0))=0,INDEX('영상 근거'!$Q$7:$Q$166,MATCH($A85&amp;"-N",'영상 근거'!$A$7:$A$166,0)),INDEX('영상 근거'!$F$7:$F$166,MATCH($A85&amp;"-N",'영상 근거'!$A$7:$A$166,0))),IF(INDEX('영상 근거'!$F$7:$F$166,MATCH($A85&amp;"-N",'영상 근거'!$A$7:$A$166,0))=0,"네이버 위치","네이버 거리뷰"))</x:f>
        <x:v>HYPERLINK is not implemented. linkLocation=https://map.naver.com/p/entry/coordinates/3zfrr1,2AEBCd?c=15.00,0,0,0,dh, friendlyName=네이버 위치</x:v>
      </x:c>
      <x:c r="AJ85" s="105" t="e">
        <x:f>HYPERLINK(IF(INDEX('영상 근거'!$F$7:$F$166,MATCH($A85&amp;"-K",'영상 근거'!$A$7:$A$166,0))=0,INDEX('영상 근거'!$Q$7:$Q$166,MATCH($A85&amp;"-K",'영상 근거'!$A$7:$A$166,0)),INDEX('영상 근거'!$F$7:$F$166,MATCH($A85&amp;"-K",'영상 근거'!$A$7:$A$166,0))),"카카오 거리뷰")</x:f>
        <x:v>HYPERLINK is not implemented. linkLocation=https://map.kakao.com/?panoid=1202970051&amp;pan=225.5&amp;zoom=0&amp;map_type=TYPE_MAP&amp;map_attribute=ROADVIEW&amp;urlX=483394.0&amp;urlY=1080512.0, friendlyName=카카오 거리뷰</x:v>
      </x:c>
      <x:c r="AK85" s="105" t="e">
        <x:f>HYPERLINK("#'영상 근거'!A"&amp;(MATCH($A85&amp;"-N",'영상 근거'!$A$7:$A$166,0)+6),"두 영상 기록")</x:f>
        <x:v>HYPERLINK is not implemented. linkLocation=#'영상 근거'!A163, friendlyName=두 영상 기록</x:v>
      </x:c>
      <x:c r="AL85" s="106"/>
      <x:c r="AM85" s="106"/>
      <x:c r="AN85" s="67" t="str">
        <x:f>IF(COUNTIFS('영상 근거'!$B$7:$B$166,$A85,'영상 근거'!$H$7:$H$166,"pass")+COUNTIFS('영상 근거'!$B$7:$B$166,$A85,'영상 근거'!$H$7:$H$166,"block")+COUNTIFS('영상 근거'!$B$7:$B$166,$A85,'영상 근거'!$H$7:$H$166,"unknown")&lt;2,"미입력",IF(COUNTIFS('영상 근거'!$B$7:$B$166,$A85,'영상 근거'!$H$7:$H$166,"pass")=2,"pass 일치",IF(COUNTIFS('영상 근거'!$B$7:$B$166,$A85,'영상 근거'!$H$7:$H$166,"block")=2,"block 일치",IF(COUNTIFS('영상 근거'!$B$7:$B$166,$A85,'영상 근거'!$H$7:$H$166,"unknown")=2,"모두 unknown",IF(AND(COUNTIFS('영상 근거'!$B$7:$B$166,$A85,'영상 근거'!$H$7:$H$166,"pass")=1,COUNTIFS('영상 근거'!$B$7:$B$166,$A85,'영상 근거'!$H$7:$H$166,"block")=1),"불일치","한쪽 unknown")))))</x:f>
        <x:v>미입력</x:v>
      </x:c>
      <x:c r="AO85" s="67" t="str">
        <x:f>IF(COUNTIFS('영상 근거'!$B$7:$B$166,$A85,'영상 근거'!$K$7:$K$166,"pass")+COUNTIFS('영상 근거'!$B$7:$B$166,$A85,'영상 근거'!$K$7:$K$166,"block")+COUNTIFS('영상 근거'!$B$7:$B$166,$A85,'영상 근거'!$K$7:$K$166,"unknown")&lt;2,"미입력",IF(COUNTIFS('영상 근거'!$B$7:$B$166,$A85,'영상 근거'!$K$7:$K$166,"pass")=2,"pass 일치",IF(COUNTIFS('영상 근거'!$B$7:$B$166,$A85,'영상 근거'!$K$7:$K$166,"block")=2,"block 일치",IF(COUNTIFS('영상 근거'!$B$7:$B$166,$A85,'영상 근거'!$K$7:$K$166,"unknown")=2,"모두 unknown",IF(AND(COUNTIFS('영상 근거'!$B$7:$B$166,$A85,'영상 근거'!$K$7:$K$166,"pass")=1,COUNTIFS('영상 근거'!$B$7:$B$166,$A85,'영상 근거'!$K$7:$K$166,"block")=1),"불일치","한쪽 unknown")))))</x:f>
        <x:v>미입력</x:v>
      </x:c>
      <x:c r="AP85" s="106"/>
      <x:c r="AQ85" s="106"/>
      <x:c r="AR85" s="109" t="str">
        <x:v>통과 가능 후보</x:v>
      </x:c>
      <x:c r="AS85" s="109" t="str">
        <x:v>안내시설 양호 후보</x:v>
      </x:c>
      <x:c r="AT85" s="109" t="str">
        <x:v>보정 비대상</x:v>
      </x:c>
      <x:c r="AU85" s="162" t="str">
        <x:v>AI candidate</x:v>
      </x:c>
      <x:c r="AV85" s="162" t="str">
        <x:v>N</x:v>
      </x:c>
      <x:c r="AW85" s="206" t="str">
        <x:v>사람검수 대기</x:v>
      </x:c>
    </x:row>
    <x:row r="86" ht="34" customHeight="1">
      <x:c r="A86" s="28" t="str">
        <x:v>CW40-B</x:v>
      </x:c>
      <x:c r="B86" s="28" t="str">
        <x:v>CW40</x:v>
      </x:c>
      <x:c r="C86" s="28" t="str">
        <x:v>2025085008</x:v>
      </x:c>
      <x:c r="D86" s="28" t="str">
        <x:v>B</x:v>
      </x:c>
      <x:c r="E86" s="48" t="n">
        <x:v>37.38920089403547</x:v>
      </x:c>
      <x:c r="F86" s="48" t="n">
        <x:v>126.92500007781435</x:v>
      </x:c>
      <x:c r="G86" s="28" t="str">
        <x:v>public_explicit_present</x:v>
      </x:c>
      <x:c r="H86" s="28" t="str">
        <x:v>있음</x:v>
      </x:c>
      <x:c r="I86" s="28" t="str">
        <x:v>있음</x:v>
      </x:c>
      <x:c r="J86" s="28" t="str">
        <x:v>provisional_high</x:v>
      </x:c>
      <x:c r="K86" s="30" t="n">
        <x:v>3.56</x:v>
      </x:c>
      <x:c r="L86" s="28" t="str">
        <x:v>N</x:v>
      </x:c>
      <x:c r="M86" s="33" t="str">
        <x:f>IF(S86="","pending_1st_review",IF(L86="Y",IF(Z86="","pending_2nd_review",IF(S86=Z86,"reviewed_agree",IF(AB86="","needs_adjudication","adjudicated"))),"reviewed_once"))</x:f>
        <x:v>pending_1st_review</x:v>
      </x:c>
      <x:c r="N86" s="46" t="str"/>
      <x:c r="O86" s="53" t="str"/>
      <x:c r="P86" s="46" t="str"/>
      <x:c r="Q86" s="46" t="str"/>
      <x:c r="R86" s="46" t="str"/>
      <x:c r="S86" s="46" t="str"/>
      <x:c r="T86" s="46" t="str"/>
      <x:c r="U86" s="46" t="str"/>
      <x:c r="V86" s="53" t="str"/>
      <x:c r="W86" s="46" t="str"/>
      <x:c r="X86" s="46" t="str"/>
      <x:c r="Y86" s="46" t="str"/>
      <x:c r="Z86" s="46" t="str"/>
      <x:c r="AA86" s="46" t="str"/>
      <x:c r="AB86" s="46" t="str"/>
      <x:c r="AC86" s="46" t="str">
        <x:v>geometry_mismatch_candidate</x:v>
      </x:c>
      <x:c r="AD86" s="51" t="n">
        <x:v>0.58</x:v>
      </x:c>
      <x:c r="AE86" s="46" t="str"/>
      <x:c r="AF86" s="53" t="str">
        <x:v>2025-11-17 13:10:12</x:v>
      </x:c>
      <x:c r="AG86" s="28" t="str">
        <x:v>https://map.kakao.com/link/roadview/37.3892009,126.9250001</x:v>
      </x:c>
      <x:c r="AH86" s="28" t="str">
        <x:v>asset_level_inherited_not_endpoint_verified</x:v>
      </x:c>
      <x:c r="AI86" s="105" t="e">
        <x:f>HYPERLINK(IF(INDEX('영상 근거'!$F$7:$F$166,MATCH($A86&amp;"-N",'영상 근거'!$A$7:$A$166,0))=0,INDEX('영상 근거'!$Q$7:$Q$166,MATCH($A86&amp;"-N",'영상 근거'!$A$7:$A$166,0)),INDEX('영상 근거'!$F$7:$F$166,MATCH($A86&amp;"-N",'영상 근거'!$A$7:$A$166,0))),IF(INDEX('영상 근거'!$F$7:$F$166,MATCH($A86&amp;"-N",'영상 근거'!$A$7:$A$166,0))=0,"네이버 위치","네이버 거리뷰"))</x:f>
        <x:v>HYPERLINK is not implemented. linkLocation=https://map.naver.com/p/entry/coordinates/3zfrgJ,2AEBKN?c=15.00,0,0,0,dh, friendlyName=네이버 위치</x:v>
      </x:c>
      <x:c r="AJ86" s="105" t="e">
        <x:f>HYPERLINK(IF(INDEX('영상 근거'!$F$7:$F$166,MATCH($A86&amp;"-K",'영상 근거'!$A$7:$A$166,0))=0,INDEX('영상 근거'!$Q$7:$Q$166,MATCH($A86&amp;"-K",'영상 근거'!$A$7:$A$166,0)),INDEX('영상 근거'!$F$7:$F$166,MATCH($A86&amp;"-K",'영상 근거'!$A$7:$A$166,0))),"카카오 거리뷰")</x:f>
        <x:v>HYPERLINK is not implemented. linkLocation=https://map.kakao.com/?panoid=1202970051&amp;pan=225.5&amp;zoom=0&amp;map_type=TYPE_MAP&amp;map_attribute=ROADVIEW&amp;urlX=483394.0&amp;urlY=1080512.0, friendlyName=카카오 거리뷰</x:v>
      </x:c>
      <x:c r="AK86" s="105" t="e">
        <x:f>HYPERLINK("#'영상 근거'!A"&amp;(MATCH($A86&amp;"-N",'영상 근거'!$A$7:$A$166,0)+6),"두 영상 기록")</x:f>
        <x:v>HYPERLINK is not implemented. linkLocation=#'영상 근거'!A165, friendlyName=두 영상 기록</x:v>
      </x:c>
      <x:c r="AL86" s="106"/>
      <x:c r="AM86" s="106"/>
      <x:c r="AN86" s="67" t="str">
        <x:f>IF(COUNTIFS('영상 근거'!$B$7:$B$166,$A86,'영상 근거'!$H$7:$H$166,"pass")+COUNTIFS('영상 근거'!$B$7:$B$166,$A86,'영상 근거'!$H$7:$H$166,"block")+COUNTIFS('영상 근거'!$B$7:$B$166,$A86,'영상 근거'!$H$7:$H$166,"unknown")&lt;2,"미입력",IF(COUNTIFS('영상 근거'!$B$7:$B$166,$A86,'영상 근거'!$H$7:$H$166,"pass")=2,"pass 일치",IF(COUNTIFS('영상 근거'!$B$7:$B$166,$A86,'영상 근거'!$H$7:$H$166,"block")=2,"block 일치",IF(COUNTIFS('영상 근거'!$B$7:$B$166,$A86,'영상 근거'!$H$7:$H$166,"unknown")=2,"모두 unknown",IF(AND(COUNTIFS('영상 근거'!$B$7:$B$166,$A86,'영상 근거'!$H$7:$H$166,"pass")=1,COUNTIFS('영상 근거'!$B$7:$B$166,$A86,'영상 근거'!$H$7:$H$166,"block")=1),"불일치","한쪽 unknown")))))</x:f>
        <x:v>미입력</x:v>
      </x:c>
      <x:c r="AO86" s="67" t="str">
        <x:f>IF(COUNTIFS('영상 근거'!$B$7:$B$166,$A86,'영상 근거'!$K$7:$K$166,"pass")+COUNTIFS('영상 근거'!$B$7:$B$166,$A86,'영상 근거'!$K$7:$K$166,"block")+COUNTIFS('영상 근거'!$B$7:$B$166,$A86,'영상 근거'!$K$7:$K$166,"unknown")&lt;2,"미입력",IF(COUNTIFS('영상 근거'!$B$7:$B$166,$A86,'영상 근거'!$K$7:$K$166,"pass")=2,"pass 일치",IF(COUNTIFS('영상 근거'!$B$7:$B$166,$A86,'영상 근거'!$K$7:$K$166,"block")=2,"block 일치",IF(COUNTIFS('영상 근거'!$B$7:$B$166,$A86,'영상 근거'!$K$7:$K$166,"unknown")=2,"모두 unknown",IF(AND(COUNTIFS('영상 근거'!$B$7:$B$166,$A86,'영상 근거'!$K$7:$K$166,"pass")=1,COUNTIFS('영상 근거'!$B$7:$B$166,$A86,'영상 근거'!$K$7:$K$166,"block")=1),"불일치","한쪽 unknown")))))</x:f>
        <x:v>미입력</x:v>
      </x:c>
      <x:c r="AP86" s="106"/>
      <x:c r="AQ86" s="106"/>
      <x:c r="AR86" s="109" t="str">
        <x:v>위치 불일치·판독보류</x:v>
      </x:c>
      <x:c r="AS86" s="109" t="str">
        <x:v>위치 불일치·판독보류</x:v>
      </x:c>
      <x:c r="AT86" s="109" t="str">
        <x:v>보정 필요</x:v>
      </x:c>
      <x:c r="AU86" s="162" t="str">
        <x:v>AI candidate</x:v>
      </x:c>
      <x:c r="AV86" s="162" t="str">
        <x:v>N</x:v>
      </x:c>
      <x:c r="AW86" s="206" t="str">
        <x:v>사람검수 대기</x:v>
      </x:c>
    </x:row>
  </x:sheetData>
  <x:conditionalFormatting sqref="M7:M86">
    <x:cfRule type="containsText" dxfId="12" priority="1" operator="containsText" text="pending"/>
    <x:cfRule type="containsText" dxfId="13" priority="2" operator="containsText" text="needs"/>
    <x:cfRule type="containsText" dxfId="14" priority="3" operator="containsText" text="reviewed"/>
  </x:conditionalFormatting>
  <x:conditionalFormatting sqref="G7:G86">
    <x:cfRule type="containsText" dxfId="15" priority="4" operator="containsText" text="risk"/>
    <x:cfRule type="containsText" dxfId="16" priority="5" operator="containsText" text="unknown"/>
  </x:conditionalFormatting>
  <x:conditionalFormatting sqref="S7:S86">
    <x:cfRule type="containsText" dxfId="17" priority="6" operator="containsText" text="block"/>
  </x:conditionalFormatting>
  <x:conditionalFormatting sqref="Z7:Z86">
    <x:cfRule type="containsText" dxfId="18" priority="7" operator="containsText" text="block"/>
  </x:conditionalFormatting>
  <x:conditionalFormatting sqref="AN7:AN86">
    <x:cfRule type="containsText" dxfId="32" priority="8" operator="containsText" text="불일치"/>
  </x:conditionalFormatting>
  <x:conditionalFormatting sqref="AO7:AO86">
    <x:cfRule type="containsText" dxfId="33" priority="9" operator="containsText" text="불일치"/>
  </x:conditionalFormatting>
  <x:dataValidations count="14">
    <x:dataValidation type="list" sqref="P7:Q86">
      <x:formula1>"있음,없음,판독불가"</x:formula1>
    </x:dataValidation>
    <x:dataValidation type="list" sqref="W7:X86">
      <x:formula1>"있음,없음,판독불가"</x:formula1>
    </x:dataValidation>
    <x:dataValidation type="list" sqref="R7:R86">
      <x:formula1>"없음,차량,적치물,공사,경사,단차,기타,판독불가"</x:formula1>
    </x:dataValidation>
    <x:dataValidation type="list" sqref="Y7:Y86">
      <x:formula1>"없음,차량,적치물,공사,경사,단차,기타,판독불가"</x:formula1>
    </x:dataValidation>
    <x:dataValidation type="list" sqref="S7:S86">
      <x:formula1>"pass,block,unknown"</x:formula1>
    </x:dataValidation>
    <x:dataValidation type="list" sqref="Z7:Z86">
      <x:formula1>"pass,block,unknown"</x:formula1>
    </x:dataValidation>
    <x:dataValidation type="list" sqref="AB7:AB86">
      <x:formula1>"pass,block,unknown"</x:formula1>
    </x:dataValidation>
    <x:dataValidation type="list" sqref="AC7:AC86">
      <x:formula1>"curb_missing,tactile_missing,slope,obstacle,surface_damage,other,none"</x:formula1>
    </x:dataValidation>
    <x:dataValidation type="list" sqref="AE7:AE86">
      <x:formula1>"Y,N"</x:formula1>
    </x:dataValidation>
    <x:dataValidation type="list" sqref="AL7:AL86">
      <x:formula1>"네이버,카카오,둘 다,보류"</x:formula1>
    </x:dataValidation>
    <x:dataValidation type="list" sqref="AM7:AM86">
      <x:formula1>"네이버,카카오,둘 다,보류"</x:formula1>
    </x:dataValidation>
    <x:dataValidation type="list" sqref="AP7:AP86">
      <x:formula1>"Y,N,판단보류"</x:formula1>
    </x:dataValidation>
    <x:dataValidation type="list" sqref="AQ7:AQ86">
      <x:formula1>"Y,N,판단보류"</x:formula1>
    </x:dataValidation>
    <x:dataValidation type="list" sqref="AV7:AV86">
      <x:formula1>"N,profile_verified,field_verified"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B42318"/>
  </x:sheetPr>
  <x:sheetViews>
    <x:sheetView showGridLines="0" workbookViewId="0">
      <x:pane xSplit="2" ySplit="13" topLeftCell="C14" activePane="bottomRight" state="frozen"/>
    </x:sheetView>
  </x:sheetViews>
  <x:sheetFormatPr defaultRowHeight="15"/>
  <x:cols>
    <x:col min="1" max="1" width="11" hidden="0" customWidth="1"/>
    <x:col min="2" max="2" width="10" hidden="0" customWidth="1"/>
    <x:col min="3" max="3" width="26" hidden="0" customWidth="1"/>
    <x:col min="4" max="4" width="26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6" hidden="0" customWidth="1"/>
    <x:col min="12" max="12" width="17" hidden="0" customWidth="1"/>
    <x:col min="13" max="13" width="18" hidden="0" customWidth="1"/>
    <x:col min="14" max="14" width="18" hidden="0" customWidth="1"/>
    <x:col min="15" max="15" width="22" hidden="0" customWidth="1"/>
    <x:col min="16" max="16" width="45" hidden="0" customWidth="1"/>
    <x:col min="17" max="17" width="18" hidden="0" customWidth="1"/>
    <x:col min="18" max="18" width="18" hidden="0" customWidth="1"/>
    <x:col min="19" max="19" width="23" hidden="0" customWidth="1"/>
  </x:cols>
  <x:sheetData>
    <x:row r="1">
      <x:c r="A1" s="66"/>
      <x:c r="B1" s="66"/>
      <x:c r="C1" s="66"/>
      <x:c r="D1" s="66"/>
      <x:c r="E1" s="66"/>
      <x:c r="F1" s="66"/>
      <x:c r="G1" s="66"/>
      <x:c r="H1" s="66"/>
      <x:c r="I1" s="66"/>
      <x:c r="J1" s="66"/>
      <x:c r="K1" s="66"/>
      <x:c r="L1" s="66"/>
      <x:c r="M1" s="66"/>
      <x:c r="N1" s="66"/>
      <x:c r="O1" s="66"/>
      <x:c r="P1" s="66"/>
      <x:c r="Q1" s="66"/>
      <x:c r="R1" s="66"/>
      <x:c r="S1" s="66"/>
      <x:c r="T1" s="66"/>
    </x:row>
    <x:row r="2" ht="28" customHeight="1">
      <x:c r="A2" s="131" t="str">
        <x:v>구 경로 비교 — 사용중지</x:v>
      </x:c>
      <x:c r="B2" s="131"/>
      <x:c r="C2" s="131"/>
      <x:c r="D2" s="131"/>
      <x:c r="E2" s="131"/>
      <x:c r="F2" s="131"/>
      <x:c r="G2" s="131"/>
      <x:c r="H2" s="131"/>
      <x:c r="I2" s="131"/>
      <x:c r="J2" s="131"/>
      <x:c r="K2" s="131"/>
      <x:c r="L2" s="131"/>
      <x:c r="M2" s="131"/>
      <x:c r="N2" s="131"/>
      <x:c r="O2" s="131"/>
      <x:c r="P2" s="131"/>
      <x:c r="Q2" s="131"/>
      <x:c r="R2" s="131"/>
      <x:c r="S2" s="131"/>
      <x:c r="T2" s="131"/>
    </x:row>
    <x:row r="3" ht="22" customHeight="1">
      <x:c r="A3" s="132" t="str">
        <x:v>수치는 삭제하지 않고 진단 기록으로 보존합니다. 제출 성과·경로안내·AI 효과로 사용하지 마세요.</x:v>
      </x:c>
      <x:c r="B3" s="132"/>
      <x:c r="C3" s="132"/>
      <x:c r="D3" s="132"/>
      <x:c r="E3" s="132"/>
      <x:c r="F3" s="132"/>
      <x:c r="G3" s="132"/>
      <x:c r="H3" s="132"/>
      <x:c r="I3" s="132"/>
      <x:c r="J3" s="132"/>
      <x:c r="K3" s="132"/>
      <x:c r="L3" s="132"/>
      <x:c r="M3" s="132"/>
      <x:c r="N3" s="132"/>
      <x:c r="O3" s="132"/>
      <x:c r="P3" s="132"/>
      <x:c r="Q3" s="132"/>
      <x:c r="R3" s="132"/>
      <x:c r="S3" s="132"/>
      <x:c r="T3" s="132"/>
    </x:row>
    <x:row r="4">
      <x:c r="A4" s="115"/>
      <x:c r="B4" s="115"/>
      <x:c r="C4" s="115"/>
      <x:c r="D4" s="115"/>
      <x:c r="E4" s="115"/>
      <x:c r="F4" s="115"/>
      <x:c r="G4" s="115"/>
      <x:c r="H4" s="115"/>
      <x:c r="I4" s="115"/>
      <x:c r="J4" s="115"/>
      <x:c r="K4" s="115"/>
      <x:c r="L4" s="115"/>
      <x:c r="M4" s="115"/>
      <x:c r="N4" s="115"/>
      <x:c r="O4" s="115"/>
      <x:c r="P4" s="115"/>
      <x:c r="Q4" s="115"/>
      <x:c r="R4" s="115"/>
      <x:c r="S4" s="115"/>
      <x:c r="T4" s="115"/>
    </x:row>
    <x:row r="5">
      <x:c r="A5" s="114"/>
      <x:c r="B5" s="66"/>
      <x:c r="C5" s="66"/>
      <x:c r="D5" s="66"/>
      <x:c r="E5" s="66"/>
      <x:c r="F5" s="66"/>
      <x:c r="G5" s="66"/>
      <x:c r="H5" s="66"/>
      <x:c r="I5" s="66"/>
      <x:c r="J5" s="66"/>
      <x:c r="K5" s="66"/>
      <x:c r="L5" s="66"/>
      <x:c r="M5" s="66"/>
      <x:c r="N5" s="66"/>
      <x:c r="O5" s="66"/>
      <x:c r="P5" s="66"/>
      <x:c r="Q5" s="66"/>
      <x:c r="R5" s="66"/>
      <x:c r="S5" s="66"/>
      <x:c r="T5" s="66"/>
    </x:row>
    <x:row r="6" ht="24" customHeight="1">
      <x:c r="A6" s="136" t="str">
        <x:v>사용중지 사유</x:v>
      </x:c>
      <x:c r="B6" s="190"/>
      <x:c r="C6" s="190"/>
      <x:c r="D6" s="190"/>
      <x:c r="E6" s="190"/>
      <x:c r="F6" s="190"/>
      <x:c r="G6" s="190"/>
      <x:c r="H6" s="190"/>
      <x:c r="I6" s="190"/>
      <x:c r="J6" s="190"/>
      <x:c r="K6" s="190"/>
      <x:c r="L6" s="190"/>
      <x:c r="M6" s="190"/>
      <x:c r="N6" s="190"/>
      <x:c r="O6" s="190"/>
      <x:c r="P6" s="190"/>
      <x:c r="Q6" s="190"/>
      <x:c r="R6" s="137"/>
      <x:c r="S6" s="138"/>
      <x:c r="T6" s="138"/>
    </x:row>
    <x:row r="7" ht="32" customHeight="1">
      <x:c r="A7" s="152" t="str">
        <x:v>문제</x:v>
      </x:c>
      <x:c r="B7" s="154" t="str">
        <x:v>확인 결과</x:v>
      </x:c>
      <x:c r="C7" s="154" t="str">
        <x:v>영향</x:v>
      </x:c>
      <x:c r="D7" s="155" t="str">
        <x:v>수정 조건</x:v>
      </x:c>
      <x:c r="E7" s="208"/>
      <x:c r="F7" s="208"/>
      <x:c r="G7" s="208"/>
      <x:c r="H7" s="208"/>
      <x:c r="I7" s="129"/>
      <x:c r="J7" s="208"/>
      <x:c r="K7" s="128"/>
      <x:c r="L7" s="128"/>
      <x:c r="M7" s="128"/>
      <x:c r="N7" s="128"/>
      <x:c r="O7" s="128"/>
      <x:c r="P7" s="128"/>
      <x:c r="Q7" s="128"/>
      <x:c r="R7" s="128"/>
      <x:c r="S7" s="66"/>
      <x:c r="T7" s="66"/>
    </x:row>
    <x:row r="8" ht="48" customHeight="1">
      <x:c r="A8" s="127" t="str">
        <x:v>공란 가중치 1.15</x:v>
      </x:c>
      <x:c r="B8" s="127" t="str">
        <x:v>변경 5건 모두 명시 장애물이 아닌 공란 정책 효과</x:v>
      </x:c>
      <x:c r="C8" s="127" t="str">
        <x:v>공공데이터 장애물 효과로 해석 불가</x:v>
      </x:c>
      <x:c r="D8" s="127" t="str">
        <x:v>B0와 불확실성 민감도 분리</x:v>
      </x:c>
      <x:c r="E8" s="209"/>
      <x:c r="F8" s="209"/>
      <x:c r="G8" s="209"/>
      <x:c r="H8" s="209"/>
      <x:c r="I8" s="124"/>
      <x:c r="J8" s="209"/>
      <x:c r="K8" s="123"/>
      <x:c r="L8" s="123"/>
      <x:c r="M8" s="123"/>
      <x:c r="N8" s="123"/>
      <x:c r="O8" s="123"/>
      <x:c r="P8" s="123"/>
      <x:c r="Q8" s="123"/>
      <x:c r="R8" s="123"/>
      <x:c r="S8" s="66"/>
      <x:c r="T8" s="66"/>
    </x:row>
    <x:row r="9" ht="48" customHeight="1">
      <x:c r="A9" s="127" t="str">
        <x:v>프로필 혼합</x:v>
      </x:c>
      <x:c r="B9" s="127" t="str">
        <x:v>점자블록 없음이 휠체어 block에 포함</x:v>
      </x:c>
      <x:c r="C9" s="127" t="str">
        <x:v>CW33 및 AI 후보 해석 오류</x:v>
      </x:c>
      <x:c r="D9" s="127" t="str">
        <x:v>사용자 조건별 정책 적용</x:v>
      </x:c>
      <x:c r="E9" s="209"/>
      <x:c r="F9" s="209"/>
      <x:c r="G9" s="209"/>
      <x:c r="H9" s="209"/>
      <x:c r="I9" s="124"/>
      <x:c r="J9" s="209"/>
      <x:c r="K9" s="123"/>
      <x:c r="L9" s="123"/>
      <x:c r="M9" s="123"/>
      <x:c r="N9" s="123"/>
      <x:c r="O9" s="123"/>
      <x:c r="P9" s="123"/>
      <x:c r="Q9" s="123"/>
      <x:c r="R9" s="123"/>
      <x:c r="S9" s="66"/>
      <x:c r="T9" s="66"/>
    </x:row>
    <x:row r="10" ht="48" customHeight="1">
      <x:c r="A10" s="127" t="str">
        <x:v>중심선 proxy 차단</x:v>
      </x:c>
      <x:c r="B10" s="127" t="str">
        <x:v>횡단보도 하나가 도로 중심선 구간 전체를 차단</x:v>
      </x:c>
      <x:c r="C10" s="127" t="str">
        <x:v>우회율 과대·구간 공유 충돌</x:v>
      </x:c>
      <x:c r="D10" s="127" t="str">
        <x:v>고유 횡단엣지와 보도 그래프 구축</x:v>
      </x:c>
      <x:c r="E10" s="209"/>
      <x:c r="F10" s="209"/>
      <x:c r="G10" s="209"/>
      <x:c r="H10" s="209"/>
      <x:c r="I10" s="124"/>
      <x:c r="J10" s="209"/>
      <x:c r="K10" s="123"/>
      <x:c r="L10" s="123"/>
      <x:c r="M10" s="123"/>
      <x:c r="N10" s="123"/>
      <x:c r="O10" s="123"/>
      <x:c r="P10" s="123"/>
      <x:c r="Q10" s="123"/>
      <x:c r="R10" s="123"/>
      <x:c r="S10" s="66"/>
      <x:c r="T10" s="66"/>
    </x:row>
    <x:row r="11" ht="22" customHeight="1">
      <x:c r="A11" s="123"/>
      <x:c r="B11" s="123"/>
      <x:c r="C11" s="123"/>
      <x:c r="D11" s="123"/>
      <x:c r="E11" s="209"/>
      <x:c r="F11" s="209"/>
      <x:c r="G11" s="209"/>
      <x:c r="H11" s="209"/>
      <x:c r="I11" s="124"/>
      <x:c r="J11" s="209"/>
      <x:c r="K11" s="123"/>
      <x:c r="L11" s="123"/>
      <x:c r="M11" s="123"/>
      <x:c r="N11" s="123"/>
      <x:c r="O11" s="123"/>
      <x:c r="P11" s="123"/>
      <x:c r="Q11" s="123"/>
      <x:c r="R11" s="123"/>
      <x:c r="S11" s="66"/>
      <x:c r="T11" s="66"/>
    </x:row>
    <x:row r="12" ht="22" customHeight="1">
      <x:c r="A12" s="210" t="str">
        <x:v>보존된 기존 계산 결과(진단 기록)</x:v>
      </x:c>
      <x:c r="B12" s="210"/>
      <x:c r="C12" s="210"/>
      <x:c r="D12" s="210"/>
      <x:c r="E12" s="211"/>
      <x:c r="F12" s="211"/>
      <x:c r="G12" s="211"/>
      <x:c r="H12" s="211"/>
      <x:c r="I12" s="212"/>
      <x:c r="J12" s="211"/>
      <x:c r="K12" s="210"/>
      <x:c r="L12" s="210"/>
      <x:c r="M12" s="210"/>
      <x:c r="N12" s="210"/>
      <x:c r="O12" s="210"/>
      <x:c r="P12" s="210"/>
      <x:c r="Q12" s="210"/>
      <x:c r="R12" s="210"/>
      <x:c r="S12" s="213"/>
      <x:c r="T12" s="213"/>
    </x:row>
    <x:row r="13" ht="32" customHeight="1">
      <x:c r="A13" s="176" t="str">
        <x:v>OD</x:v>
      </x:c>
      <x:c r="B13" s="178" t="str">
        <x:v>모드</x:v>
      </x:c>
      <x:c r="C13" s="178" t="str">
        <x:v>출발</x:v>
      </x:c>
      <x:c r="D13" s="178" t="str">
        <x:v>도착</x:v>
      </x:c>
      <x:c r="E13" s="222" t="str">
        <x:v>직선거리(m)</x:v>
      </x:c>
      <x:c r="F13" s="222" t="str">
        <x:v>경로거리(m)</x:v>
      </x:c>
      <x:c r="G13" s="222" t="str">
        <x:v>가중비용(m)</x:v>
      </x:c>
      <x:c r="H13" s="222" t="str">
        <x:v>거리증분(m)</x:v>
      </x:c>
      <x:c r="I13" s="223" t="str">
        <x:v>거리증분(%)</x:v>
      </x:c>
      <x:c r="J13" s="222" t="str">
        <x:v>비용증분(m)</x:v>
      </x:c>
      <x:c r="K13" s="178" t="str">
        <x:v>A와 경로변경</x:v>
      </x:c>
      <x:c r="L13" s="178" t="str">
        <x:v>공란 대체엣지 사용</x:v>
      </x:c>
      <x:c r="M13" s="178" t="str">
        <x:v>공공 차단엣지 사용</x:v>
      </x:c>
      <x:c r="N13" s="178" t="str">
        <x:v>승인 AI 차단엣지</x:v>
      </x:c>
      <x:c r="O13" s="178" t="str">
        <x:v>근거 상태</x:v>
      </x:c>
      <x:c r="P13" s="178" t="str">
        <x:v>해석</x:v>
      </x:c>
      <x:c r="Q13" s="178" t="str">
        <x:v>출발 노드</x:v>
      </x:c>
      <x:c r="R13" s="178" t="str">
        <x:v>도착 노드</x:v>
      </x:c>
      <x:c r="S13" s="179" t="str">
        <x:v>사용 상태</x:v>
      </x:c>
      <x:c r="T13" s="66"/>
    </x:row>
    <x:row r="14" ht="28" customHeight="1">
      <x:c r="A14" s="123" t="str">
        <x:v>OD01</x:v>
      </x:c>
      <x:c r="B14" s="123" t="str">
        <x:v>A</x:v>
      </x:c>
      <x:c r="C14" s="123" t="str">
        <x:v>북부 서측 표본(CW04)</x:v>
      </x:c>
      <x:c r="D14" s="123" t="str">
        <x:v>중북부 동측 표본(CW20)</x:v>
      </x:c>
      <x:c r="E14" s="209" t="n">
        <x:v>928</x:v>
      </x:c>
      <x:c r="F14" s="209" t="n">
        <x:v>1109.1</x:v>
      </x:c>
      <x:c r="G14" s="209" t="n">
        <x:v>1109.1</x:v>
      </x:c>
      <x:c r="H14" s="209" t="n">
        <x:v>0</x:v>
      </x:c>
      <x:c r="I14" s="124" t="n">
        <x:v>0</x:v>
      </x:c>
      <x:c r="J14" s="209" t="n">
        <x:v>0</x:v>
      </x:c>
      <x:c r="K14" s="123" t="str">
        <x:v>N</x:v>
      </x:c>
      <x:c r="L14" s="123" t="n">
        <x:v>4</x:v>
      </x:c>
      <x:c r="M14" s="123" t="n">
        <x:v>0</x:v>
      </x:c>
      <x:c r="N14" s="123" t="n">
        <x:v>0</x:v>
      </x:c>
      <x:c r="O14" s="123" t="str">
        <x:v>computed_baseline</x:v>
      </x:c>
      <x:c r="P14" s="123" t="str">
        <x:v>distance-only OSM centerline proxy</x:v>
      </x:c>
      <x:c r="Q14" s="123" t="str">
        <x:v>13168924058</x:v>
      </x:c>
      <x:c r="R14" s="123" t="str">
        <x:v>457320253</x:v>
      </x:c>
      <x:c r="S14" s="225" t="str">
        <x:v>제출·경로안내 금지</x:v>
      </x:c>
      <x:c r="T14" s="66"/>
    </x:row>
    <x:row r="15" ht="28" customHeight="1">
      <x:c r="A15" s="123" t="str">
        <x:v>OD01</x:v>
      </x:c>
      <x:c r="B15" s="123" t="str">
        <x:v>B</x:v>
      </x:c>
      <x:c r="C15" s="123" t="str">
        <x:v>북부 서측 표본(CW04)</x:v>
      </x:c>
      <x:c r="D15" s="123" t="str">
        <x:v>중북부 동측 표본(CW20)</x:v>
      </x:c>
      <x:c r="E15" s="209" t="n">
        <x:v>928</x:v>
      </x:c>
      <x:c r="F15" s="209" t="n">
        <x:v>1115.8</x:v>
      </x:c>
      <x:c r="G15" s="209" t="n">
        <x:v>1127.4</x:v>
      </x:c>
      <x:c r="H15" s="209" t="n">
        <x:v>6.7</x:v>
      </x:c>
      <x:c r="I15" s="124" t="n">
        <x:v>0.6</x:v>
      </x:c>
      <x:c r="J15" s="209" t="n">
        <x:v>18.3</x:v>
      </x:c>
      <x:c r="K15" s="123" t="str">
        <x:v>Y</x:v>
      </x:c>
      <x:c r="L15" s="123" t="n">
        <x:v>2</x:v>
      </x:c>
      <x:c r="M15" s="123" t="n">
        <x:v>0</x:v>
      </x:c>
      <x:c r="N15" s="123" t="n">
        <x:v>0</x:v>
      </x:c>
      <x:c r="O15" s="123" t="str">
        <x:v>computed_baseline</x:v>
      </x:c>
      <x:c r="P15" s="123" t="str">
        <x:v>public risk blocked; unknown proxy edges x1.15</x:v>
      </x:c>
      <x:c r="Q15" s="123" t="str">
        <x:v>13168924058</x:v>
      </x:c>
      <x:c r="R15" s="123" t="str">
        <x:v>457320253</x:v>
      </x:c>
      <x:c r="S15" s="225" t="str">
        <x:v>제출·경로안내 금지</x:v>
      </x:c>
      <x:c r="T15" s="66"/>
    </x:row>
    <x:row r="16" ht="28" customHeight="1">
      <x:c r="A16" s="123" t="str">
        <x:v>OD01</x:v>
      </x:c>
      <x:c r="B16" s="123" t="str">
        <x:v>C</x:v>
      </x:c>
      <x:c r="C16" s="123" t="str">
        <x:v>북부 서측 표본(CW04)</x:v>
      </x:c>
      <x:c r="D16" s="123" t="str">
        <x:v>중북부 동측 표본(CW20)</x:v>
      </x:c>
      <x:c r="E16" s="209" t="n">
        <x:v>928</x:v>
      </x:c>
      <x:c r="F16" s="209" t="n">
        <x:v>1115.8</x:v>
      </x:c>
      <x:c r="G16" s="209" t="n">
        <x:v>1127.4</x:v>
      </x:c>
      <x:c r="H16" s="209" t="n">
        <x:v>6.7</x:v>
      </x:c>
      <x:c r="I16" s="124" t="n">
        <x:v>0.6</x:v>
      </x:c>
      <x:c r="J16" s="209" t="n">
        <x:v>18.3</x:v>
      </x:c>
      <x:c r="K16" s="123" t="str">
        <x:v>Y</x:v>
      </x:c>
      <x:c r="L16" s="123" t="n">
        <x:v>2</x:v>
      </x:c>
      <x:c r="M16" s="123" t="n">
        <x:v>0</x:v>
      </x:c>
      <x:c r="N16" s="123" t="n">
        <x:v>0</x:v>
      </x:c>
      <x:c r="O16" s="123" t="str">
        <x:v>baseline_no_approved_ai_candidates</x:v>
      </x:c>
      <x:c r="P16" s="123" t="str">
        <x:v>same as B because no AI candidate has human approval</x:v>
      </x:c>
      <x:c r="Q16" s="123" t="str">
        <x:v>13168924058</x:v>
      </x:c>
      <x:c r="R16" s="123" t="str">
        <x:v>457320253</x:v>
      </x:c>
      <x:c r="S16" s="225" t="str">
        <x:v>제출·경로안내 금지</x:v>
      </x:c>
      <x:c r="T16" s="66"/>
    </x:row>
    <x:row r="17" ht="28" customHeight="1">
      <x:c r="A17" s="123" t="str">
        <x:v>OD02</x:v>
      </x:c>
      <x:c r="B17" s="123" t="str">
        <x:v>A</x:v>
      </x:c>
      <x:c r="C17" s="123" t="str">
        <x:v>안양청년1번가</x:v>
      </x:c>
      <x:c r="D17" s="123" t="str">
        <x:v>중북부 동측 표본(CW20)</x:v>
      </x:c>
      <x:c r="E17" s="209" t="n">
        <x:v>504.5</x:v>
      </x:c>
      <x:c r="F17" s="209" t="n">
        <x:v>652.8</x:v>
      </x:c>
      <x:c r="G17" s="209" t="n">
        <x:v>652.8</x:v>
      </x:c>
      <x:c r="H17" s="209" t="n">
        <x:v>0</x:v>
      </x:c>
      <x:c r="I17" s="124" t="n">
        <x:v>0</x:v>
      </x:c>
      <x:c r="J17" s="209" t="n">
        <x:v>0</x:v>
      </x:c>
      <x:c r="K17" s="123" t="str">
        <x:v>N</x:v>
      </x:c>
      <x:c r="L17" s="123" t="n">
        <x:v>3</x:v>
      </x:c>
      <x:c r="M17" s="123" t="n">
        <x:v>0</x:v>
      </x:c>
      <x:c r="N17" s="123" t="n">
        <x:v>0</x:v>
      </x:c>
      <x:c r="O17" s="123" t="str">
        <x:v>computed_baseline</x:v>
      </x:c>
      <x:c r="P17" s="123" t="str">
        <x:v>distance-only OSM centerline proxy</x:v>
      </x:c>
      <x:c r="Q17" s="123" t="str">
        <x:v>457319377</x:v>
      </x:c>
      <x:c r="R17" s="123" t="str">
        <x:v>457320253</x:v>
      </x:c>
      <x:c r="S17" s="225" t="str">
        <x:v>제출·경로안내 금지</x:v>
      </x:c>
      <x:c r="T17" s="66"/>
    </x:row>
    <x:row r="18" ht="28" customHeight="1">
      <x:c r="A18" s="123" t="str">
        <x:v>OD02</x:v>
      </x:c>
      <x:c r="B18" s="123" t="str">
        <x:v>B</x:v>
      </x:c>
      <x:c r="C18" s="123" t="str">
        <x:v>안양청년1번가</x:v>
      </x:c>
      <x:c r="D18" s="123" t="str">
        <x:v>중북부 동측 표본(CW20)</x:v>
      </x:c>
      <x:c r="E18" s="209" t="n">
        <x:v>504.5</x:v>
      </x:c>
      <x:c r="F18" s="209" t="n">
        <x:v>656.2</x:v>
      </x:c>
      <x:c r="G18" s="209" t="n">
        <x:v>656.2</x:v>
      </x:c>
      <x:c r="H18" s="209" t="n">
        <x:v>3.4</x:v>
      </x:c>
      <x:c r="I18" s="124" t="n">
        <x:v>0.52</x:v>
      </x:c>
      <x:c r="J18" s="209" t="n">
        <x:v>3.4</x:v>
      </x:c>
      <x:c r="K18" s="123" t="str">
        <x:v>Y</x:v>
      </x:c>
      <x:c r="L18" s="123" t="n">
        <x:v>0</x:v>
      </x:c>
      <x:c r="M18" s="123" t="n">
        <x:v>0</x:v>
      </x:c>
      <x:c r="N18" s="123" t="n">
        <x:v>0</x:v>
      </x:c>
      <x:c r="O18" s="123" t="str">
        <x:v>computed_baseline</x:v>
      </x:c>
      <x:c r="P18" s="123" t="str">
        <x:v>public risk blocked; unknown proxy edges x1.15</x:v>
      </x:c>
      <x:c r="Q18" s="123" t="str">
        <x:v>457319377</x:v>
      </x:c>
      <x:c r="R18" s="123" t="str">
        <x:v>457320253</x:v>
      </x:c>
      <x:c r="S18" s="225" t="str">
        <x:v>제출·경로안내 금지</x:v>
      </x:c>
      <x:c r="T18" s="66"/>
    </x:row>
    <x:row r="19" ht="28" customHeight="1">
      <x:c r="A19" s="123" t="str">
        <x:v>OD02</x:v>
      </x:c>
      <x:c r="B19" s="123" t="str">
        <x:v>C</x:v>
      </x:c>
      <x:c r="C19" s="123" t="str">
        <x:v>안양청년1번가</x:v>
      </x:c>
      <x:c r="D19" s="123" t="str">
        <x:v>중북부 동측 표본(CW20)</x:v>
      </x:c>
      <x:c r="E19" s="209" t="n">
        <x:v>504.5</x:v>
      </x:c>
      <x:c r="F19" s="209" t="n">
        <x:v>656.2</x:v>
      </x:c>
      <x:c r="G19" s="209" t="n">
        <x:v>656.2</x:v>
      </x:c>
      <x:c r="H19" s="209" t="n">
        <x:v>3.4</x:v>
      </x:c>
      <x:c r="I19" s="124" t="n">
        <x:v>0.52</x:v>
      </x:c>
      <x:c r="J19" s="209" t="n">
        <x:v>3.4</x:v>
      </x:c>
      <x:c r="K19" s="123" t="str">
        <x:v>Y</x:v>
      </x:c>
      <x:c r="L19" s="123" t="n">
        <x:v>0</x:v>
      </x:c>
      <x:c r="M19" s="123" t="n">
        <x:v>0</x:v>
      </x:c>
      <x:c r="N19" s="123" t="n">
        <x:v>0</x:v>
      </x:c>
      <x:c r="O19" s="123" t="str">
        <x:v>baseline_no_approved_ai_candidates</x:v>
      </x:c>
      <x:c r="P19" s="123" t="str">
        <x:v>same as B because no AI candidate has human approval</x:v>
      </x:c>
      <x:c r="Q19" s="123" t="str">
        <x:v>457319377</x:v>
      </x:c>
      <x:c r="R19" s="123" t="str">
        <x:v>457320253</x:v>
      </x:c>
      <x:c r="S19" s="225" t="str">
        <x:v>제출·경로안내 금지</x:v>
      </x:c>
      <x:c r="T19" s="66"/>
    </x:row>
    <x:row r="20" ht="28" customHeight="1">
      <x:c r="A20" s="123" t="str">
        <x:v>OD03</x:v>
      </x:c>
      <x:c r="B20" s="123" t="str">
        <x:v>A</x:v>
      </x:c>
      <x:c r="C20" s="123" t="str">
        <x:v>중북부 서측 표본(CW13)</x:v>
      </x:c>
      <x:c r="D20" s="123" t="str">
        <x:v>중북부 동측 표본(CW20)</x:v>
      </x:c>
      <x:c r="E20" s="209" t="n">
        <x:v>769.7</x:v>
      </x:c>
      <x:c r="F20" s="209" t="n">
        <x:v>945.3</x:v>
      </x:c>
      <x:c r="G20" s="209" t="n">
        <x:v>945.3</x:v>
      </x:c>
      <x:c r="H20" s="209" t="n">
        <x:v>0</x:v>
      </x:c>
      <x:c r="I20" s="124" t="n">
        <x:v>0</x:v>
      </x:c>
      <x:c r="J20" s="209" t="n">
        <x:v>0</x:v>
      </x:c>
      <x:c r="K20" s="123" t="str">
        <x:v>N</x:v>
      </x:c>
      <x:c r="L20" s="123" t="n">
        <x:v>4</x:v>
      </x:c>
      <x:c r="M20" s="123" t="n">
        <x:v>0</x:v>
      </x:c>
      <x:c r="N20" s="123" t="n">
        <x:v>0</x:v>
      </x:c>
      <x:c r="O20" s="123" t="str">
        <x:v>computed_baseline</x:v>
      </x:c>
      <x:c r="P20" s="123" t="str">
        <x:v>distance-only OSM centerline proxy</x:v>
      </x:c>
      <x:c r="Q20" s="123" t="str">
        <x:v>7895488095</x:v>
      </x:c>
      <x:c r="R20" s="123" t="str">
        <x:v>457320253</x:v>
      </x:c>
      <x:c r="S20" s="225" t="str">
        <x:v>제출·경로안내 금지</x:v>
      </x:c>
      <x:c r="T20" s="66"/>
    </x:row>
    <x:row r="21" ht="28" customHeight="1">
      <x:c r="A21" s="123" t="str">
        <x:v>OD03</x:v>
      </x:c>
      <x:c r="B21" s="123" t="str">
        <x:v>B</x:v>
      </x:c>
      <x:c r="C21" s="123" t="str">
        <x:v>중북부 서측 표본(CW13)</x:v>
      </x:c>
      <x:c r="D21" s="123" t="str">
        <x:v>중북부 동측 표본(CW20)</x:v>
      </x:c>
      <x:c r="E21" s="209" t="n">
        <x:v>769.7</x:v>
      </x:c>
      <x:c r="F21" s="209" t="n">
        <x:v>948.7</x:v>
      </x:c>
      <x:c r="G21" s="209" t="n">
        <x:v>949.9</x:v>
      </x:c>
      <x:c r="H21" s="209" t="n">
        <x:v>3.4</x:v>
      </x:c>
      <x:c r="I21" s="124" t="n">
        <x:v>0.36</x:v>
      </x:c>
      <x:c r="J21" s="209" t="n">
        <x:v>4.5</x:v>
      </x:c>
      <x:c r="K21" s="123" t="str">
        <x:v>Y</x:v>
      </x:c>
      <x:c r="L21" s="123" t="n">
        <x:v>1</x:v>
      </x:c>
      <x:c r="M21" s="123" t="n">
        <x:v>0</x:v>
      </x:c>
      <x:c r="N21" s="123" t="n">
        <x:v>0</x:v>
      </x:c>
      <x:c r="O21" s="123" t="str">
        <x:v>computed_baseline</x:v>
      </x:c>
      <x:c r="P21" s="123" t="str">
        <x:v>public risk blocked; unknown proxy edges x1.15</x:v>
      </x:c>
      <x:c r="Q21" s="123" t="str">
        <x:v>7895488095</x:v>
      </x:c>
      <x:c r="R21" s="123" t="str">
        <x:v>457320253</x:v>
      </x:c>
      <x:c r="S21" s="225" t="str">
        <x:v>제출·경로안내 금지</x:v>
      </x:c>
      <x:c r="T21" s="66"/>
    </x:row>
    <x:row r="22" ht="28" customHeight="1">
      <x:c r="A22" s="123" t="str">
        <x:v>OD03</x:v>
      </x:c>
      <x:c r="B22" s="123" t="str">
        <x:v>C</x:v>
      </x:c>
      <x:c r="C22" s="123" t="str">
        <x:v>중북부 서측 표본(CW13)</x:v>
      </x:c>
      <x:c r="D22" s="123" t="str">
        <x:v>중북부 동측 표본(CW20)</x:v>
      </x:c>
      <x:c r="E22" s="209" t="n">
        <x:v>769.7</x:v>
      </x:c>
      <x:c r="F22" s="209" t="n">
        <x:v>948.7</x:v>
      </x:c>
      <x:c r="G22" s="209" t="n">
        <x:v>949.9</x:v>
      </x:c>
      <x:c r="H22" s="209" t="n">
        <x:v>3.4</x:v>
      </x:c>
      <x:c r="I22" s="124" t="n">
        <x:v>0.36</x:v>
      </x:c>
      <x:c r="J22" s="209" t="n">
        <x:v>4.5</x:v>
      </x:c>
      <x:c r="K22" s="123" t="str">
        <x:v>Y</x:v>
      </x:c>
      <x:c r="L22" s="123" t="n">
        <x:v>1</x:v>
      </x:c>
      <x:c r="M22" s="123" t="n">
        <x:v>0</x:v>
      </x:c>
      <x:c r="N22" s="123" t="n">
        <x:v>0</x:v>
      </x:c>
      <x:c r="O22" s="123" t="str">
        <x:v>baseline_no_approved_ai_candidates</x:v>
      </x:c>
      <x:c r="P22" s="123" t="str">
        <x:v>same as B because no AI candidate has human approval</x:v>
      </x:c>
      <x:c r="Q22" s="123" t="str">
        <x:v>7895488095</x:v>
      </x:c>
      <x:c r="R22" s="123" t="str">
        <x:v>457320253</x:v>
      </x:c>
      <x:c r="S22" s="225" t="str">
        <x:v>제출·경로안내 금지</x:v>
      </x:c>
      <x:c r="T22" s="66"/>
    </x:row>
    <x:row r="23" ht="28" customHeight="1">
      <x:c r="A23" s="123" t="str">
        <x:v>OD04</x:v>
      </x:c>
      <x:c r="B23" s="123" t="str">
        <x:v>A</x:v>
      </x:c>
      <x:c r="C23" s="123" t="str">
        <x:v>북부 동측 표본(CW10)</x:v>
      </x:c>
      <x:c r="D23" s="123" t="str">
        <x:v>중북부 동측 표본(CW20)</x:v>
      </x:c>
      <x:c r="E23" s="209" t="n">
        <x:v>766.9</x:v>
      </x:c>
      <x:c r="F23" s="209" t="n">
        <x:v>1068.7</x:v>
      </x:c>
      <x:c r="G23" s="209" t="n">
        <x:v>1068.7</x:v>
      </x:c>
      <x:c r="H23" s="209" t="n">
        <x:v>0</x:v>
      </x:c>
      <x:c r="I23" s="124" t="n">
        <x:v>0</x:v>
      </x:c>
      <x:c r="J23" s="209" t="n">
        <x:v>0</x:v>
      </x:c>
      <x:c r="K23" s="123" t="str">
        <x:v>N</x:v>
      </x:c>
      <x:c r="L23" s="123" t="n">
        <x:v>4</x:v>
      </x:c>
      <x:c r="M23" s="123" t="n">
        <x:v>0</x:v>
      </x:c>
      <x:c r="N23" s="123" t="n">
        <x:v>0</x:v>
      </x:c>
      <x:c r="O23" s="123" t="str">
        <x:v>computed_baseline</x:v>
      </x:c>
      <x:c r="P23" s="123" t="str">
        <x:v>distance-only OSM centerline proxy</x:v>
      </x:c>
      <x:c r="Q23" s="123" t="str">
        <x:v>4641716962</x:v>
      </x:c>
      <x:c r="R23" s="123" t="str">
        <x:v>457320253</x:v>
      </x:c>
      <x:c r="S23" s="225" t="str">
        <x:v>제출·경로안내 금지</x:v>
      </x:c>
      <x:c r="T23" s="66"/>
    </x:row>
    <x:row r="24" ht="28" customHeight="1">
      <x:c r="A24" s="123" t="str">
        <x:v>OD04</x:v>
      </x:c>
      <x:c r="B24" s="123" t="str">
        <x:v>B</x:v>
      </x:c>
      <x:c r="C24" s="123" t="str">
        <x:v>북부 동측 표본(CW10)</x:v>
      </x:c>
      <x:c r="D24" s="123" t="str">
        <x:v>중북부 동측 표본(CW20)</x:v>
      </x:c>
      <x:c r="E24" s="209" t="n">
        <x:v>766.9</x:v>
      </x:c>
      <x:c r="F24" s="209" t="n">
        <x:v>1072.1</x:v>
      </x:c>
      <x:c r="G24" s="209" t="n">
        <x:v>1073.7</x:v>
      </x:c>
      <x:c r="H24" s="209" t="n">
        <x:v>3.4</x:v>
      </x:c>
      <x:c r="I24" s="124" t="n">
        <x:v>0.32</x:v>
      </x:c>
      <x:c r="J24" s="209" t="n">
        <x:v>5</x:v>
      </x:c>
      <x:c r="K24" s="123" t="str">
        <x:v>Y</x:v>
      </x:c>
      <x:c r="L24" s="123" t="n">
        <x:v>1</x:v>
      </x:c>
      <x:c r="M24" s="123" t="n">
        <x:v>0</x:v>
      </x:c>
      <x:c r="N24" s="123" t="n">
        <x:v>0</x:v>
      </x:c>
      <x:c r="O24" s="123" t="str">
        <x:v>computed_baseline</x:v>
      </x:c>
      <x:c r="P24" s="123" t="str">
        <x:v>public risk blocked; unknown proxy edges x1.15</x:v>
      </x:c>
      <x:c r="Q24" s="123" t="str">
        <x:v>4641716962</x:v>
      </x:c>
      <x:c r="R24" s="123" t="str">
        <x:v>457320253</x:v>
      </x:c>
      <x:c r="S24" s="225" t="str">
        <x:v>제출·경로안내 금지</x:v>
      </x:c>
      <x:c r="T24" s="66"/>
    </x:row>
    <x:row r="25" ht="28" customHeight="1">
      <x:c r="A25" s="123" t="str">
        <x:v>OD04</x:v>
      </x:c>
      <x:c r="B25" s="123" t="str">
        <x:v>C</x:v>
      </x:c>
      <x:c r="C25" s="123" t="str">
        <x:v>북부 동측 표본(CW10)</x:v>
      </x:c>
      <x:c r="D25" s="123" t="str">
        <x:v>중북부 동측 표본(CW20)</x:v>
      </x:c>
      <x:c r="E25" s="209" t="n">
        <x:v>766.9</x:v>
      </x:c>
      <x:c r="F25" s="209" t="n">
        <x:v>1072.1</x:v>
      </x:c>
      <x:c r="G25" s="209" t="n">
        <x:v>1073.7</x:v>
      </x:c>
      <x:c r="H25" s="209" t="n">
        <x:v>3.4</x:v>
      </x:c>
      <x:c r="I25" s="124" t="n">
        <x:v>0.32</x:v>
      </x:c>
      <x:c r="J25" s="209" t="n">
        <x:v>5</x:v>
      </x:c>
      <x:c r="K25" s="123" t="str">
        <x:v>Y</x:v>
      </x:c>
      <x:c r="L25" s="123" t="n">
        <x:v>1</x:v>
      </x:c>
      <x:c r="M25" s="123" t="n">
        <x:v>0</x:v>
      </x:c>
      <x:c r="N25" s="123" t="n">
        <x:v>0</x:v>
      </x:c>
      <x:c r="O25" s="123" t="str">
        <x:v>baseline_no_approved_ai_candidates</x:v>
      </x:c>
      <x:c r="P25" s="123" t="str">
        <x:v>same as B because no AI candidate has human approval</x:v>
      </x:c>
      <x:c r="Q25" s="123" t="str">
        <x:v>4641716962</x:v>
      </x:c>
      <x:c r="R25" s="123" t="str">
        <x:v>457320253</x:v>
      </x:c>
      <x:c r="S25" s="225" t="str">
        <x:v>제출·경로안내 금지</x:v>
      </x:c>
      <x:c r="T25" s="66"/>
    </x:row>
    <x:row r="26" ht="28" customHeight="1">
      <x:c r="A26" s="123" t="str">
        <x:v>OD05</x:v>
      </x:c>
      <x:c r="B26" s="123" t="str">
        <x:v>A</x:v>
      </x:c>
      <x:c r="C26" s="123" t="str">
        <x:v>안양역</x:v>
      </x:c>
      <x:c r="D26" s="123" t="str">
        <x:v>중북부 동측 표본(CW20)</x:v>
      </x:c>
      <x:c r="E26" s="209" t="n">
        <x:v>894.4</x:v>
      </x:c>
      <x:c r="F26" s="209" t="n">
        <x:v>1217.4</x:v>
      </x:c>
      <x:c r="G26" s="209" t="n">
        <x:v>1217.4</x:v>
      </x:c>
      <x:c r="H26" s="209" t="n">
        <x:v>0</x:v>
      </x:c>
      <x:c r="I26" s="124" t="n">
        <x:v>0</x:v>
      </x:c>
      <x:c r="J26" s="209" t="n">
        <x:v>0</x:v>
      </x:c>
      <x:c r="K26" s="123" t="str">
        <x:v>N</x:v>
      </x:c>
      <x:c r="L26" s="123" t="n">
        <x:v>5</x:v>
      </x:c>
      <x:c r="M26" s="123" t="n">
        <x:v>0</x:v>
      </x:c>
      <x:c r="N26" s="123" t="n">
        <x:v>0</x:v>
      </x:c>
      <x:c r="O26" s="123" t="str">
        <x:v>computed_baseline</x:v>
      </x:c>
      <x:c r="P26" s="123" t="str">
        <x:v>distance-only OSM centerline proxy</x:v>
      </x:c>
      <x:c r="Q26" s="123" t="str">
        <x:v>8974707420</x:v>
      </x:c>
      <x:c r="R26" s="123" t="str">
        <x:v>457320253</x:v>
      </x:c>
      <x:c r="S26" s="225" t="str">
        <x:v>제출·경로안내 금지</x:v>
      </x:c>
      <x:c r="T26" s="66"/>
    </x:row>
    <x:row r="27" ht="28" customHeight="1">
      <x:c r="A27" s="123" t="str">
        <x:v>OD05</x:v>
      </x:c>
      <x:c r="B27" s="123" t="str">
        <x:v>B</x:v>
      </x:c>
      <x:c r="C27" s="123" t="str">
        <x:v>안양역</x:v>
      </x:c>
      <x:c r="D27" s="123" t="str">
        <x:v>중북부 동측 표본(CW20)</x:v>
      </x:c>
      <x:c r="E27" s="209" t="n">
        <x:v>894.4</x:v>
      </x:c>
      <x:c r="F27" s="209" t="n">
        <x:v>1220.8</x:v>
      </x:c>
      <x:c r="G27" s="209" t="n">
        <x:v>1244.7</x:v>
      </x:c>
      <x:c r="H27" s="209" t="n">
        <x:v>3.4</x:v>
      </x:c>
      <x:c r="I27" s="124" t="n">
        <x:v>0.28</x:v>
      </x:c>
      <x:c r="J27" s="209" t="n">
        <x:v>27.3</x:v>
      </x:c>
      <x:c r="K27" s="123" t="str">
        <x:v>Y</x:v>
      </x:c>
      <x:c r="L27" s="123" t="n">
        <x:v>2</x:v>
      </x:c>
      <x:c r="M27" s="123" t="n">
        <x:v>0</x:v>
      </x:c>
      <x:c r="N27" s="123" t="n">
        <x:v>0</x:v>
      </x:c>
      <x:c r="O27" s="123" t="str">
        <x:v>computed_baseline</x:v>
      </x:c>
      <x:c r="P27" s="123" t="str">
        <x:v>public risk blocked; unknown proxy edges x1.15</x:v>
      </x:c>
      <x:c r="Q27" s="123" t="str">
        <x:v>8974707420</x:v>
      </x:c>
      <x:c r="R27" s="123" t="str">
        <x:v>457320253</x:v>
      </x:c>
      <x:c r="S27" s="225" t="str">
        <x:v>제출·경로안내 금지</x:v>
      </x:c>
      <x:c r="T27" s="66"/>
    </x:row>
    <x:row r="28" ht="28" customHeight="1">
      <x:c r="A28" s="123" t="str">
        <x:v>OD05</x:v>
      </x:c>
      <x:c r="B28" s="123" t="str">
        <x:v>C</x:v>
      </x:c>
      <x:c r="C28" s="123" t="str">
        <x:v>안양역</x:v>
      </x:c>
      <x:c r="D28" s="123" t="str">
        <x:v>중북부 동측 표본(CW20)</x:v>
      </x:c>
      <x:c r="E28" s="209" t="n">
        <x:v>894.4</x:v>
      </x:c>
      <x:c r="F28" s="209" t="n">
        <x:v>1220.8</x:v>
      </x:c>
      <x:c r="G28" s="209" t="n">
        <x:v>1244.7</x:v>
      </x:c>
      <x:c r="H28" s="209" t="n">
        <x:v>3.4</x:v>
      </x:c>
      <x:c r="I28" s="124" t="n">
        <x:v>0.28</x:v>
      </x:c>
      <x:c r="J28" s="209" t="n">
        <x:v>27.3</x:v>
      </x:c>
      <x:c r="K28" s="123" t="str">
        <x:v>Y</x:v>
      </x:c>
      <x:c r="L28" s="123" t="n">
        <x:v>2</x:v>
      </x:c>
      <x:c r="M28" s="123" t="n">
        <x:v>0</x:v>
      </x:c>
      <x:c r="N28" s="123" t="n">
        <x:v>0</x:v>
      </x:c>
      <x:c r="O28" s="123" t="str">
        <x:v>baseline_no_approved_ai_candidates</x:v>
      </x:c>
      <x:c r="P28" s="123" t="str">
        <x:v>same as B because no AI candidate has human approval</x:v>
      </x:c>
      <x:c r="Q28" s="123" t="str">
        <x:v>8974707420</x:v>
      </x:c>
      <x:c r="R28" s="123" t="str">
        <x:v>457320253</x:v>
      </x:c>
      <x:c r="S28" s="225" t="str">
        <x:v>제출·경로안내 금지</x:v>
      </x:c>
      <x:c r="T28" s="66"/>
    </x:row>
    <x:row r="29" ht="28" customHeight="1">
      <x:c r="A29" s="123" t="str">
        <x:v>OD06</x:v>
      </x:c>
      <x:c r="B29" s="123" t="str">
        <x:v>A</x:v>
      </x:c>
      <x:c r="C29" s="123" t="str">
        <x:v>북부 서측 표본(CW04)</x:v>
      </x:c>
      <x:c r="D29" s="123" t="str">
        <x:v>남부 동측 표본(CW35)</x:v>
      </x:c>
      <x:c r="E29" s="209" t="n">
        <x:v>1448.8</x:v>
      </x:c>
      <x:c r="F29" s="209" t="n">
        <x:v>1754.3</x:v>
      </x:c>
      <x:c r="G29" s="209" t="n">
        <x:v>1754.3</x:v>
      </x:c>
      <x:c r="H29" s="209" t="n">
        <x:v>0</x:v>
      </x:c>
      <x:c r="I29" s="124" t="n">
        <x:v>0</x:v>
      </x:c>
      <x:c r="J29" s="209" t="n">
        <x:v>0</x:v>
      </x:c>
      <x:c r="K29" s="123" t="str">
        <x:v>N</x:v>
      </x:c>
      <x:c r="L29" s="123" t="n">
        <x:v>2</x:v>
      </x:c>
      <x:c r="M29" s="123" t="n">
        <x:v>0</x:v>
      </x:c>
      <x:c r="N29" s="123" t="n">
        <x:v>0</x:v>
      </x:c>
      <x:c r="O29" s="123" t="str">
        <x:v>computed_baseline</x:v>
      </x:c>
      <x:c r="P29" s="123" t="str">
        <x:v>distance-only OSM centerline proxy</x:v>
      </x:c>
      <x:c r="Q29" s="123" t="str">
        <x:v>13168924058</x:v>
      </x:c>
      <x:c r="R29" s="123" t="str">
        <x:v>457321111</x:v>
      </x:c>
      <x:c r="S29" s="225" t="str">
        <x:v>제출·경로안내 금지</x:v>
      </x:c>
      <x:c r="T29" s="66"/>
    </x:row>
    <x:row r="30" ht="28" customHeight="1">
      <x:c r="A30" s="123" t="str">
        <x:v>OD06</x:v>
      </x:c>
      <x:c r="B30" s="123" t="str">
        <x:v>B</x:v>
      </x:c>
      <x:c r="C30" s="123" t="str">
        <x:v>북부 서측 표본(CW04)</x:v>
      </x:c>
      <x:c r="D30" s="123" t="str">
        <x:v>남부 동측 표본(CW35)</x:v>
      </x:c>
      <x:c r="E30" s="209" t="n">
        <x:v>1448.8</x:v>
      </x:c>
      <x:c r="F30" s="209" t="n">
        <x:v>1754.3</x:v>
      </x:c>
      <x:c r="G30" s="209" t="n">
        <x:v>1765.9</x:v>
      </x:c>
      <x:c r="H30" s="209" t="n">
        <x:v>0</x:v>
      </x:c>
      <x:c r="I30" s="124" t="n">
        <x:v>0</x:v>
      </x:c>
      <x:c r="J30" s="209" t="n">
        <x:v>11.6</x:v>
      </x:c>
      <x:c r="K30" s="123" t="str">
        <x:v>N</x:v>
      </x:c>
      <x:c r="L30" s="123" t="n">
        <x:v>2</x:v>
      </x:c>
      <x:c r="M30" s="123" t="n">
        <x:v>0</x:v>
      </x:c>
      <x:c r="N30" s="123" t="n">
        <x:v>0</x:v>
      </x:c>
      <x:c r="O30" s="123" t="str">
        <x:v>computed_baseline</x:v>
      </x:c>
      <x:c r="P30" s="123" t="str">
        <x:v>public risk blocked; unknown proxy edges x1.15</x:v>
      </x:c>
      <x:c r="Q30" s="123" t="str">
        <x:v>13168924058</x:v>
      </x:c>
      <x:c r="R30" s="123" t="str">
        <x:v>457321111</x:v>
      </x:c>
      <x:c r="S30" s="225" t="str">
        <x:v>제출·경로안내 금지</x:v>
      </x:c>
      <x:c r="T30" s="66"/>
    </x:row>
    <x:row r="31" ht="28" customHeight="1">
      <x:c r="A31" s="123" t="str">
        <x:v>OD06</x:v>
      </x:c>
      <x:c r="B31" s="123" t="str">
        <x:v>C</x:v>
      </x:c>
      <x:c r="C31" s="123" t="str">
        <x:v>북부 서측 표본(CW04)</x:v>
      </x:c>
      <x:c r="D31" s="123" t="str">
        <x:v>남부 동측 표본(CW35)</x:v>
      </x:c>
      <x:c r="E31" s="209" t="n">
        <x:v>1448.8</x:v>
      </x:c>
      <x:c r="F31" s="209" t="n">
        <x:v>1754.3</x:v>
      </x:c>
      <x:c r="G31" s="209" t="n">
        <x:v>1765.9</x:v>
      </x:c>
      <x:c r="H31" s="209" t="n">
        <x:v>0</x:v>
      </x:c>
      <x:c r="I31" s="124" t="n">
        <x:v>0</x:v>
      </x:c>
      <x:c r="J31" s="209" t="n">
        <x:v>11.6</x:v>
      </x:c>
      <x:c r="K31" s="123" t="str">
        <x:v>N</x:v>
      </x:c>
      <x:c r="L31" s="123" t="n">
        <x:v>2</x:v>
      </x:c>
      <x:c r="M31" s="123" t="n">
        <x:v>0</x:v>
      </x:c>
      <x:c r="N31" s="123" t="n">
        <x:v>0</x:v>
      </x:c>
      <x:c r="O31" s="123" t="str">
        <x:v>baseline_no_approved_ai_candidates</x:v>
      </x:c>
      <x:c r="P31" s="123" t="str">
        <x:v>same as B because no AI candidate has human approval</x:v>
      </x:c>
      <x:c r="Q31" s="123" t="str">
        <x:v>13168924058</x:v>
      </x:c>
      <x:c r="R31" s="123" t="str">
        <x:v>457321111</x:v>
      </x:c>
      <x:c r="S31" s="225" t="str">
        <x:v>제출·경로안내 금지</x:v>
      </x:c>
      <x:c r="T31" s="66"/>
    </x:row>
    <x:row r="32" ht="28" customHeight="1">
      <x:c r="A32" s="123" t="str">
        <x:v>OD07</x:v>
      </x:c>
      <x:c r="B32" s="123" t="str">
        <x:v>A</x:v>
      </x:c>
      <x:c r="C32" s="123" t="str">
        <x:v>북부 서측 표본(CW04)</x:v>
      </x:c>
      <x:c r="D32" s="123" t="str">
        <x:v>공공데이터 위험 표본(CW33)</x:v>
      </x:c>
      <x:c r="E32" s="209" t="n">
        <x:v>1402</x:v>
      </x:c>
      <x:c r="F32" s="209" t="n">
        <x:v>1707.6</x:v>
      </x:c>
      <x:c r="G32" s="209" t="n">
        <x:v>1707.6</x:v>
      </x:c>
      <x:c r="H32" s="209" t="n">
        <x:v>0</x:v>
      </x:c>
      <x:c r="I32" s="124" t="n">
        <x:v>0</x:v>
      </x:c>
      <x:c r="J32" s="209" t="n">
        <x:v>0</x:v>
      </x:c>
      <x:c r="K32" s="123" t="str">
        <x:v>N</x:v>
      </x:c>
      <x:c r="L32" s="123" t="n">
        <x:v>2</x:v>
      </x:c>
      <x:c r="M32" s="123" t="n">
        <x:v>0</x:v>
      </x:c>
      <x:c r="N32" s="123" t="n">
        <x:v>0</x:v>
      </x:c>
      <x:c r="O32" s="123" t="str">
        <x:v>computed_baseline</x:v>
      </x:c>
      <x:c r="P32" s="123" t="str">
        <x:v>distance-only OSM centerline proxy</x:v>
      </x:c>
      <x:c r="Q32" s="123" t="str">
        <x:v>13168924058</x:v>
      </x:c>
      <x:c r="R32" s="123" t="str">
        <x:v>3832541730</x:v>
      </x:c>
      <x:c r="S32" s="225" t="str">
        <x:v>제출·경로안내 금지</x:v>
      </x:c>
      <x:c r="T32" s="66"/>
    </x:row>
    <x:row r="33" ht="28" customHeight="1">
      <x:c r="A33" s="123" t="str">
        <x:v>OD07</x:v>
      </x:c>
      <x:c r="B33" s="123" t="str">
        <x:v>B</x:v>
      </x:c>
      <x:c r="C33" s="123" t="str">
        <x:v>북부 서측 표본(CW04)</x:v>
      </x:c>
      <x:c r="D33" s="123" t="str">
        <x:v>공공데이터 위험 표본(CW33)</x:v>
      </x:c>
      <x:c r="E33" s="209" t="n">
        <x:v>1402</x:v>
      </x:c>
      <x:c r="F33" s="209" t="n">
        <x:v>1707.6</x:v>
      </x:c>
      <x:c r="G33" s="209" t="n">
        <x:v>1719.2</x:v>
      </x:c>
      <x:c r="H33" s="209" t="n">
        <x:v>0</x:v>
      </x:c>
      <x:c r="I33" s="124" t="n">
        <x:v>0</x:v>
      </x:c>
      <x:c r="J33" s="209" t="n">
        <x:v>11.6</x:v>
      </x:c>
      <x:c r="K33" s="123" t="str">
        <x:v>N</x:v>
      </x:c>
      <x:c r="L33" s="123" t="n">
        <x:v>2</x:v>
      </x:c>
      <x:c r="M33" s="123" t="n">
        <x:v>0</x:v>
      </x:c>
      <x:c r="N33" s="123" t="n">
        <x:v>0</x:v>
      </x:c>
      <x:c r="O33" s="123" t="str">
        <x:v>computed_baseline</x:v>
      </x:c>
      <x:c r="P33" s="123" t="str">
        <x:v>public risk blocked; unknown proxy edges x1.15</x:v>
      </x:c>
      <x:c r="Q33" s="123" t="str">
        <x:v>13168924058</x:v>
      </x:c>
      <x:c r="R33" s="123" t="str">
        <x:v>3832541730</x:v>
      </x:c>
      <x:c r="S33" s="225" t="str">
        <x:v>제출·경로안내 금지</x:v>
      </x:c>
      <x:c r="T33" s="66"/>
    </x:row>
    <x:row r="34" ht="28" customHeight="1">
      <x:c r="A34" s="123" t="str">
        <x:v>OD07</x:v>
      </x:c>
      <x:c r="B34" s="123" t="str">
        <x:v>C</x:v>
      </x:c>
      <x:c r="C34" s="123" t="str">
        <x:v>북부 서측 표본(CW04)</x:v>
      </x:c>
      <x:c r="D34" s="123" t="str">
        <x:v>공공데이터 위험 표본(CW33)</x:v>
      </x:c>
      <x:c r="E34" s="209" t="n">
        <x:v>1402</x:v>
      </x:c>
      <x:c r="F34" s="209" t="n">
        <x:v>1707.6</x:v>
      </x:c>
      <x:c r="G34" s="209" t="n">
        <x:v>1719.2</x:v>
      </x:c>
      <x:c r="H34" s="209" t="n">
        <x:v>0</x:v>
      </x:c>
      <x:c r="I34" s="124" t="n">
        <x:v>0</x:v>
      </x:c>
      <x:c r="J34" s="209" t="n">
        <x:v>11.6</x:v>
      </x:c>
      <x:c r="K34" s="123" t="str">
        <x:v>N</x:v>
      </x:c>
      <x:c r="L34" s="123" t="n">
        <x:v>2</x:v>
      </x:c>
      <x:c r="M34" s="123" t="n">
        <x:v>0</x:v>
      </x:c>
      <x:c r="N34" s="123" t="n">
        <x:v>0</x:v>
      </x:c>
      <x:c r="O34" s="123" t="str">
        <x:v>baseline_no_approved_ai_candidates</x:v>
      </x:c>
      <x:c r="P34" s="123" t="str">
        <x:v>same as B because no AI candidate has human approval</x:v>
      </x:c>
      <x:c r="Q34" s="123" t="str">
        <x:v>13168924058</x:v>
      </x:c>
      <x:c r="R34" s="123" t="str">
        <x:v>3832541730</x:v>
      </x:c>
      <x:c r="S34" s="225" t="str">
        <x:v>제출·경로안내 금지</x:v>
      </x:c>
      <x:c r="T34" s="66"/>
    </x:row>
    <x:row r="35" ht="28" customHeight="1">
      <x:c r="A35" s="123" t="str">
        <x:v>OD08</x:v>
      </x:c>
      <x:c r="B35" s="123" t="str">
        <x:v>A</x:v>
      </x:c>
      <x:c r="C35" s="123" t="str">
        <x:v>북부 서측 표본(CW04)</x:v>
      </x:c>
      <x:c r="D35" s="123" t="str">
        <x:v>남부 서측 표본(CW32)</x:v>
      </x:c>
      <x:c r="E35" s="209" t="n">
        <x:v>1369.2</x:v>
      </x:c>
      <x:c r="F35" s="209" t="n">
        <x:v>1757.1</x:v>
      </x:c>
      <x:c r="G35" s="209" t="n">
        <x:v>1757.1</x:v>
      </x:c>
      <x:c r="H35" s="209" t="n">
        <x:v>0</x:v>
      </x:c>
      <x:c r="I35" s="124" t="n">
        <x:v>0</x:v>
      </x:c>
      <x:c r="J35" s="209" t="n">
        <x:v>0</x:v>
      </x:c>
      <x:c r="K35" s="123" t="str">
        <x:v>N</x:v>
      </x:c>
      <x:c r="L35" s="123" t="n">
        <x:v>2</x:v>
      </x:c>
      <x:c r="M35" s="123" t="n">
        <x:v>0</x:v>
      </x:c>
      <x:c r="N35" s="123" t="n">
        <x:v>0</x:v>
      </x:c>
      <x:c r="O35" s="123" t="str">
        <x:v>computed_baseline</x:v>
      </x:c>
      <x:c r="P35" s="123" t="str">
        <x:v>distance-only OSM centerline proxy</x:v>
      </x:c>
      <x:c r="Q35" s="123" t="str">
        <x:v>13168924058</x:v>
      </x:c>
      <x:c r="R35" s="123" t="str">
        <x:v>964926008</x:v>
      </x:c>
      <x:c r="S35" s="225" t="str">
        <x:v>제출·경로안내 금지</x:v>
      </x:c>
      <x:c r="T35" s="66"/>
    </x:row>
    <x:row r="36" ht="28" customHeight="1">
      <x:c r="A36" s="123" t="str">
        <x:v>OD08</x:v>
      </x:c>
      <x:c r="B36" s="123" t="str">
        <x:v>B</x:v>
      </x:c>
      <x:c r="C36" s="123" t="str">
        <x:v>북부 서측 표본(CW04)</x:v>
      </x:c>
      <x:c r="D36" s="123" t="str">
        <x:v>남부 서측 표본(CW32)</x:v>
      </x:c>
      <x:c r="E36" s="209" t="n">
        <x:v>1369.2</x:v>
      </x:c>
      <x:c r="F36" s="209" t="n">
        <x:v>1757.1</x:v>
      </x:c>
      <x:c r="G36" s="209" t="n">
        <x:v>1768.7</x:v>
      </x:c>
      <x:c r="H36" s="209" t="n">
        <x:v>0</x:v>
      </x:c>
      <x:c r="I36" s="124" t="n">
        <x:v>0</x:v>
      </x:c>
      <x:c r="J36" s="209" t="n">
        <x:v>11.6</x:v>
      </x:c>
      <x:c r="K36" s="123" t="str">
        <x:v>N</x:v>
      </x:c>
      <x:c r="L36" s="123" t="n">
        <x:v>2</x:v>
      </x:c>
      <x:c r="M36" s="123" t="n">
        <x:v>0</x:v>
      </x:c>
      <x:c r="N36" s="123" t="n">
        <x:v>0</x:v>
      </x:c>
      <x:c r="O36" s="123" t="str">
        <x:v>computed_baseline</x:v>
      </x:c>
      <x:c r="P36" s="123" t="str">
        <x:v>public risk blocked; unknown proxy edges x1.15</x:v>
      </x:c>
      <x:c r="Q36" s="123" t="str">
        <x:v>13168924058</x:v>
      </x:c>
      <x:c r="R36" s="123" t="str">
        <x:v>964926008</x:v>
      </x:c>
      <x:c r="S36" s="225" t="str">
        <x:v>제출·경로안내 금지</x:v>
      </x:c>
      <x:c r="T36" s="66"/>
    </x:row>
    <x:row r="37" ht="28" customHeight="1">
      <x:c r="A37" s="67" t="str">
        <x:v>OD08</x:v>
      </x:c>
      <x:c r="B37" s="67" t="str">
        <x:v>C</x:v>
      </x:c>
      <x:c r="C37" s="67" t="str">
        <x:v>북부 서측 표본(CW04)</x:v>
      </x:c>
      <x:c r="D37" s="67" t="str">
        <x:v>남부 서측 표본(CW32)</x:v>
      </x:c>
      <x:c r="E37" s="67" t="n">
        <x:v>1369.2</x:v>
      </x:c>
      <x:c r="F37" s="67" t="n">
        <x:v>1757.1</x:v>
      </x:c>
      <x:c r="G37" s="67" t="n">
        <x:v>1768.7</x:v>
      </x:c>
      <x:c r="H37" s="67" t="n">
        <x:v>0</x:v>
      </x:c>
      <x:c r="I37" s="67" t="n">
        <x:v>0</x:v>
      </x:c>
      <x:c r="J37" s="67" t="n">
        <x:v>11.6</x:v>
      </x:c>
      <x:c r="K37" s="67" t="str">
        <x:v>N</x:v>
      </x:c>
      <x:c r="L37" s="67" t="n">
        <x:v>2</x:v>
      </x:c>
      <x:c r="M37" s="67" t="n">
        <x:v>0</x:v>
      </x:c>
      <x:c r="N37" s="67" t="n">
        <x:v>0</x:v>
      </x:c>
      <x:c r="O37" s="67" t="str">
        <x:v>baseline_no_approved_ai_candidates</x:v>
      </x:c>
      <x:c r="P37" s="67" t="str">
        <x:v>same as B because no AI candidate has human approval</x:v>
      </x:c>
      <x:c r="Q37" s="67" t="str">
        <x:v>13168924058</x:v>
      </x:c>
      <x:c r="R37" s="67" t="str">
        <x:v>964926008</x:v>
      </x:c>
      <x:c r="S37" s="225" t="str">
        <x:v>제출·경로안내 금지</x:v>
      </x:c>
      <x:c r="T37" s="66"/>
    </x:row>
    <x:row r="38" ht="28" customHeight="1">
      <x:c r="A38" s="67" t="str">
        <x:v>OD09</x:v>
      </x:c>
      <x:c r="B38" s="67" t="str">
        <x:v>A</x:v>
      </x:c>
      <x:c r="C38" s="67" t="str">
        <x:v>북부 서측 표본(CW04)</x:v>
      </x:c>
      <x:c r="D38" s="67" t="str">
        <x:v>중남부 동측 표본(CW28)</x:v>
      </x:c>
      <x:c r="E38" s="67" t="n">
        <x:v>1349.4</x:v>
      </x:c>
      <x:c r="F38" s="67" t="n">
        <x:v>1656.1</x:v>
      </x:c>
      <x:c r="G38" s="67" t="n">
        <x:v>1656.1</x:v>
      </x:c>
      <x:c r="H38" s="67" t="n">
        <x:v>0</x:v>
      </x:c>
      <x:c r="I38" s="67" t="n">
        <x:v>0</x:v>
      </x:c>
      <x:c r="J38" s="67" t="n">
        <x:v>0</x:v>
      </x:c>
      <x:c r="K38" s="67" t="str">
        <x:v>N</x:v>
      </x:c>
      <x:c r="L38" s="67" t="n">
        <x:v>2</x:v>
      </x:c>
      <x:c r="M38" s="67" t="n">
        <x:v>0</x:v>
      </x:c>
      <x:c r="N38" s="67" t="n">
        <x:v>0</x:v>
      </x:c>
      <x:c r="O38" s="67" t="str">
        <x:v>computed_baseline</x:v>
      </x:c>
      <x:c r="P38" s="67" t="str">
        <x:v>distance-only OSM centerline proxy</x:v>
      </x:c>
      <x:c r="Q38" s="67" t="str">
        <x:v>13168924058</x:v>
      </x:c>
      <x:c r="R38" s="67" t="str">
        <x:v>457321139</x:v>
      </x:c>
      <x:c r="S38" s="225" t="str">
        <x:v>제출·경로안내 금지</x:v>
      </x:c>
      <x:c r="T38" s="66"/>
    </x:row>
    <x:row r="39" ht="28" customHeight="1">
      <x:c r="A39" s="67" t="str">
        <x:v>OD09</x:v>
      </x:c>
      <x:c r="B39" s="67" t="str">
        <x:v>B</x:v>
      </x:c>
      <x:c r="C39" s="67" t="str">
        <x:v>북부 서측 표본(CW04)</x:v>
      </x:c>
      <x:c r="D39" s="67" t="str">
        <x:v>중남부 동측 표본(CW28)</x:v>
      </x:c>
      <x:c r="E39" s="67" t="n">
        <x:v>1349.4</x:v>
      </x:c>
      <x:c r="F39" s="67" t="n">
        <x:v>1656.1</x:v>
      </x:c>
      <x:c r="G39" s="67" t="n">
        <x:v>1667.7</x:v>
      </x:c>
      <x:c r="H39" s="67" t="n">
        <x:v>0</x:v>
      </x:c>
      <x:c r="I39" s="67" t="n">
        <x:v>0</x:v>
      </x:c>
      <x:c r="J39" s="67" t="n">
        <x:v>11.6</x:v>
      </x:c>
      <x:c r="K39" s="67" t="str">
        <x:v>N</x:v>
      </x:c>
      <x:c r="L39" s="67" t="n">
        <x:v>2</x:v>
      </x:c>
      <x:c r="M39" s="67" t="n">
        <x:v>0</x:v>
      </x:c>
      <x:c r="N39" s="67" t="n">
        <x:v>0</x:v>
      </x:c>
      <x:c r="O39" s="67" t="str">
        <x:v>computed_baseline</x:v>
      </x:c>
      <x:c r="P39" s="67" t="str">
        <x:v>public risk blocked; unknown proxy edges x1.15</x:v>
      </x:c>
      <x:c r="Q39" s="67" t="str">
        <x:v>13168924058</x:v>
      </x:c>
      <x:c r="R39" s="67" t="str">
        <x:v>457321139</x:v>
      </x:c>
      <x:c r="S39" s="225" t="str">
        <x:v>제출·경로안내 금지</x:v>
      </x:c>
      <x:c r="T39" s="66"/>
    </x:row>
    <x:row r="40" ht="28" customHeight="1">
      <x:c r="A40" s="67" t="str">
        <x:v>OD09</x:v>
      </x:c>
      <x:c r="B40" s="67" t="str">
        <x:v>C</x:v>
      </x:c>
      <x:c r="C40" s="67" t="str">
        <x:v>북부 서측 표본(CW04)</x:v>
      </x:c>
      <x:c r="D40" s="67" t="str">
        <x:v>중남부 동측 표본(CW28)</x:v>
      </x:c>
      <x:c r="E40" s="67" t="n">
        <x:v>1349.4</x:v>
      </x:c>
      <x:c r="F40" s="67" t="n">
        <x:v>1656.1</x:v>
      </x:c>
      <x:c r="G40" s="67" t="n">
        <x:v>1667.7</x:v>
      </x:c>
      <x:c r="H40" s="67" t="n">
        <x:v>0</x:v>
      </x:c>
      <x:c r="I40" s="67" t="n">
        <x:v>0</x:v>
      </x:c>
      <x:c r="J40" s="67" t="n">
        <x:v>11.6</x:v>
      </x:c>
      <x:c r="K40" s="67" t="str">
        <x:v>N</x:v>
      </x:c>
      <x:c r="L40" s="67" t="n">
        <x:v>2</x:v>
      </x:c>
      <x:c r="M40" s="67" t="n">
        <x:v>0</x:v>
      </x:c>
      <x:c r="N40" s="67" t="n">
        <x:v>0</x:v>
      </x:c>
      <x:c r="O40" s="67" t="str">
        <x:v>baseline_no_approved_ai_candidates</x:v>
      </x:c>
      <x:c r="P40" s="67" t="str">
        <x:v>same as B because no AI candidate has human approval</x:v>
      </x:c>
      <x:c r="Q40" s="67" t="str">
        <x:v>13168924058</x:v>
      </x:c>
      <x:c r="R40" s="67" t="str">
        <x:v>457321139</x:v>
      </x:c>
      <x:c r="S40" s="225" t="str">
        <x:v>제출·경로안내 금지</x:v>
      </x:c>
      <x:c r="T40" s="66"/>
    </x:row>
    <x:row r="41" ht="28" customHeight="1">
      <x:c r="A41" s="67" t="str">
        <x:v>OD10</x:v>
      </x:c>
      <x:c r="B41" s="67" t="str">
        <x:v>A</x:v>
      </x:c>
      <x:c r="C41" s="67" t="str">
        <x:v>중북부 서측 표본(CW13)</x:v>
      </x:c>
      <x:c r="D41" s="67" t="str">
        <x:v>남부 동측 표본(CW35)</x:v>
      </x:c>
      <x:c r="E41" s="67" t="n">
        <x:v>1289.5</x:v>
      </x:c>
      <x:c r="F41" s="67" t="n">
        <x:v>1591.7</x:v>
      </x:c>
      <x:c r="G41" s="67" t="n">
        <x:v>1591.7</x:v>
      </x:c>
      <x:c r="H41" s="67" t="n">
        <x:v>0</x:v>
      </x:c>
      <x:c r="I41" s="67" t="n">
        <x:v>0</x:v>
      </x:c>
      <x:c r="J41" s="67" t="n">
        <x:v>0</x:v>
      </x:c>
      <x:c r="K41" s="67" t="str">
        <x:v>N</x:v>
      </x:c>
      <x:c r="L41" s="67" t="n">
        <x:v>1</x:v>
      </x:c>
      <x:c r="M41" s="67" t="n">
        <x:v>0</x:v>
      </x:c>
      <x:c r="N41" s="67" t="n">
        <x:v>0</x:v>
      </x:c>
      <x:c r="O41" s="67" t="str">
        <x:v>computed_baseline</x:v>
      </x:c>
      <x:c r="P41" s="67" t="str">
        <x:v>distance-only OSM centerline proxy</x:v>
      </x:c>
      <x:c r="Q41" s="67" t="str">
        <x:v>7895488095</x:v>
      </x:c>
      <x:c r="R41" s="67" t="str">
        <x:v>457321111</x:v>
      </x:c>
      <x:c r="S41" s="225" t="str">
        <x:v>제출·경로안내 금지</x:v>
      </x:c>
      <x:c r="T41" s="66"/>
    </x:row>
    <x:row r="42" ht="28" customHeight="1">
      <x:c r="A42" s="67" t="str">
        <x:v>OD10</x:v>
      </x:c>
      <x:c r="B42" s="67" t="str">
        <x:v>B</x:v>
      </x:c>
      <x:c r="C42" s="67" t="str">
        <x:v>중북부 서측 표본(CW13)</x:v>
      </x:c>
      <x:c r="D42" s="67" t="str">
        <x:v>남부 동측 표본(CW35)</x:v>
      </x:c>
      <x:c r="E42" s="67" t="n">
        <x:v>1289.5</x:v>
      </x:c>
      <x:c r="F42" s="67" t="n">
        <x:v>1591.7</x:v>
      </x:c>
      <x:c r="G42" s="67" t="n">
        <x:v>1592.9</x:v>
      </x:c>
      <x:c r="H42" s="67" t="n">
        <x:v>0</x:v>
      </x:c>
      <x:c r="I42" s="67" t="n">
        <x:v>0</x:v>
      </x:c>
      <x:c r="J42" s="67" t="n">
        <x:v>1.1</x:v>
      </x:c>
      <x:c r="K42" s="67" t="str">
        <x:v>N</x:v>
      </x:c>
      <x:c r="L42" s="67" t="n">
        <x:v>1</x:v>
      </x:c>
      <x:c r="M42" s="67" t="n">
        <x:v>0</x:v>
      </x:c>
      <x:c r="N42" s="67" t="n">
        <x:v>0</x:v>
      </x:c>
      <x:c r="O42" s="67" t="str">
        <x:v>computed_baseline</x:v>
      </x:c>
      <x:c r="P42" s="67" t="str">
        <x:v>public risk blocked; unknown proxy edges x1.15</x:v>
      </x:c>
      <x:c r="Q42" s="67" t="str">
        <x:v>7895488095</x:v>
      </x:c>
      <x:c r="R42" s="67" t="str">
        <x:v>457321111</x:v>
      </x:c>
      <x:c r="S42" s="225" t="str">
        <x:v>제출·경로안내 금지</x:v>
      </x:c>
      <x:c r="T42" s="66"/>
    </x:row>
    <x:row r="43" ht="28" customHeight="1">
      <x:c r="A43" s="67" t="str">
        <x:v>OD10</x:v>
      </x:c>
      <x:c r="B43" s="67" t="str">
        <x:v>C</x:v>
      </x:c>
      <x:c r="C43" s="67" t="str">
        <x:v>중북부 서측 표본(CW13)</x:v>
      </x:c>
      <x:c r="D43" s="67" t="str">
        <x:v>남부 동측 표본(CW35)</x:v>
      </x:c>
      <x:c r="E43" s="67" t="n">
        <x:v>1289.5</x:v>
      </x:c>
      <x:c r="F43" s="67" t="n">
        <x:v>1591.7</x:v>
      </x:c>
      <x:c r="G43" s="67" t="n">
        <x:v>1592.9</x:v>
      </x:c>
      <x:c r="H43" s="67" t="n">
        <x:v>0</x:v>
      </x:c>
      <x:c r="I43" s="67" t="n">
        <x:v>0</x:v>
      </x:c>
      <x:c r="J43" s="67" t="n">
        <x:v>1.1</x:v>
      </x:c>
      <x:c r="K43" s="67" t="str">
        <x:v>N</x:v>
      </x:c>
      <x:c r="L43" s="67" t="n">
        <x:v>1</x:v>
      </x:c>
      <x:c r="M43" s="67" t="n">
        <x:v>0</x:v>
      </x:c>
      <x:c r="N43" s="67" t="n">
        <x:v>0</x:v>
      </x:c>
      <x:c r="O43" s="67" t="str">
        <x:v>baseline_no_approved_ai_candidates</x:v>
      </x:c>
      <x:c r="P43" s="67" t="str">
        <x:v>same as B because no AI candidate has human approval</x:v>
      </x:c>
      <x:c r="Q43" s="67" t="str">
        <x:v>7895488095</x:v>
      </x:c>
      <x:c r="R43" s="67" t="str">
        <x:v>457321111</x:v>
      </x:c>
      <x:c r="S43" s="225" t="str">
        <x:v>제출·경로안내 금지</x:v>
      </x:c>
      <x:c r="T43" s="66"/>
    </x:row>
    <x:row r="44">
      <x:c r="A44" s="66"/>
      <x:c r="B44" s="66"/>
      <x:c r="C44" s="66"/>
      <x:c r="D44" s="66"/>
      <x:c r="E44" s="66"/>
      <x:c r="F44" s="66"/>
      <x:c r="G44" s="66"/>
      <x:c r="H44" s="66"/>
      <x:c r="I44" s="66"/>
      <x:c r="J44" s="66"/>
      <x:c r="K44" s="66"/>
      <x:c r="L44" s="66"/>
      <x:c r="M44" s="66"/>
      <x:c r="N44" s="66"/>
      <x:c r="O44" s="66"/>
      <x:c r="P44" s="66"/>
      <x:c r="Q44" s="66"/>
      <x:c r="R44" s="66"/>
      <x:c r="S44" s="66"/>
      <x:c r="T44" s="66"/>
    </x:row>
    <x:row r="45">
      <x:c r="A45" s="66"/>
      <x:c r="B45" s="66"/>
      <x:c r="C45" s="66"/>
      <x:c r="D45" s="66"/>
      <x:c r="E45" s="66"/>
      <x:c r="F45" s="66"/>
      <x:c r="G45" s="66"/>
      <x:c r="H45" s="66"/>
      <x:c r="I45" s="66"/>
      <x:c r="J45" s="66"/>
      <x:c r="K45" s="66"/>
      <x:c r="L45" s="66"/>
      <x:c r="M45" s="66"/>
      <x:c r="N45" s="66"/>
      <x:c r="O45" s="66"/>
      <x:c r="P45" s="66"/>
      <x:c r="Q45" s="66"/>
      <x:c r="R45" s="66"/>
      <x:c r="S45" s="66"/>
      <x:c r="T45" s="66"/>
    </x:row>
    <x:row r="46">
      <x:c r="A46" s="66"/>
      <x:c r="B46" s="66"/>
      <x:c r="C46" s="66"/>
      <x:c r="D46" s="66"/>
      <x:c r="E46" s="66"/>
      <x:c r="F46" s="66"/>
      <x:c r="G46" s="66"/>
      <x:c r="H46" s="66"/>
      <x:c r="I46" s="66"/>
      <x:c r="J46" s="66"/>
      <x:c r="K46" s="66"/>
      <x:c r="L46" s="66"/>
      <x:c r="M46" s="66"/>
      <x:c r="N46" s="66"/>
      <x:c r="O46" s="66"/>
      <x:c r="P46" s="66"/>
      <x:c r="Q46" s="66"/>
      <x:c r="R46" s="66"/>
      <x:c r="S46" s="66"/>
      <x:c r="T46" s="66"/>
    </x:row>
    <x:row r="47">
      <x:c r="A47" s="66"/>
      <x:c r="B47" s="66"/>
      <x:c r="C47" s="66"/>
      <x:c r="D47" s="66"/>
      <x:c r="E47" s="66"/>
      <x:c r="F47" s="66"/>
      <x:c r="G47" s="66"/>
      <x:c r="H47" s="66"/>
      <x:c r="I47" s="66"/>
      <x:c r="J47" s="66"/>
      <x:c r="K47" s="66"/>
      <x:c r="L47" s="66"/>
      <x:c r="M47" s="66"/>
      <x:c r="N47" s="66"/>
      <x:c r="O47" s="66"/>
      <x:c r="P47" s="66"/>
      <x:c r="Q47" s="66"/>
      <x:c r="R47" s="66"/>
      <x:c r="S47" s="66"/>
      <x:c r="T47" s="66"/>
    </x:row>
    <x:row r="48">
      <x:c r="A48" s="66"/>
      <x:c r="B48" s="66"/>
      <x:c r="C48" s="66"/>
      <x:c r="D48" s="66"/>
      <x:c r="E48" s="66"/>
      <x:c r="F48" s="66"/>
      <x:c r="G48" s="66"/>
      <x:c r="H48" s="66"/>
      <x:c r="I48" s="66"/>
      <x:c r="J48" s="66"/>
      <x:c r="K48" s="66"/>
      <x:c r="L48" s="66"/>
      <x:c r="M48" s="66"/>
      <x:c r="N48" s="66"/>
      <x:c r="O48" s="66"/>
      <x:c r="P48" s="66"/>
      <x:c r="Q48" s="66"/>
      <x:c r="R48" s="66"/>
      <x:c r="S48" s="66"/>
      <x:c r="T48" s="66"/>
    </x:row>
    <x:row r="49">
      <x:c r="A49" s="66"/>
      <x:c r="B49" s="66"/>
      <x:c r="C49" s="66"/>
      <x:c r="D49" s="66"/>
      <x:c r="E49" s="66"/>
      <x:c r="F49" s="66"/>
      <x:c r="G49" s="66"/>
      <x:c r="H49" s="66"/>
      <x:c r="I49" s="66"/>
      <x:c r="J49" s="66"/>
      <x:c r="K49" s="66"/>
      <x:c r="L49" s="66"/>
      <x:c r="M49" s="66"/>
      <x:c r="N49" s="66"/>
      <x:c r="O49" s="66"/>
      <x:c r="P49" s="66"/>
      <x:c r="Q49" s="66"/>
      <x:c r="R49" s="66"/>
      <x:c r="S49" s="66"/>
      <x:c r="T49" s="66"/>
    </x:row>
    <x:row r="50">
      <x:c r="A50" s="66"/>
      <x:c r="B50" s="66"/>
      <x:c r="C50" s="66"/>
      <x:c r="D50" s="66"/>
      <x:c r="E50" s="66"/>
      <x:c r="F50" s="66"/>
      <x:c r="G50" s="66"/>
      <x:c r="H50" s="66"/>
      <x:c r="I50" s="66"/>
      <x:c r="J50" s="66"/>
      <x:c r="K50" s="66"/>
      <x:c r="L50" s="66"/>
      <x:c r="M50" s="66"/>
      <x:c r="N50" s="66"/>
      <x:c r="O50" s="66"/>
      <x:c r="P50" s="66"/>
      <x:c r="Q50" s="66"/>
      <x:c r="R50" s="66"/>
      <x:c r="S50" s="66"/>
      <x:c r="T50" s="66"/>
    </x:row>
    <x:row r="51">
      <x:c r="A51" s="66"/>
      <x:c r="B51" s="66"/>
      <x:c r="C51" s="66"/>
      <x:c r="D51" s="66"/>
      <x:c r="E51" s="66"/>
      <x:c r="F51" s="66"/>
      <x:c r="G51" s="66"/>
      <x:c r="H51" s="66"/>
      <x:c r="I51" s="66"/>
      <x:c r="J51" s="66"/>
      <x:c r="K51" s="66"/>
      <x:c r="L51" s="66"/>
      <x:c r="M51" s="66"/>
      <x:c r="N51" s="66"/>
      <x:c r="O51" s="66"/>
      <x:c r="P51" s="66"/>
      <x:c r="Q51" s="66"/>
      <x:c r="R51" s="66"/>
      <x:c r="S51" s="66"/>
      <x:c r="T51" s="66"/>
    </x:row>
    <x:row r="52">
      <x:c r="A52" s="66"/>
      <x:c r="B52" s="66"/>
      <x:c r="C52" s="66"/>
      <x:c r="D52" s="66"/>
      <x:c r="E52" s="66"/>
      <x:c r="F52" s="66"/>
      <x:c r="G52" s="66"/>
      <x:c r="H52" s="66"/>
      <x:c r="I52" s="66"/>
      <x:c r="J52" s="66"/>
      <x:c r="K52" s="66"/>
      <x:c r="L52" s="66"/>
      <x:c r="M52" s="66"/>
      <x:c r="N52" s="66"/>
      <x:c r="O52" s="66"/>
      <x:c r="P52" s="66"/>
      <x:c r="Q52" s="66"/>
      <x:c r="R52" s="66"/>
      <x:c r="S52" s="66"/>
      <x:c r="T52" s="66"/>
    </x:row>
    <x:row r="53">
      <x:c r="A53" s="66"/>
      <x:c r="B53" s="66"/>
      <x:c r="C53" s="66"/>
      <x:c r="D53" s="66"/>
      <x:c r="E53" s="66"/>
      <x:c r="F53" s="66"/>
      <x:c r="G53" s="66"/>
      <x:c r="H53" s="66"/>
      <x:c r="I53" s="66"/>
      <x:c r="J53" s="66"/>
      <x:c r="K53" s="66"/>
      <x:c r="L53" s="66"/>
      <x:c r="M53" s="66"/>
      <x:c r="N53" s="66"/>
      <x:c r="O53" s="66"/>
      <x:c r="P53" s="66"/>
      <x:c r="Q53" s="66"/>
      <x:c r="R53" s="66"/>
      <x:c r="S53" s="66"/>
      <x:c r="T53" s="66"/>
    </x:row>
    <x:row r="54">
      <x:c r="A54" s="66"/>
      <x:c r="B54" s="66"/>
      <x:c r="C54" s="66"/>
      <x:c r="D54" s="66"/>
      <x:c r="E54" s="66"/>
      <x:c r="F54" s="66"/>
      <x:c r="G54" s="66"/>
      <x:c r="H54" s="66"/>
      <x:c r="I54" s="66"/>
      <x:c r="J54" s="66"/>
      <x:c r="K54" s="66"/>
      <x:c r="L54" s="66"/>
      <x:c r="M54" s="66"/>
      <x:c r="N54" s="66"/>
      <x:c r="O54" s="66"/>
      <x:c r="P54" s="66"/>
      <x:c r="Q54" s="66"/>
      <x:c r="R54" s="66"/>
      <x:c r="S54" s="66"/>
      <x:c r="T54" s="66"/>
    </x:row>
    <x:row r="55">
      <x:c r="A55" s="66"/>
      <x:c r="B55" s="66"/>
      <x:c r="C55" s="66"/>
      <x:c r="D55" s="66"/>
      <x:c r="E55" s="66"/>
      <x:c r="F55" s="66"/>
      <x:c r="G55" s="66"/>
      <x:c r="H55" s="66"/>
      <x:c r="I55" s="66"/>
      <x:c r="J55" s="66"/>
      <x:c r="K55" s="66"/>
      <x:c r="L55" s="66"/>
      <x:c r="M55" s="66"/>
      <x:c r="N55" s="66"/>
      <x:c r="O55" s="66"/>
      <x:c r="P55" s="66"/>
      <x:c r="Q55" s="66"/>
      <x:c r="R55" s="66"/>
      <x:c r="S55" s="66"/>
      <x:c r="T55" s="66"/>
    </x:row>
    <x:row r="56">
      <x:c r="A56" s="66"/>
      <x:c r="B56" s="66"/>
      <x:c r="C56" s="66"/>
      <x:c r="D56" s="66"/>
      <x:c r="E56" s="66"/>
      <x:c r="F56" s="66"/>
      <x:c r="G56" s="66"/>
      <x:c r="H56" s="66"/>
      <x:c r="I56" s="66"/>
      <x:c r="J56" s="66"/>
      <x:c r="K56" s="66"/>
      <x:c r="L56" s="66"/>
      <x:c r="M56" s="66"/>
      <x:c r="N56" s="66"/>
      <x:c r="O56" s="66"/>
      <x:c r="P56" s="66"/>
      <x:c r="Q56" s="66"/>
      <x:c r="R56" s="66"/>
      <x:c r="S56" s="66"/>
      <x:c r="T56" s="66"/>
    </x:row>
    <x:row r="57">
      <x:c r="A57" s="66"/>
      <x:c r="B57" s="66"/>
      <x:c r="C57" s="66"/>
      <x:c r="D57" s="66"/>
      <x:c r="E57" s="66"/>
      <x:c r="F57" s="66"/>
      <x:c r="G57" s="66"/>
      <x:c r="H57" s="66"/>
      <x:c r="I57" s="66"/>
      <x:c r="J57" s="66"/>
      <x:c r="K57" s="66"/>
      <x:c r="L57" s="66"/>
      <x:c r="M57" s="66"/>
      <x:c r="N57" s="66"/>
      <x:c r="O57" s="66"/>
      <x:c r="P57" s="66"/>
      <x:c r="Q57" s="66"/>
      <x:c r="R57" s="66"/>
      <x:c r="S57" s="66"/>
      <x:c r="T57" s="66"/>
    </x:row>
    <x:row r="58">
      <x:c r="A58" s="66"/>
      <x:c r="B58" s="66"/>
      <x:c r="C58" s="66"/>
      <x:c r="D58" s="66"/>
      <x:c r="E58" s="66"/>
      <x:c r="F58" s="66"/>
      <x:c r="G58" s="66"/>
      <x:c r="H58" s="66"/>
      <x:c r="I58" s="66"/>
      <x:c r="J58" s="66"/>
      <x:c r="K58" s="66"/>
      <x:c r="L58" s="66"/>
      <x:c r="M58" s="66"/>
      <x:c r="N58" s="66"/>
      <x:c r="O58" s="66"/>
      <x:c r="P58" s="66"/>
      <x:c r="Q58" s="66"/>
      <x:c r="R58" s="66"/>
      <x:c r="S58" s="66"/>
      <x:c r="T58" s="66"/>
    </x:row>
    <x:row r="59">
      <x:c r="A59" s="66"/>
      <x:c r="B59" s="66"/>
      <x:c r="C59" s="66"/>
      <x:c r="D59" s="66"/>
      <x:c r="E59" s="66"/>
      <x:c r="F59" s="66"/>
      <x:c r="G59" s="66"/>
      <x:c r="H59" s="66"/>
      <x:c r="I59" s="66"/>
      <x:c r="J59" s="66"/>
      <x:c r="K59" s="66"/>
      <x:c r="L59" s="66"/>
      <x:c r="M59" s="66"/>
      <x:c r="N59" s="66"/>
      <x:c r="O59" s="66"/>
      <x:c r="P59" s="66"/>
      <x:c r="Q59" s="66"/>
      <x:c r="R59" s="66"/>
      <x:c r="S59" s="66"/>
      <x:c r="T59" s="66"/>
    </x:row>
    <x:row r="60">
      <x:c r="A60" s="66"/>
      <x:c r="B60" s="66"/>
      <x:c r="C60" s="66"/>
      <x:c r="D60" s="66"/>
      <x:c r="E60" s="66"/>
      <x:c r="F60" s="66"/>
      <x:c r="G60" s="66"/>
      <x:c r="H60" s="66"/>
      <x:c r="I60" s="66"/>
      <x:c r="J60" s="66"/>
      <x:c r="K60" s="66"/>
      <x:c r="L60" s="66"/>
      <x:c r="M60" s="66"/>
      <x:c r="N60" s="66"/>
      <x:c r="O60" s="66"/>
      <x:c r="P60" s="66"/>
      <x:c r="Q60" s="66"/>
      <x:c r="R60" s="66"/>
      <x:c r="S60" s="66"/>
      <x:c r="T60" s="66"/>
    </x:row>
  </x:sheetData>
  <x:conditionalFormatting sqref="B7:B36">
    <x:cfRule type="containsText" dxfId="19" priority="1" operator="containsText" text="B"/>
    <x:cfRule type="containsText" dxfId="20" priority="2" operator="containsText" text="C"/>
  </x:conditionalFormatting>
  <x:conditionalFormatting sqref="K7:K36">
    <x:cfRule type="containsText" dxfId="21" priority="3" operator="containsText" text="Y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B42318"/>
  </x:sheetPr>
  <x:sheetViews>
    <x:sheetView showGridLines="0" workbookViewId="0">
      <x:pane xSplit="3" ySplit="13" topLeftCell="D14" activePane="bottomRight" state="frozen"/>
    </x:sheetView>
  </x:sheetViews>
  <x:sheetFormatPr defaultRowHeight="15"/>
  <x:cols>
    <x:col min="1" max="1" width="11" hidden="0" customWidth="1"/>
    <x:col min="2" max="2" width="26" hidden="0" customWidth="1"/>
    <x:col min="3" max="3" width="26" hidden="0" customWidth="1"/>
    <x:col min="4" max="4" width="34" hidden="0" customWidth="1"/>
    <x:col min="5" max="5" width="32" hidden="0" customWidth="1"/>
    <x:col min="6" max="6" width="31" hidden="0" customWidth="1"/>
    <x:col min="7" max="7" width="42" hidden="0" customWidth="1"/>
    <x:col min="8" max="8" width="14" hidden="0" customWidth="1"/>
    <x:col min="9" max="9" width="16" hidden="0" customWidth="1"/>
    <x:col min="10" max="10" width="14" hidden="0" customWidth="1"/>
    <x:col min="11" max="11" width="17" hidden="0" customWidth="1"/>
    <x:col min="12" max="12" width="17" hidden="0" customWidth="1"/>
    <x:col min="13" max="13" width="17" hidden="0" customWidth="1"/>
    <x:col min="14" max="14" width="20" hidden="0" customWidth="1"/>
    <x:col min="15" max="15" width="48" hidden="0" customWidth="1"/>
    <x:col min="16" max="16" width="23" hidden="0" customWidth="1"/>
  </x:cols>
  <x:sheetData>
    <x:row r="1">
      <x:c r="A1" s="66"/>
      <x:c r="B1" s="66"/>
      <x:c r="C1" s="66"/>
      <x:c r="D1" s="66"/>
      <x:c r="E1" s="66"/>
      <x:c r="F1" s="66"/>
      <x:c r="G1" s="66"/>
      <x:c r="H1" s="66"/>
      <x:c r="I1" s="66"/>
      <x:c r="J1" s="66"/>
      <x:c r="K1" s="66"/>
      <x:c r="L1" s="66"/>
      <x:c r="M1" s="66"/>
      <x:c r="N1" s="66"/>
      <x:c r="O1" s="66"/>
      <x:c r="P1" s="66"/>
      <x:c r="Q1" s="66"/>
    </x:row>
    <x:row r="2" ht="28" customHeight="1">
      <x:c r="A2" s="131" t="str">
        <x:v>구 C* 민감도 — 사용중지</x:v>
      </x:c>
      <x:c r="B2" s="131"/>
      <x:c r="C2" s="131"/>
      <x:c r="D2" s="131"/>
      <x:c r="E2" s="131"/>
      <x:c r="F2" s="131"/>
      <x:c r="G2" s="131"/>
      <x:c r="H2" s="131"/>
      <x:c r="I2" s="131"/>
      <x:c r="J2" s="131"/>
      <x:c r="K2" s="131"/>
      <x:c r="L2" s="131"/>
      <x:c r="M2" s="131"/>
      <x:c r="N2" s="131"/>
      <x:c r="O2" s="131"/>
      <x:c r="P2" s="131"/>
      <x:c r="Q2" s="131"/>
    </x:row>
    <x:row r="3" ht="22" customHeight="1">
      <x:c r="A3" s="132" t="str">
        <x:v>기존 44.74% 우회는 잘못된 프로필·중심선 차단 구조의 진단 기록입니다.</x:v>
      </x:c>
      <x:c r="B3" s="132"/>
      <x:c r="C3" s="132"/>
      <x:c r="D3" s="132"/>
      <x:c r="E3" s="132"/>
      <x:c r="F3" s="132"/>
      <x:c r="G3" s="132"/>
      <x:c r="H3" s="132"/>
      <x:c r="I3" s="132"/>
      <x:c r="J3" s="132"/>
      <x:c r="K3" s="132"/>
      <x:c r="L3" s="132"/>
      <x:c r="M3" s="132"/>
      <x:c r="N3" s="132"/>
      <x:c r="O3" s="132"/>
      <x:c r="P3" s="132"/>
      <x:c r="Q3" s="132"/>
    </x:row>
    <x:row r="4">
      <x:c r="A4" s="115"/>
      <x:c r="B4" s="115"/>
      <x:c r="C4" s="115"/>
      <x:c r="D4" s="115"/>
      <x:c r="E4" s="115"/>
      <x:c r="F4" s="115"/>
      <x:c r="G4" s="115"/>
      <x:c r="H4" s="115"/>
      <x:c r="I4" s="115"/>
      <x:c r="J4" s="115"/>
      <x:c r="K4" s="115"/>
      <x:c r="L4" s="115"/>
      <x:c r="M4" s="115"/>
      <x:c r="N4" s="115"/>
      <x:c r="O4" s="115"/>
      <x:c r="P4" s="115"/>
      <x:c r="Q4" s="115"/>
    </x:row>
    <x:row r="5">
      <x:c r="A5" s="114"/>
      <x:c r="B5" s="66"/>
      <x:c r="C5" s="66"/>
      <x:c r="D5" s="66"/>
      <x:c r="E5" s="66"/>
      <x:c r="F5" s="66"/>
      <x:c r="G5" s="66"/>
      <x:c r="H5" s="66"/>
      <x:c r="I5" s="66"/>
      <x:c r="J5" s="66"/>
      <x:c r="K5" s="66"/>
      <x:c r="L5" s="66"/>
      <x:c r="M5" s="66"/>
      <x:c r="N5" s="66"/>
      <x:c r="O5" s="66"/>
      <x:c r="P5" s="66"/>
      <x:c r="Q5" s="66"/>
    </x:row>
    <x:row r="6" ht="24" customHeight="1">
      <x:c r="A6" s="136" t="str">
        <x:v>사용중지 판단</x:v>
      </x:c>
      <x:c r="B6" s="190"/>
      <x:c r="C6" s="190"/>
      <x:c r="D6" s="190"/>
      <x:c r="E6" s="190"/>
      <x:c r="F6" s="190"/>
      <x:c r="G6" s="190"/>
      <x:c r="H6" s="190"/>
      <x:c r="I6" s="190"/>
      <x:c r="J6" s="190"/>
      <x:c r="K6" s="190"/>
      <x:c r="L6" s="190"/>
      <x:c r="M6" s="190"/>
      <x:c r="N6" s="190"/>
      <x:c r="O6" s="137"/>
      <x:c r="P6" s="138"/>
      <x:c r="Q6" s="138"/>
    </x:row>
    <x:row r="7" ht="32" customHeight="1">
      <x:c r="A7" s="152" t="str">
        <x:v>항목</x:v>
      </x:c>
      <x:c r="B7" s="154" t="str">
        <x:v>기존 계산</x:v>
      </x:c>
      <x:c r="C7" s="154" t="str">
        <x:v>v3 판단</x:v>
      </x:c>
      <x:c r="D7" s="155" t="str">
        <x:v>후속 조치</x:v>
      </x:c>
      <x:c r="E7" s="126"/>
      <x:c r="F7" s="126"/>
      <x:c r="G7" s="126"/>
      <x:c r="H7" s="226"/>
      <x:c r="I7" s="226"/>
      <x:c r="J7" s="226"/>
      <x:c r="K7" s="226"/>
      <x:c r="L7" s="227"/>
      <x:c r="M7" s="126"/>
      <x:c r="N7" s="126"/>
      <x:c r="O7" s="126"/>
      <x:c r="P7" s="66"/>
      <x:c r="Q7" s="66"/>
    </x:row>
    <x:row r="8" ht="48" customHeight="1">
      <x:c r="A8" s="127" t="str">
        <x:v>AI block 5건</x:v>
      </x:c>
      <x:c r="B8" s="127" t="str">
        <x:v>점자 부재 4 + 공사 1</x:v>
      </x:c>
      <x:c r="C8" s="127" t="str">
        <x:v>휠체어 하드차단 0건 확정; 공사도 시간제 재확인 필요</x:v>
      </x:c>
      <x:c r="D8" s="127" t="str">
        <x:v>사람검수·최신성 확인</x:v>
      </x:c>
      <x:c r="E8" s="127"/>
      <x:c r="F8" s="127"/>
      <x:c r="G8" s="127"/>
      <x:c r="H8" s="228"/>
      <x:c r="I8" s="228"/>
      <x:c r="J8" s="228"/>
      <x:c r="K8" s="228"/>
      <x:c r="L8" s="182"/>
      <x:c r="M8" s="127"/>
      <x:c r="N8" s="127"/>
      <x:c r="O8" s="127"/>
      <x:c r="P8" s="66"/>
      <x:c r="Q8" s="66"/>
    </x:row>
    <x:row r="9" ht="48" customHeight="1">
      <x:c r="A9" s="127" t="str">
        <x:v>C* 경로 영향</x:v>
      </x:c>
      <x:c r="B9" s="127" t="str">
        <x:v>9/10 변경·최대 44.74%</x:v>
      </x:c>
      <x:c r="C9" s="127" t="str">
        <x:v>공식 효과로 사용 금지</x:v>
      </x:c>
      <x:c r="D9" s="127" t="str">
        <x:v>고유 횡단엣지 그래프에서 재계산</x:v>
      </x:c>
      <x:c r="E9" s="127"/>
      <x:c r="F9" s="127"/>
      <x:c r="G9" s="127"/>
      <x:c r="H9" s="228"/>
      <x:c r="I9" s="228"/>
      <x:c r="J9" s="228"/>
      <x:c r="K9" s="228"/>
      <x:c r="L9" s="182"/>
      <x:c r="M9" s="127"/>
      <x:c r="N9" s="127"/>
      <x:c r="O9" s="127"/>
      <x:c r="P9" s="66"/>
      <x:c r="Q9" s="66"/>
    </x:row>
    <x:row r="10" ht="36" customHeight="1">
      <x:c r="A10" s="127"/>
      <x:c r="B10" s="127"/>
      <x:c r="C10" s="127"/>
      <x:c r="D10" s="127"/>
      <x:c r="E10" s="127"/>
      <x:c r="F10" s="127"/>
      <x:c r="G10" s="127"/>
      <x:c r="H10" s="228"/>
      <x:c r="I10" s="228"/>
      <x:c r="J10" s="228"/>
      <x:c r="K10" s="228"/>
      <x:c r="L10" s="182"/>
      <x:c r="M10" s="127"/>
      <x:c r="N10" s="127"/>
      <x:c r="O10" s="127"/>
      <x:c r="P10" s="66"/>
      <x:c r="Q10" s="66"/>
    </x:row>
    <x:row r="11" ht="36" customHeight="1">
      <x:c r="A11" s="127" t="str">
        <x:v>보존된 기존 계산 결과(진단 기록)</x:v>
      </x:c>
      <x:c r="B11" s="127"/>
      <x:c r="C11" s="127"/>
      <x:c r="D11" s="127"/>
      <x:c r="E11" s="127"/>
      <x:c r="F11" s="127"/>
      <x:c r="G11" s="127"/>
      <x:c r="H11" s="228"/>
      <x:c r="I11" s="228"/>
      <x:c r="J11" s="228"/>
      <x:c r="K11" s="228"/>
      <x:c r="L11" s="182"/>
      <x:c r="M11" s="127"/>
      <x:c r="N11" s="127"/>
      <x:c r="O11" s="127"/>
      <x:c r="P11" s="66"/>
      <x:c r="Q11" s="66"/>
    </x:row>
    <x:row r="12" ht="36" customHeight="1">
      <x:c r="A12" s="127"/>
      <x:c r="B12" s="127"/>
      <x:c r="C12" s="127"/>
      <x:c r="D12" s="127"/>
      <x:c r="E12" s="127"/>
      <x:c r="F12" s="127"/>
      <x:c r="G12" s="127"/>
      <x:c r="H12" s="228"/>
      <x:c r="I12" s="228"/>
      <x:c r="J12" s="228"/>
      <x:c r="K12" s="228"/>
      <x:c r="L12" s="182"/>
      <x:c r="M12" s="127"/>
      <x:c r="N12" s="127"/>
      <x:c r="O12" s="127"/>
      <x:c r="P12" s="66"/>
      <x:c r="Q12" s="66"/>
    </x:row>
    <x:row r="13" ht="32" customHeight="1">
      <x:c r="A13" s="176" t="str">
        <x:v>OD</x:v>
      </x:c>
      <x:c r="B13" s="178" t="str">
        <x:v>출발</x:v>
      </x:c>
      <x:c r="C13" s="178" t="str">
        <x:v>도착</x:v>
      </x:c>
      <x:c r="D13" s="178" t="str">
        <x:v>시나리오</x:v>
      </x:c>
      <x:c r="E13" s="178" t="str">
        <x:v>공식 상태</x:v>
      </x:c>
      <x:c r="F13" s="178" t="str">
        <x:v>차단 후보 표본</x:v>
      </x:c>
      <x:c r="G13" s="178" t="str">
        <x:v>차단 후보 대체엣지</x:v>
      </x:c>
      <x:c r="H13" s="222" t="str">
        <x:v>B 거리(m)</x:v>
      </x:c>
      <x:c r="I13" s="222" t="str">
        <x:v>C* 경로 존재</x:v>
      </x:c>
      <x:c r="J13" s="222" t="str">
        <x:v>C* 거리(m)</x:v>
      </x:c>
      <x:c r="K13" s="222" t="str">
        <x:v>B 대비 증분(m)</x:v>
      </x:c>
      <x:c r="L13" s="223" t="str">
        <x:v>B 대비 증분(%)</x:v>
      </x:c>
      <x:c r="M13" s="178" t="str">
        <x:v>B와 경로변경</x:v>
      </x:c>
      <x:c r="N13" s="178" t="str">
        <x:v>B가 사용한 후보엣지</x:v>
      </x:c>
      <x:c r="O13" s="178" t="str">
        <x:v>해석</x:v>
      </x:c>
      <x:c r="P13" s="179" t="str">
        <x:v>사용 상태</x:v>
      </x:c>
      <x:c r="Q13" s="66"/>
    </x:row>
    <x:row r="14" ht="36" customHeight="1">
      <x:c r="A14" s="127" t="str">
        <x:v>OD01</x:v>
      </x:c>
      <x:c r="B14" s="127" t="str">
        <x:v>북부 서측 표본(CW04)</x:v>
      </x:c>
      <x:c r="C14" s="127" t="str">
        <x:v>중북부 동측 표본(CW20)</x:v>
      </x:c>
      <x:c r="D14" s="127" t="str">
        <x:v>C* 미승인 AI후보 5개 전부 승인 가정</x:v>
      </x:c>
      <x:c r="E14" s="127" t="str">
        <x:v>비공식 스트레스테스트; 실제 C 아님</x:v>
      </x:c>
      <x:c r="F14" s="127" t="str">
        <x:v>CW01;CW04;CW10;CW13;CW18</x:v>
      </x:c>
      <x:c r="G14" s="127" t="str">
        <x:v>W318729204_S2;W38609253_S0;W589960556_S5;W589960556_S7;W915477947_S2</x:v>
      </x:c>
      <x:c r="H14" s="228" t="n">
        <x:v>1115.8</x:v>
      </x:c>
      <x:c r="I14" s="228" t="str">
        <x:v>Y</x:v>
      </x:c>
      <x:c r="J14" s="228" t="n">
        <x:v>1266.4</x:v>
      </x:c>
      <x:c r="K14" s="228" t="n">
        <x:v>150.6</x:v>
      </x:c>
      <x:c r="L14" s="182" t="n">
        <x:v>13.49</x:v>
      </x:c>
      <x:c r="M14" s="127" t="str">
        <x:v>Y</x:v>
      </x:c>
      <x:c r="N14" s="127" t="n">
        <x:v>1</x:v>
      </x:c>
      <x:c r="O14" s="127" t="str">
        <x:v>사람 승인 전 의사결정용 민감도 분석이며 경로 안내에 사용 금지</x:v>
      </x:c>
      <x:c r="P14" s="225" t="str">
        <x:v>제출·경로안내 금지</x:v>
      </x:c>
      <x:c r="Q14" s="66"/>
    </x:row>
    <x:row r="15" ht="36" customHeight="1">
      <x:c r="A15" s="127" t="str">
        <x:v>OD02</x:v>
      </x:c>
      <x:c r="B15" s="127" t="str">
        <x:v>안양청년1번가</x:v>
      </x:c>
      <x:c r="C15" s="127" t="str">
        <x:v>중북부 동측 표본(CW20)</x:v>
      </x:c>
      <x:c r="D15" s="127" t="str">
        <x:v>C* 미승인 AI후보 5개 전부 승인 가정</x:v>
      </x:c>
      <x:c r="E15" s="127" t="str">
        <x:v>비공식 스트레스테스트; 실제 C 아님</x:v>
      </x:c>
      <x:c r="F15" s="127" t="str">
        <x:v>CW01;CW04;CW10;CW13;CW18</x:v>
      </x:c>
      <x:c r="G15" s="127" t="str">
        <x:v>W318729204_S2;W38609253_S0;W589960556_S5;W589960556_S7;W915477947_S2</x:v>
      </x:c>
      <x:c r="H15" s="228" t="n">
        <x:v>656.2</x:v>
      </x:c>
      <x:c r="I15" s="228" t="str">
        <x:v>Y</x:v>
      </x:c>
      <x:c r="J15" s="228" t="n">
        <x:v>656.2</x:v>
      </x:c>
      <x:c r="K15" s="228" t="n">
        <x:v>0</x:v>
      </x:c>
      <x:c r="L15" s="182" t="n">
        <x:v>0</x:v>
      </x:c>
      <x:c r="M15" s="127" t="str">
        <x:v>N</x:v>
      </x:c>
      <x:c r="N15" s="127" t="n">
        <x:v>0</x:v>
      </x:c>
      <x:c r="O15" s="127" t="str">
        <x:v>사람 승인 전 의사결정용 민감도 분석이며 경로 안내에 사용 금지</x:v>
      </x:c>
      <x:c r="P15" s="225" t="str">
        <x:v>제출·경로안내 금지</x:v>
      </x:c>
      <x:c r="Q15" s="66"/>
    </x:row>
    <x:row r="16" ht="36" customHeight="1">
      <x:c r="A16" s="127" t="str">
        <x:v>OD03</x:v>
      </x:c>
      <x:c r="B16" s="127" t="str">
        <x:v>중북부 서측 표본(CW13)</x:v>
      </x:c>
      <x:c r="C16" s="127" t="str">
        <x:v>중북부 동측 표본(CW20)</x:v>
      </x:c>
      <x:c r="D16" s="127" t="str">
        <x:v>C* 미승인 AI후보 5개 전부 승인 가정</x:v>
      </x:c>
      <x:c r="E16" s="127" t="str">
        <x:v>비공식 스트레스테스트; 실제 C 아님</x:v>
      </x:c>
      <x:c r="F16" s="127" t="str">
        <x:v>CW01;CW04;CW10;CW13;CW18</x:v>
      </x:c>
      <x:c r="G16" s="127" t="str">
        <x:v>W318729204_S2;W38609253_S0;W589960556_S5;W589960556_S7;W915477947_S2</x:v>
      </x:c>
      <x:c r="H16" s="228" t="n">
        <x:v>948.7</x:v>
      </x:c>
      <x:c r="I16" s="228" t="str">
        <x:v>Y</x:v>
      </x:c>
      <x:c r="J16" s="228" t="n">
        <x:v>1012.9</x:v>
      </x:c>
      <x:c r="K16" s="228" t="n">
        <x:v>64.2</x:v>
      </x:c>
      <x:c r="L16" s="182" t="n">
        <x:v>6.77</x:v>
      </x:c>
      <x:c r="M16" s="127" t="str">
        <x:v>Y</x:v>
      </x:c>
      <x:c r="N16" s="127" t="n">
        <x:v>1</x:v>
      </x:c>
      <x:c r="O16" s="127" t="str">
        <x:v>사람 승인 전 의사결정용 민감도 분석이며 경로 안내에 사용 금지</x:v>
      </x:c>
      <x:c r="P16" s="225" t="str">
        <x:v>제출·경로안내 금지</x:v>
      </x:c>
      <x:c r="Q16" s="66"/>
    </x:row>
    <x:row r="17">
      <x:c r="A17" s="67" t="str">
        <x:v>OD04</x:v>
      </x:c>
      <x:c r="B17" s="67" t="str">
        <x:v>북부 동측 표본(CW10)</x:v>
      </x:c>
      <x:c r="C17" s="67" t="str">
        <x:v>중북부 동측 표본(CW20)</x:v>
      </x:c>
      <x:c r="D17" s="67" t="str">
        <x:v>C* 미승인 AI후보 5개 전부 승인 가정</x:v>
      </x:c>
      <x:c r="E17" s="67" t="str">
        <x:v>비공식 스트레스테스트; 실제 C 아님</x:v>
      </x:c>
      <x:c r="F17" s="67" t="str">
        <x:v>CW01;CW04;CW10;CW13;CW18</x:v>
      </x:c>
      <x:c r="G17" s="67" t="str">
        <x:v>W318729204_S2;W38609253_S0;W589960556_S5;W589960556_S7;W915477947_S2</x:v>
      </x:c>
      <x:c r="H17" s="67" t="n">
        <x:v>1072.1</x:v>
      </x:c>
      <x:c r="I17" s="67" t="str">
        <x:v>Y</x:v>
      </x:c>
      <x:c r="J17" s="67" t="n">
        <x:v>1551.7</x:v>
      </x:c>
      <x:c r="K17" s="67" t="n">
        <x:v>479.6</x:v>
      </x:c>
      <x:c r="L17" s="67" t="n">
        <x:v>44.74</x:v>
      </x:c>
      <x:c r="M17" s="67" t="str">
        <x:v>Y</x:v>
      </x:c>
      <x:c r="N17" s="67" t="n">
        <x:v>1</x:v>
      </x:c>
      <x:c r="O17" s="67" t="str">
        <x:v>사람 승인 전 의사결정용 민감도 분석이며 경로 안내에 사용 금지</x:v>
      </x:c>
      <x:c r="P17" s="225" t="str">
        <x:v>제출·경로안내 금지</x:v>
      </x:c>
      <x:c r="Q17" s="66"/>
    </x:row>
    <x:row r="18">
      <x:c r="A18" s="67" t="str">
        <x:v>OD05</x:v>
      </x:c>
      <x:c r="B18" s="67" t="str">
        <x:v>안양역</x:v>
      </x:c>
      <x:c r="C18" s="67" t="str">
        <x:v>중북부 동측 표본(CW20)</x:v>
      </x:c>
      <x:c r="D18" s="67" t="str">
        <x:v>C* 미승인 AI후보 5개 전부 승인 가정</x:v>
      </x:c>
      <x:c r="E18" s="67" t="str">
        <x:v>비공식 스트레스테스트; 실제 C 아님</x:v>
      </x:c>
      <x:c r="F18" s="67" t="str">
        <x:v>CW01;CW04;CW10;CW13;CW18</x:v>
      </x:c>
      <x:c r="G18" s="67" t="str">
        <x:v>W318729204_S2;W38609253_S0;W589960556_S5;W589960556_S7;W915477947_S2</x:v>
      </x:c>
      <x:c r="H18" s="67" t="n">
        <x:v>1220.8</x:v>
      </x:c>
      <x:c r="I18" s="67" t="str">
        <x:v>Y</x:v>
      </x:c>
      <x:c r="J18" s="67" t="n">
        <x:v>1402.9</x:v>
      </x:c>
      <x:c r="K18" s="67" t="n">
        <x:v>182.1</x:v>
      </x:c>
      <x:c r="L18" s="67" t="n">
        <x:v>14.92</x:v>
      </x:c>
      <x:c r="M18" s="67" t="str">
        <x:v>Y</x:v>
      </x:c>
      <x:c r="N18" s="67" t="n">
        <x:v>1</x:v>
      </x:c>
      <x:c r="O18" s="67" t="str">
        <x:v>사람 승인 전 의사결정용 민감도 분석이며 경로 안내에 사용 금지</x:v>
      </x:c>
      <x:c r="P18" s="225" t="str">
        <x:v>제출·경로안내 금지</x:v>
      </x:c>
      <x:c r="Q18" s="66"/>
    </x:row>
    <x:row r="19">
      <x:c r="A19" s="67" t="str">
        <x:v>OD06</x:v>
      </x:c>
      <x:c r="B19" s="67" t="str">
        <x:v>북부 서측 표본(CW04)</x:v>
      </x:c>
      <x:c r="C19" s="67" t="str">
        <x:v>남부 동측 표본(CW35)</x:v>
      </x:c>
      <x:c r="D19" s="67" t="str">
        <x:v>C* 미승인 AI후보 5개 전부 승인 가정</x:v>
      </x:c>
      <x:c r="E19" s="67" t="str">
        <x:v>비공식 스트레스테스트; 실제 C 아님</x:v>
      </x:c>
      <x:c r="F19" s="67" t="str">
        <x:v>CW01;CW04;CW10;CW13;CW18</x:v>
      </x:c>
      <x:c r="G19" s="67" t="str">
        <x:v>W318729204_S2;W38609253_S0;W589960556_S5;W589960556_S7;W915477947_S2</x:v>
      </x:c>
      <x:c r="H19" s="67" t="n">
        <x:v>1754.3</x:v>
      </x:c>
      <x:c r="I19" s="67" t="str">
        <x:v>Y</x:v>
      </x:c>
      <x:c r="J19" s="67" t="n">
        <x:v>1911.6</x:v>
      </x:c>
      <x:c r="K19" s="67" t="n">
        <x:v>157.3</x:v>
      </x:c>
      <x:c r="L19" s="67" t="n">
        <x:v>8.96</x:v>
      </x:c>
      <x:c r="M19" s="67" t="str">
        <x:v>Y</x:v>
      </x:c>
      <x:c r="N19" s="67" t="n">
        <x:v>1</x:v>
      </x:c>
      <x:c r="O19" s="67" t="str">
        <x:v>사람 승인 전 의사결정용 민감도 분석이며 경로 안내에 사용 금지</x:v>
      </x:c>
      <x:c r="P19" s="225" t="str">
        <x:v>제출·경로안내 금지</x:v>
      </x:c>
      <x:c r="Q19" s="66"/>
    </x:row>
    <x:row r="20">
      <x:c r="A20" s="67" t="str">
        <x:v>OD07</x:v>
      </x:c>
      <x:c r="B20" s="67" t="str">
        <x:v>북부 서측 표본(CW04)</x:v>
      </x:c>
      <x:c r="C20" s="67" t="str">
        <x:v>공공데이터 위험 표본(CW33)</x:v>
      </x:c>
      <x:c r="D20" s="67" t="str">
        <x:v>C* 미승인 AI후보 5개 전부 승인 가정</x:v>
      </x:c>
      <x:c r="E20" s="67" t="str">
        <x:v>비공식 스트레스테스트; 실제 C 아님</x:v>
      </x:c>
      <x:c r="F20" s="67" t="str">
        <x:v>CW01;CW04;CW10;CW13;CW18</x:v>
      </x:c>
      <x:c r="G20" s="67" t="str">
        <x:v>W318729204_S2;W38609253_S0;W589960556_S5;W589960556_S7;W915477947_S2</x:v>
      </x:c>
      <x:c r="H20" s="67" t="n">
        <x:v>1707.6</x:v>
      </x:c>
      <x:c r="I20" s="67" t="str">
        <x:v>Y</x:v>
      </x:c>
      <x:c r="J20" s="67" t="n">
        <x:v>1864.9</x:v>
      </x:c>
      <x:c r="K20" s="67" t="n">
        <x:v>157.3</x:v>
      </x:c>
      <x:c r="L20" s="67" t="n">
        <x:v>9.21</x:v>
      </x:c>
      <x:c r="M20" s="67" t="str">
        <x:v>Y</x:v>
      </x:c>
      <x:c r="N20" s="67" t="n">
        <x:v>1</x:v>
      </x:c>
      <x:c r="O20" s="67" t="str">
        <x:v>사람 승인 전 의사결정용 민감도 분석이며 경로 안내에 사용 금지</x:v>
      </x:c>
      <x:c r="P20" s="225" t="str">
        <x:v>제출·경로안내 금지</x:v>
      </x:c>
      <x:c r="Q20" s="66"/>
    </x:row>
    <x:row r="21">
      <x:c r="A21" s="67" t="str">
        <x:v>OD08</x:v>
      </x:c>
      <x:c r="B21" s="67" t="str">
        <x:v>북부 서측 표본(CW04)</x:v>
      </x:c>
      <x:c r="C21" s="67" t="str">
        <x:v>남부 서측 표본(CW32)</x:v>
      </x:c>
      <x:c r="D21" s="67" t="str">
        <x:v>C* 미승인 AI후보 5개 전부 승인 가정</x:v>
      </x:c>
      <x:c r="E21" s="67" t="str">
        <x:v>비공식 스트레스테스트; 실제 C 아님</x:v>
      </x:c>
      <x:c r="F21" s="67" t="str">
        <x:v>CW01;CW04;CW10;CW13;CW18</x:v>
      </x:c>
      <x:c r="G21" s="67" t="str">
        <x:v>W318729204_S2;W38609253_S0;W589960556_S5;W589960556_S7;W915477947_S2</x:v>
      </x:c>
      <x:c r="H21" s="67" t="n">
        <x:v>1757.1</x:v>
      </x:c>
      <x:c r="I21" s="67" t="str">
        <x:v>Y</x:v>
      </x:c>
      <x:c r="J21" s="67" t="n">
        <x:v>1914.4</x:v>
      </x:c>
      <x:c r="K21" s="67" t="n">
        <x:v>157.3</x:v>
      </x:c>
      <x:c r="L21" s="67" t="n">
        <x:v>8.95</x:v>
      </x:c>
      <x:c r="M21" s="67" t="str">
        <x:v>Y</x:v>
      </x:c>
      <x:c r="N21" s="67" t="n">
        <x:v>1</x:v>
      </x:c>
      <x:c r="O21" s="67" t="str">
        <x:v>사람 승인 전 의사결정용 민감도 분석이며 경로 안내에 사용 금지</x:v>
      </x:c>
      <x:c r="P21" s="225" t="str">
        <x:v>제출·경로안내 금지</x:v>
      </x:c>
      <x:c r="Q21" s="66"/>
    </x:row>
    <x:row r="22">
      <x:c r="A22" s="67" t="str">
        <x:v>OD09</x:v>
      </x:c>
      <x:c r="B22" s="67" t="str">
        <x:v>북부 서측 표본(CW04)</x:v>
      </x:c>
      <x:c r="C22" s="67" t="str">
        <x:v>중남부 동측 표본(CW28)</x:v>
      </x:c>
      <x:c r="D22" s="67" t="str">
        <x:v>C* 미승인 AI후보 5개 전부 승인 가정</x:v>
      </x:c>
      <x:c r="E22" s="67" t="str">
        <x:v>비공식 스트레스테스트; 실제 C 아님</x:v>
      </x:c>
      <x:c r="F22" s="67" t="str">
        <x:v>CW01;CW04;CW10;CW13;CW18</x:v>
      </x:c>
      <x:c r="G22" s="67" t="str">
        <x:v>W318729204_S2;W38609253_S0;W589960556_S5;W589960556_S7;W915477947_S2</x:v>
      </x:c>
      <x:c r="H22" s="67" t="n">
        <x:v>1656.1</x:v>
      </x:c>
      <x:c r="I22" s="67" t="str">
        <x:v>Y</x:v>
      </x:c>
      <x:c r="J22" s="67" t="n">
        <x:v>1813.4</x:v>
      </x:c>
      <x:c r="K22" s="67" t="n">
        <x:v>157.3</x:v>
      </x:c>
      <x:c r="L22" s="67" t="n">
        <x:v>9.5</x:v>
      </x:c>
      <x:c r="M22" s="67" t="str">
        <x:v>Y</x:v>
      </x:c>
      <x:c r="N22" s="67" t="n">
        <x:v>1</x:v>
      </x:c>
      <x:c r="O22" s="67" t="str">
        <x:v>사람 승인 전 의사결정용 민감도 분석이며 경로 안내에 사용 금지</x:v>
      </x:c>
      <x:c r="P22" s="225" t="str">
        <x:v>제출·경로안내 금지</x:v>
      </x:c>
      <x:c r="Q22" s="66"/>
    </x:row>
    <x:row r="23">
      <x:c r="A23" s="67" t="str">
        <x:v>OD10</x:v>
      </x:c>
      <x:c r="B23" s="67" t="str">
        <x:v>중북부 서측 표본(CW13)</x:v>
      </x:c>
      <x:c r="C23" s="67" t="str">
        <x:v>남부 동측 표본(CW35)</x:v>
      </x:c>
      <x:c r="D23" s="67" t="str">
        <x:v>C* 미승인 AI후보 5개 전부 승인 가정</x:v>
      </x:c>
      <x:c r="E23" s="67" t="str">
        <x:v>비공식 스트레스테스트; 실제 C 아님</x:v>
      </x:c>
      <x:c r="F23" s="67" t="str">
        <x:v>CW01;CW04;CW10;CW13;CW18</x:v>
      </x:c>
      <x:c r="G23" s="67" t="str">
        <x:v>W318729204_S2;W38609253_S0;W589960556_S5;W589960556_S7;W915477947_S2</x:v>
      </x:c>
      <x:c r="H23" s="67" t="n">
        <x:v>1591.7</x:v>
      </x:c>
      <x:c r="I23" s="67" t="str">
        <x:v>Y</x:v>
      </x:c>
      <x:c r="J23" s="67" t="n">
        <x:v>1655.9</x:v>
      </x:c>
      <x:c r="K23" s="67" t="n">
        <x:v>64.2</x:v>
      </x:c>
      <x:c r="L23" s="67" t="n">
        <x:v>4.03</x:v>
      </x:c>
      <x:c r="M23" s="67" t="str">
        <x:v>Y</x:v>
      </x:c>
      <x:c r="N23" s="67" t="n">
        <x:v>1</x:v>
      </x:c>
      <x:c r="O23" s="67" t="str">
        <x:v>사람 승인 전 의사결정용 민감도 분석이며 경로 안내에 사용 금지</x:v>
      </x:c>
      <x:c r="P23" s="225" t="str">
        <x:v>제출·경로안내 금지</x:v>
      </x:c>
      <x:c r="Q23" s="66"/>
    </x:row>
    <x:row r="24">
      <x:c r="A24" s="66"/>
      <x:c r="B24" s="66"/>
      <x:c r="C24" s="66"/>
      <x:c r="D24" s="66"/>
      <x:c r="E24" s="66"/>
      <x:c r="F24" s="66"/>
      <x:c r="G24" s="66"/>
      <x:c r="H24" s="66"/>
      <x:c r="I24" s="66"/>
      <x:c r="J24" s="66"/>
      <x:c r="K24" s="66"/>
      <x:c r="L24" s="66"/>
      <x:c r="M24" s="66"/>
      <x:c r="N24" s="66"/>
      <x:c r="O24" s="66"/>
      <x:c r="P24" s="66"/>
      <x:c r="Q24" s="66"/>
    </x:row>
    <x:row r="25">
      <x:c r="A25" s="66"/>
      <x:c r="B25" s="66"/>
      <x:c r="C25" s="66"/>
      <x:c r="D25" s="66"/>
      <x:c r="E25" s="66"/>
      <x:c r="F25" s="66"/>
      <x:c r="G25" s="66"/>
      <x:c r="H25" s="66"/>
      <x:c r="I25" s="66"/>
      <x:c r="J25" s="66"/>
      <x:c r="K25" s="66"/>
      <x:c r="L25" s="66"/>
      <x:c r="M25" s="66"/>
      <x:c r="N25" s="66"/>
      <x:c r="O25" s="66"/>
      <x:c r="P25" s="66"/>
      <x:c r="Q25" s="66"/>
    </x:row>
    <x:row r="26">
      <x:c r="A26" s="66"/>
      <x:c r="B26" s="66"/>
      <x:c r="C26" s="66"/>
      <x:c r="D26" s="66"/>
      <x:c r="E26" s="66"/>
      <x:c r="F26" s="66"/>
      <x:c r="G26" s="66"/>
      <x:c r="H26" s="66"/>
      <x:c r="I26" s="66"/>
      <x:c r="J26" s="66"/>
      <x:c r="K26" s="66"/>
      <x:c r="L26" s="66"/>
      <x:c r="M26" s="66"/>
      <x:c r="N26" s="66"/>
      <x:c r="O26" s="66"/>
      <x:c r="P26" s="66"/>
      <x:c r="Q26" s="66"/>
    </x:row>
    <x:row r="27">
      <x:c r="A27" s="66"/>
      <x:c r="B27" s="66"/>
      <x:c r="C27" s="66"/>
      <x:c r="D27" s="66"/>
      <x:c r="E27" s="66"/>
      <x:c r="F27" s="66"/>
      <x:c r="G27" s="66"/>
      <x:c r="H27" s="66"/>
      <x:c r="I27" s="66"/>
      <x:c r="J27" s="66"/>
      <x:c r="K27" s="66"/>
      <x:c r="L27" s="66"/>
      <x:c r="M27" s="66"/>
      <x:c r="N27" s="66"/>
      <x:c r="O27" s="66"/>
      <x:c r="P27" s="66"/>
      <x:c r="Q27" s="66"/>
    </x:row>
    <x:row r="28">
      <x:c r="A28" s="66"/>
      <x:c r="B28" s="66"/>
      <x:c r="C28" s="66"/>
      <x:c r="D28" s="66"/>
      <x:c r="E28" s="66"/>
      <x:c r="F28" s="66"/>
      <x:c r="G28" s="66"/>
      <x:c r="H28" s="66"/>
      <x:c r="I28" s="66"/>
      <x:c r="J28" s="66"/>
      <x:c r="K28" s="66"/>
      <x:c r="L28" s="66"/>
      <x:c r="M28" s="66"/>
      <x:c r="N28" s="66"/>
      <x:c r="O28" s="66"/>
      <x:c r="P28" s="66"/>
      <x:c r="Q28" s="66"/>
    </x:row>
    <x:row r="29">
      <x:c r="A29" s="66"/>
      <x:c r="B29" s="66"/>
      <x:c r="C29" s="66"/>
      <x:c r="D29" s="66"/>
      <x:c r="E29" s="66"/>
      <x:c r="F29" s="66"/>
      <x:c r="G29" s="66"/>
      <x:c r="H29" s="66"/>
      <x:c r="I29" s="66"/>
      <x:c r="J29" s="66"/>
      <x:c r="K29" s="66"/>
      <x:c r="L29" s="66"/>
      <x:c r="M29" s="66"/>
      <x:c r="N29" s="66"/>
      <x:c r="O29" s="66"/>
      <x:c r="P29" s="66"/>
      <x:c r="Q29" s="66"/>
    </x:row>
    <x:row r="30">
      <x:c r="A30" s="66"/>
      <x:c r="B30" s="66"/>
      <x:c r="C30" s="66"/>
      <x:c r="D30" s="66"/>
      <x:c r="E30" s="66"/>
      <x:c r="F30" s="66"/>
      <x:c r="G30" s="66"/>
      <x:c r="H30" s="66"/>
      <x:c r="I30" s="66"/>
      <x:c r="J30" s="66"/>
      <x:c r="K30" s="66"/>
      <x:c r="L30" s="66"/>
      <x:c r="M30" s="66"/>
      <x:c r="N30" s="66"/>
      <x:c r="O30" s="66"/>
      <x:c r="P30" s="66"/>
      <x:c r="Q30" s="66"/>
    </x:row>
    <x:row r="31">
      <x:c r="A31" s="66"/>
      <x:c r="B31" s="66"/>
      <x:c r="C31" s="66"/>
      <x:c r="D31" s="66"/>
      <x:c r="E31" s="66"/>
      <x:c r="F31" s="66"/>
      <x:c r="G31" s="66"/>
      <x:c r="H31" s="66"/>
      <x:c r="I31" s="66"/>
      <x:c r="J31" s="66"/>
      <x:c r="K31" s="66"/>
      <x:c r="L31" s="66"/>
      <x:c r="M31" s="66"/>
      <x:c r="N31" s="66"/>
      <x:c r="O31" s="66"/>
      <x:c r="P31" s="66"/>
      <x:c r="Q31" s="66"/>
    </x:row>
    <x:row r="32">
      <x:c r="A32" s="66"/>
      <x:c r="B32" s="66"/>
      <x:c r="C32" s="66"/>
      <x:c r="D32" s="66"/>
      <x:c r="E32" s="66"/>
      <x:c r="F32" s="66"/>
      <x:c r="G32" s="66"/>
      <x:c r="H32" s="66"/>
      <x:c r="I32" s="66"/>
      <x:c r="J32" s="66"/>
      <x:c r="K32" s="66"/>
      <x:c r="L32" s="66"/>
      <x:c r="M32" s="66"/>
      <x:c r="N32" s="66"/>
      <x:c r="O32" s="66"/>
      <x:c r="P32" s="66"/>
      <x:c r="Q32" s="66"/>
    </x:row>
    <x:row r="33">
      <x:c r="A33" s="66"/>
      <x:c r="B33" s="66"/>
      <x:c r="C33" s="66"/>
      <x:c r="D33" s="66"/>
      <x:c r="E33" s="66"/>
      <x:c r="F33" s="66"/>
      <x:c r="G33" s="66"/>
      <x:c r="H33" s="66"/>
      <x:c r="I33" s="66"/>
      <x:c r="J33" s="66"/>
      <x:c r="K33" s="66"/>
      <x:c r="L33" s="66"/>
      <x:c r="M33" s="66"/>
      <x:c r="N33" s="66"/>
      <x:c r="O33" s="66"/>
      <x:c r="P33" s="66"/>
      <x:c r="Q33" s="66"/>
    </x:row>
    <x:row r="34">
      <x:c r="A34" s="66"/>
      <x:c r="B34" s="66"/>
      <x:c r="C34" s="66"/>
      <x:c r="D34" s="66"/>
      <x:c r="E34" s="66"/>
      <x:c r="F34" s="66"/>
      <x:c r="G34" s="66"/>
      <x:c r="H34" s="66"/>
      <x:c r="I34" s="66"/>
      <x:c r="J34" s="66"/>
      <x:c r="K34" s="66"/>
      <x:c r="L34" s="66"/>
      <x:c r="M34" s="66"/>
      <x:c r="N34" s="66"/>
      <x:c r="O34" s="66"/>
      <x:c r="P34" s="66"/>
      <x:c r="Q34" s="66"/>
    </x:row>
    <x:row r="35">
      <x:c r="A35" s="66"/>
      <x:c r="B35" s="66"/>
      <x:c r="C35" s="66"/>
      <x:c r="D35" s="66"/>
      <x:c r="E35" s="66"/>
      <x:c r="F35" s="66"/>
      <x:c r="G35" s="66"/>
      <x:c r="H35" s="66"/>
      <x:c r="I35" s="66"/>
      <x:c r="J35" s="66"/>
      <x:c r="K35" s="66"/>
      <x:c r="L35" s="66"/>
      <x:c r="M35" s="66"/>
      <x:c r="N35" s="66"/>
      <x:c r="O35" s="66"/>
      <x:c r="P35" s="66"/>
      <x:c r="Q35" s="66"/>
    </x:row>
    <x:row r="36">
      <x:c r="A36" s="66"/>
      <x:c r="B36" s="66"/>
      <x:c r="C36" s="66"/>
      <x:c r="D36" s="66"/>
      <x:c r="E36" s="66"/>
      <x:c r="F36" s="66"/>
      <x:c r="G36" s="66"/>
      <x:c r="H36" s="66"/>
      <x:c r="I36" s="66"/>
      <x:c r="J36" s="66"/>
      <x:c r="K36" s="66"/>
      <x:c r="L36" s="66"/>
      <x:c r="M36" s="66"/>
      <x:c r="N36" s="66"/>
      <x:c r="O36" s="66"/>
      <x:c r="P36" s="66"/>
      <x:c r="Q36" s="66"/>
    </x:row>
    <x:row r="37">
      <x:c r="A37" s="66"/>
      <x:c r="B37" s="66"/>
      <x:c r="C37" s="66"/>
      <x:c r="D37" s="66"/>
      <x:c r="E37" s="66"/>
      <x:c r="F37" s="66"/>
      <x:c r="G37" s="66"/>
      <x:c r="H37" s="66"/>
      <x:c r="I37" s="66"/>
      <x:c r="J37" s="66"/>
      <x:c r="K37" s="66"/>
      <x:c r="L37" s="66"/>
      <x:c r="M37" s="66"/>
      <x:c r="N37" s="66"/>
      <x:c r="O37" s="66"/>
      <x:c r="P37" s="66"/>
      <x:c r="Q37" s="66"/>
    </x:row>
    <x:row r="38">
      <x:c r="A38" s="66"/>
      <x:c r="B38" s="66"/>
      <x:c r="C38" s="66"/>
      <x:c r="D38" s="66"/>
      <x:c r="E38" s="66"/>
      <x:c r="F38" s="66"/>
      <x:c r="G38" s="66"/>
      <x:c r="H38" s="66"/>
      <x:c r="I38" s="66"/>
      <x:c r="J38" s="66"/>
      <x:c r="K38" s="66"/>
      <x:c r="L38" s="66"/>
      <x:c r="M38" s="66"/>
      <x:c r="N38" s="66"/>
      <x:c r="O38" s="66"/>
      <x:c r="P38" s="66"/>
      <x:c r="Q38" s="66"/>
    </x:row>
    <x:row r="39">
      <x:c r="A39" s="66"/>
      <x:c r="B39" s="66"/>
      <x:c r="C39" s="66"/>
      <x:c r="D39" s="66"/>
      <x:c r="E39" s="66"/>
      <x:c r="F39" s="66"/>
      <x:c r="G39" s="66"/>
      <x:c r="H39" s="66"/>
      <x:c r="I39" s="66"/>
      <x:c r="J39" s="66"/>
      <x:c r="K39" s="66"/>
      <x:c r="L39" s="66"/>
      <x:c r="M39" s="66"/>
      <x:c r="N39" s="66"/>
      <x:c r="O39" s="66"/>
      <x:c r="P39" s="66"/>
      <x:c r="Q39" s="66"/>
    </x:row>
    <x:row r="40">
      <x:c r="A40" s="66"/>
      <x:c r="B40" s="66"/>
      <x:c r="C40" s="66"/>
      <x:c r="D40" s="66"/>
      <x:c r="E40" s="66"/>
      <x:c r="F40" s="66"/>
      <x:c r="G40" s="66"/>
      <x:c r="H40" s="66"/>
      <x:c r="I40" s="66"/>
      <x:c r="J40" s="66"/>
      <x:c r="K40" s="66"/>
      <x:c r="L40" s="66"/>
      <x:c r="M40" s="66"/>
      <x:c r="N40" s="66"/>
      <x:c r="O40" s="66"/>
      <x:c r="P40" s="66"/>
      <x:c r="Q40" s="66"/>
    </x:row>
  </x:sheetData>
  <x:conditionalFormatting sqref="M7:M16">
    <x:cfRule type="containsText" dxfId="22" priority="1" operator="containsText" text="Y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0" hidden="0" customWidth="1"/>
    <x:col min="2" max="2" width="15" hidden="0" customWidth="1"/>
    <x:col min="3" max="3" width="10" hidden="0" customWidth="1"/>
    <x:col min="4" max="4" width="13" hidden="0" customWidth="1"/>
    <x:col min="5" max="5" width="13" hidden="0" customWidth="1"/>
    <x:col min="6" max="6" width="10" hidden="0" customWidth="1"/>
    <x:col min="7" max="7" width="10" hidden="0" customWidth="1"/>
    <x:col min="8" max="8" width="12" hidden="0" customWidth="1"/>
    <x:col min="9" max="9" width="12" hidden="0" customWidth="1"/>
    <x:col min="10" max="10" width="24" hidden="0" customWidth="1"/>
    <x:col min="11" max="11" width="14" hidden="0" customWidth="1"/>
    <x:col min="12" max="12" width="14" hidden="0" customWidth="1"/>
    <x:col min="13" max="13" width="18" hidden="0" customWidth="1"/>
    <x:col min="14" max="14" width="14" hidden="0" customWidth="1"/>
    <x:col min="15" max="15" width="13" hidden="0" customWidth="1"/>
    <x:col min="16" max="16" width="18" hidden="0" customWidth="1"/>
    <x:col min="17" max="17" width="13" hidden="0" customWidth="1"/>
    <x:col min="18" max="18" width="20" hidden="0" customWidth="1"/>
    <x:col min="19" max="19" width="12" hidden="0" customWidth="1"/>
    <x:col min="20" max="20" width="48" hidden="0" customWidth="1"/>
    <x:col min="21" max="21" width="23" hidden="0" customWidth="1"/>
    <x:col min="22" max="22" width="23" hidden="0" customWidth="1"/>
    <x:col min="23" max="23" width="36" hidden="0" customWidth="1"/>
    <x:col min="24" max="24" width="37" hidden="0" customWidth="1"/>
  </x:cols>
  <x:sheetData>
    <x:row r="1">
      <x:c r="A1" s="39"/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  <x:c r="N1" s="39"/>
      <x:c r="O1" s="39"/>
      <x:c r="P1" s="39"/>
      <x:c r="Q1" s="39"/>
      <x:c r="R1" s="39"/>
      <x:c r="S1" s="39"/>
      <x:c r="T1" s="39"/>
    </x:row>
    <x:row r="2" ht="22" customHeight="1">
      <x:c r="A2" s="1" t="str">
        <x:v>대표 회랑 횡단보도 40건</x:v>
      </x:c>
    </x:row>
    <x:row r="3" ht="22" customHeight="1">
      <x:c r="A3" s="2" t="str">
        <x:v>회랑 표본 원자료. J열 공공 상태는 기존 결합값이며, 휠체어·시각장애 경로 해석은 U:X열을 사용합니다.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</x:row>
    <x:row r="5">
      <x:c r="A5" s="2" t="str">
        <x:v>원자료: https://www.data.go.kr/data/15042415/fileData.do</x:v>
      </x:c>
    </x:row>
    <x:row r="6" ht="32" customHeight="1">
      <x:c r="A6" s="12" t="str">
        <x:v>표본 ID</x:v>
      </x:c>
      <x:c r="B6" s="34" t="str">
        <x:v>관리번호</x:v>
      </x:c>
      <x:c r="C6" s="34" t="str">
        <x:v>관할지역</x:v>
      </x:c>
      <x:c r="D6" s="34" t="str">
        <x:v>위도</x:v>
      </x:c>
      <x:c r="E6" s="34" t="str">
        <x:v>경도</x:v>
      </x:c>
      <x:c r="F6" s="34" t="str">
        <x:v>길이(m)</x:v>
      </x:c>
      <x:c r="G6" s="34" t="str">
        <x:v>폭(m)</x:v>
      </x:c>
      <x:c r="H6" s="34" t="str">
        <x:v>보도턱</x:v>
      </x:c>
      <x:c r="I6" s="34" t="str">
        <x:v>점자블록</x:v>
      </x:c>
      <x:c r="J6" s="34" t="str">
        <x:v>공공 상태</x:v>
      </x:c>
      <x:c r="K6" s="34" t="str">
        <x:v>중심선 거리(m)</x:v>
      </x:c>
      <x:c r="L6" s="34" t="str">
        <x:v>체인리지(m)</x:v>
      </x:c>
      <x:c r="M6" s="34" t="str">
        <x:v>대체엣지 ID</x:v>
      </x:c>
      <x:c r="N6" s="34" t="str">
        <x:v>OSM way</x:v>
      </x:c>
      <x:c r="O6" s="34" t="str">
        <x:v>도로유형</x:v>
      </x:c>
      <x:c r="P6" s="34" t="str">
        <x:v>도로명</x:v>
      </x:c>
      <x:c r="Q6" s="34" t="str">
        <x:v>스냅거리(m)</x:v>
      </x:c>
      <x:c r="R6" s="34" t="str">
        <x:v>지오메트리 품질</x:v>
      </x:c>
      <x:c r="S6" s="34" t="str">
        <x:v>2인검수 표본</x:v>
      </x:c>
      <x:c r="T6" s="13" t="str">
        <x:v>로드뷰</x:v>
      </x:c>
      <x:c r="U6" s="197" t="str">
        <x:v>휠체어 공공판정</x:v>
      </x:c>
      <x:c r="V6" s="198" t="str">
        <x:v>시각장애 공공판정</x:v>
      </x:c>
      <x:c r="W6" s="198" t="str">
        <x:v>수정 경로정책</x:v>
      </x:c>
      <x:c r="X6" s="199" t="str">
        <x:v>주의</x:v>
      </x:c>
    </x:row>
    <x:row r="7" ht="38" customHeight="1">
      <x:c r="A7" s="26" t="str">
        <x:v>CW01</x:v>
      </x:c>
      <x:c r="B7" s="26" t="str">
        <x:v>2024121199</x:v>
      </x:c>
      <x:c r="C7" s="26" t="str">
        <x:v>안양1동</x:v>
      </x:c>
      <x:c r="D7" s="47" t="n">
        <x:v>37.40242493</x:v>
      </x:c>
      <x:c r="E7" s="47" t="n">
        <x:v>126.9226883</x:v>
      </x:c>
      <x:c r="F7" s="49" t="n">
        <x:v>9.08</x:v>
      </x:c>
      <x:c r="G7" s="49" t="n">
        <x:v>4.98</x:v>
      </x:c>
      <x:c r="H7" s="26" t="str"/>
      <x:c r="I7" s="26" t="str"/>
      <x:c r="J7" s="26" t="str">
        <x:v>unknown</x:v>
      </x:c>
      <x:c r="K7" s="54" t="n">
        <x:v>28.12</x:v>
      </x:c>
      <x:c r="L7" s="54" t="n">
        <x:v>0</x:v>
      </x:c>
      <x:c r="M7" s="26" t="str">
        <x:v>W589960556_S7</x:v>
      </x:c>
      <x:c r="N7" s="26" t="str">
        <x:v>589960556</x:v>
      </x:c>
      <x:c r="O7" s="26" t="str">
        <x:v>residential</x:v>
      </x:c>
      <x:c r="P7" s="26" t="str">
        <x:v>태평로</x:v>
      </x:c>
      <x:c r="Q7" s="49" t="n">
        <x:v>5.35</x:v>
      </x:c>
      <x:c r="R7" s="26" t="str">
        <x:v>provisional_high</x:v>
      </x:c>
      <x:c r="S7" s="26" t="str">
        <x:v>Y</x:v>
      </x:c>
      <x:c r="T7" s="26" t="str">
        <x:v>https://map.kakao.com/link/roadview/37.4024249,126.9226883</x:v>
      </x:c>
      <x:c r="U7" s="109" t="str">
        <x:v>unknown</x:v>
      </x:c>
      <x:c r="V7" s="109" t="str">
        <x:v>unknown</x:v>
      </x:c>
      <x:c r="W7" s="109" t="str">
        <x:v>기본경로 중립·민감도 별도</x:v>
      </x:c>
      <x:c r="X7" s="109" t="str">
        <x:v>공란을 통과 또는 차단으로 치환 금지</x:v>
      </x:c>
    </x:row>
    <x:row r="8" ht="38" customHeight="1">
      <x:c r="A8" s="28" t="str">
        <x:v>CW02</x:v>
      </x:c>
      <x:c r="B8" s="28" t="str">
        <x:v>2024121207</x:v>
      </x:c>
      <x:c r="C8" s="28" t="str">
        <x:v>안양1동</x:v>
      </x:c>
      <x:c r="D8" s="48" t="n">
        <x:v>37.40225438</x:v>
      </x:c>
      <x:c r="E8" s="48" t="n">
        <x:v>126.9216164</x:v>
      </x:c>
      <x:c r="F8" s="30" t="n">
        <x:v>7.16</x:v>
      </x:c>
      <x:c r="G8" s="30" t="n">
        <x:v>4.12</x:v>
      </x:c>
      <x:c r="H8" s="28" t="str"/>
      <x:c r="I8" s="28" t="str"/>
      <x:c r="J8" s="28" t="str">
        <x:v>unknown</x:v>
      </x:c>
      <x:c r="K8" s="55" t="n">
        <x:v>78.24</x:v>
      </x:c>
      <x:c r="L8" s="55" t="n">
        <x:v>0</x:v>
      </x:c>
      <x:c r="M8" s="28" t="str">
        <x:v>W844180368_S0</x:v>
      </x:c>
      <x:c r="N8" s="28" t="str">
        <x:v>844180368</x:v>
      </x:c>
      <x:c r="O8" s="28" t="str">
        <x:v>service</x:v>
      </x:c>
      <x:c r="P8" s="28" t="str"/>
      <x:c r="Q8" s="30" t="n">
        <x:v>0.64</x:v>
      </x:c>
      <x:c r="R8" s="28" t="str">
        <x:v>provisional_high</x:v>
      </x:c>
      <x:c r="S8" s="28" t="str">
        <x:v>N</x:v>
      </x:c>
      <x:c r="T8" s="28" t="str">
        <x:v>https://map.kakao.com/link/roadview/37.4022544,126.9216164</x:v>
      </x:c>
      <x:c r="U8" s="109" t="str">
        <x:v>unknown</x:v>
      </x:c>
      <x:c r="V8" s="109" t="str">
        <x:v>unknown</x:v>
      </x:c>
      <x:c r="W8" s="109" t="str">
        <x:v>기본경로 중립·민감도 별도</x:v>
      </x:c>
      <x:c r="X8" s="109" t="str">
        <x:v>공란을 통과 또는 차단으로 치환 금지</x:v>
      </x:c>
    </x:row>
    <x:row r="9" ht="38" customHeight="1">
      <x:c r="A9" s="28" t="str">
        <x:v>CW03</x:v>
      </x:c>
      <x:c r="B9" s="28" t="str">
        <x:v>2024121198</x:v>
      </x:c>
      <x:c r="C9" s="28" t="str">
        <x:v>안양1동</x:v>
      </x:c>
      <x:c r="D9" s="48" t="n">
        <x:v>37.40302041</x:v>
      </x:c>
      <x:c r="E9" s="48" t="n">
        <x:v>126.9222916</x:v>
      </x:c>
      <x:c r="F9" s="30" t="n">
        <x:v>7.02</x:v>
      </x:c>
      <x:c r="G9" s="30" t="n">
        <x:v>6.48</x:v>
      </x:c>
      <x:c r="H9" s="28" t="str"/>
      <x:c r="I9" s="28" t="str"/>
      <x:c r="J9" s="28" t="str">
        <x:v>unknown</x:v>
      </x:c>
      <x:c r="K9" s="55" t="n">
        <x:v>90.38</x:v>
      </x:c>
      <x:c r="L9" s="55" t="n">
        <x:v>0</x:v>
      </x:c>
      <x:c r="M9" s="28" t="str">
        <x:v>W589960556_S7</x:v>
      </x:c>
      <x:c r="N9" s="28" t="str">
        <x:v>589960556</x:v>
      </x:c>
      <x:c r="O9" s="28" t="str">
        <x:v>residential</x:v>
      </x:c>
      <x:c r="P9" s="28" t="str">
        <x:v>태평로</x:v>
      </x:c>
      <x:c r="Q9" s="30" t="n">
        <x:v>3.4</x:v>
      </x:c>
      <x:c r="R9" s="28" t="str">
        <x:v>provisional_high</x:v>
      </x:c>
      <x:c r="S9" s="28" t="str">
        <x:v>Y</x:v>
      </x:c>
      <x:c r="T9" s="28" t="str">
        <x:v>https://map.kakao.com/link/roadview/37.4030204,126.9222916</x:v>
      </x:c>
      <x:c r="U9" s="109" t="str">
        <x:v>unknown</x:v>
      </x:c>
      <x:c r="V9" s="109" t="str">
        <x:v>unknown</x:v>
      </x:c>
      <x:c r="W9" s="109" t="str">
        <x:v>기본경로 중립·민감도 별도</x:v>
      </x:c>
      <x:c r="X9" s="109" t="str">
        <x:v>공란을 통과 또는 차단으로 치환 금지</x:v>
      </x:c>
    </x:row>
    <x:row r="10" ht="38" customHeight="1">
      <x:c r="A10" s="28" t="str">
        <x:v>CW04</x:v>
      </x:c>
      <x:c r="B10" s="28" t="str">
        <x:v>2024121191</x:v>
      </x:c>
      <x:c r="C10" s="28" t="str">
        <x:v>안양1동</x:v>
      </x:c>
      <x:c r="D10" s="48" t="n">
        <x:v>37.40225822</x:v>
      </x:c>
      <x:c r="E10" s="48" t="n">
        <x:v>126.9214135</x:v>
      </x:c>
      <x:c r="F10" s="30" t="n">
        <x:v>14.92</x:v>
      </x:c>
      <x:c r="G10" s="30" t="n">
        <x:v>14.37</x:v>
      </x:c>
      <x:c r="H10" s="28" t="str"/>
      <x:c r="I10" s="28" t="str"/>
      <x:c r="J10" s="28" t="str">
        <x:v>unknown</x:v>
      </x:c>
      <x:c r="K10" s="55" t="n">
        <x:v>96.18</x:v>
      </x:c>
      <x:c r="L10" s="55" t="n">
        <x:v>0</x:v>
      </x:c>
      <x:c r="M10" s="28" t="str">
        <x:v>W915477947_S2</x:v>
      </x:c>
      <x:c r="N10" s="28" t="str">
        <x:v>915477947</x:v>
      </x:c>
      <x:c r="O10" s="28" t="str">
        <x:v>tertiary</x:v>
      </x:c>
      <x:c r="P10" s="28" t="str">
        <x:v>만안로</x:v>
      </x:c>
      <x:c r="Q10" s="30" t="n">
        <x:v>4.72</x:v>
      </x:c>
      <x:c r="R10" s="28" t="str">
        <x:v>provisional_high</x:v>
      </x:c>
      <x:c r="S10" s="28" t="str">
        <x:v>N</x:v>
      </x:c>
      <x:c r="T10" s="28" t="str">
        <x:v>https://map.kakao.com/link/roadview/37.4022582,126.9214135</x:v>
      </x:c>
      <x:c r="U10" s="109" t="str">
        <x:v>unknown</x:v>
      </x:c>
      <x:c r="V10" s="109" t="str">
        <x:v>unknown</x:v>
      </x:c>
      <x:c r="W10" s="109" t="str">
        <x:v>기본경로 중립·민감도 별도</x:v>
      </x:c>
      <x:c r="X10" s="109" t="str">
        <x:v>공란을 통과 또는 차단으로 치환 금지</x:v>
      </x:c>
    </x:row>
    <x:row r="11" ht="38" customHeight="1">
      <x:c r="A11" s="28" t="str">
        <x:v>CW05</x:v>
      </x:c>
      <x:c r="B11" s="28" t="str">
        <x:v>2024121201</x:v>
      </x:c>
      <x:c r="C11" s="28" t="str">
        <x:v>안양1동</x:v>
      </x:c>
      <x:c r="D11" s="48" t="n">
        <x:v>37.40217779</x:v>
      </x:c>
      <x:c r="E11" s="48" t="n">
        <x:v>126.9229561</x:v>
      </x:c>
      <x:c r="F11" s="30" t="n">
        <x:v>8.25</x:v>
      </x:c>
      <x:c r="G11" s="30" t="n">
        <x:v>7.71</x:v>
      </x:c>
      <x:c r="H11" s="28" t="str"/>
      <x:c r="I11" s="28" t="str"/>
      <x:c r="J11" s="28" t="str">
        <x:v>unknown</x:v>
      </x:c>
      <x:c r="K11" s="55" t="n">
        <x:v>39.13</x:v>
      </x:c>
      <x:c r="L11" s="55" t="n">
        <x:v>10.83</x:v>
      </x:c>
      <x:c r="M11" s="28" t="str">
        <x:v>W589960556_S6</x:v>
      </x:c>
      <x:c r="N11" s="28" t="str">
        <x:v>589960556</x:v>
      </x:c>
      <x:c r="O11" s="28" t="str">
        <x:v>residential</x:v>
      </x:c>
      <x:c r="P11" s="28" t="str">
        <x:v>태평로</x:v>
      </x:c>
      <x:c r="Q11" s="30" t="n">
        <x:v>0.47</x:v>
      </x:c>
      <x:c r="R11" s="28" t="str">
        <x:v>provisional_high</x:v>
      </x:c>
      <x:c r="S11" s="28" t="str">
        <x:v>Y</x:v>
      </x:c>
      <x:c r="T11" s="28" t="str">
        <x:v>https://map.kakao.com/link/roadview/37.4021778,126.9229561</x:v>
      </x:c>
      <x:c r="U11" s="109" t="str">
        <x:v>unknown</x:v>
      </x:c>
      <x:c r="V11" s="109" t="str">
        <x:v>unknown</x:v>
      </x:c>
      <x:c r="W11" s="109" t="str">
        <x:v>기본경로 중립·민감도 별도</x:v>
      </x:c>
      <x:c r="X11" s="109" t="str">
        <x:v>공란을 통과 또는 차단으로 치환 금지</x:v>
      </x:c>
    </x:row>
    <x:row r="12" ht="38" customHeight="1">
      <x:c r="A12" s="28" t="str">
        <x:v>CW06</x:v>
      </x:c>
      <x:c r="B12" s="28" t="str">
        <x:v>2024121072</x:v>
      </x:c>
      <x:c r="C12" s="28" t="str">
        <x:v>안양1동</x:v>
      </x:c>
      <x:c r="D12" s="48" t="n">
        <x:v>37.40180602</x:v>
      </x:c>
      <x:c r="E12" s="48" t="n">
        <x:v>126.921626</x:v>
      </x:c>
      <x:c r="F12" s="30" t="n">
        <x:v>11.1</x:v>
      </x:c>
      <x:c r="G12" s="30" t="n">
        <x:v>7.96</x:v>
      </x:c>
      <x:c r="H12" s="28" t="str"/>
      <x:c r="I12" s="28" t="str"/>
      <x:c r="J12" s="28" t="str">
        <x:v>unknown</x:v>
      </x:c>
      <x:c r="K12" s="55" t="n">
        <x:v>83.43</x:v>
      </x:c>
      <x:c r="L12" s="55" t="n">
        <x:v>33.29</x:v>
      </x:c>
      <x:c r="M12" s="28" t="str">
        <x:v>W837321098_S0</x:v>
      </x:c>
      <x:c r="N12" s="28" t="str">
        <x:v>837321098</x:v>
      </x:c>
      <x:c r="O12" s="28" t="str">
        <x:v>residential</x:v>
      </x:c>
      <x:c r="P12" s="28" t="str">
        <x:v>만안로</x:v>
      </x:c>
      <x:c r="Q12" s="30" t="n">
        <x:v>1.4</x:v>
      </x:c>
      <x:c r="R12" s="28" t="str">
        <x:v>provisional_high</x:v>
      </x:c>
      <x:c r="S12" s="28" t="str">
        <x:v>N</x:v>
      </x:c>
      <x:c r="T12" s="28" t="str">
        <x:v>https://map.kakao.com/link/roadview/37.4018060,126.9216260</x:v>
      </x:c>
      <x:c r="U12" s="109" t="str">
        <x:v>unknown</x:v>
      </x:c>
      <x:c r="V12" s="109" t="str">
        <x:v>unknown</x:v>
      </x:c>
      <x:c r="W12" s="109" t="str">
        <x:v>기본경로 중립·민감도 별도</x:v>
      </x:c>
      <x:c r="X12" s="109" t="str">
        <x:v>공란을 통과 또는 차단으로 치환 금지</x:v>
      </x:c>
    </x:row>
    <x:row r="13" ht="38" customHeight="1">
      <x:c r="A13" s="28" t="str">
        <x:v>CW07</x:v>
      </x:c>
      <x:c r="B13" s="28" t="str">
        <x:v>2024121209</x:v>
      </x:c>
      <x:c r="C13" s="28" t="str">
        <x:v>안양1동</x:v>
      </x:c>
      <x:c r="D13" s="48" t="n">
        <x:v>37.40173706</x:v>
      </x:c>
      <x:c r="E13" s="48" t="n">
        <x:v>126.9217644</x:v>
      </x:c>
      <x:c r="F13" s="30" t="n">
        <x:v>6.76</x:v>
      </x:c>
      <x:c r="G13" s="30" t="n">
        <x:v>6.05</x:v>
      </x:c>
      <x:c r="H13" s="28" t="str"/>
      <x:c r="I13" s="28" t="str"/>
      <x:c r="J13" s="28" t="str">
        <x:v>unknown</x:v>
      </x:c>
      <x:c r="K13" s="55" t="n">
        <x:v>72.51</x:v>
      </x:c>
      <x:c r="L13" s="55" t="n">
        <x:v>42.71</x:v>
      </x:c>
      <x:c r="M13" s="28" t="str">
        <x:v>W318729249_S0</x:v>
      </x:c>
      <x:c r="N13" s="28" t="str">
        <x:v>318729249</x:v>
      </x:c>
      <x:c r="O13" s="28" t="str">
        <x:v>tertiary</x:v>
      </x:c>
      <x:c r="P13" s="28" t="str">
        <x:v>만안로223번길</x:v>
      </x:c>
      <x:c r="Q13" s="30" t="n">
        <x:v>3.53</x:v>
      </x:c>
      <x:c r="R13" s="28" t="str">
        <x:v>provisional_high</x:v>
      </x:c>
      <x:c r="S13" s="28" t="str">
        <x:v>Y</x:v>
      </x:c>
      <x:c r="T13" s="28" t="str">
        <x:v>https://map.kakao.com/link/roadview/37.4017371,126.9217644</x:v>
      </x:c>
      <x:c r="U13" s="109" t="str">
        <x:v>unknown</x:v>
      </x:c>
      <x:c r="V13" s="109" t="str">
        <x:v>unknown</x:v>
      </x:c>
      <x:c r="W13" s="109" t="str">
        <x:v>기본경로 중립·민감도 별도</x:v>
      </x:c>
      <x:c r="X13" s="109" t="str">
        <x:v>공란을 통과 또는 차단으로 치환 금지</x:v>
      </x:c>
    </x:row>
    <x:row r="14" ht="38" customHeight="1">
      <x:c r="A14" s="28" t="str">
        <x:v>CW08</x:v>
      </x:c>
      <x:c r="B14" s="28" t="str">
        <x:v>2024121206</x:v>
      </x:c>
      <x:c r="C14" s="28" t="str">
        <x:v>안양1동</x:v>
      </x:c>
      <x:c r="D14" s="48" t="n">
        <x:v>37.40153402</x:v>
      </x:c>
      <x:c r="E14" s="48" t="n">
        <x:v>126.9234847</x:v>
      </x:c>
      <x:c r="F14" s="30" t="n">
        <x:v>7.25</x:v>
      </x:c>
      <x:c r="G14" s="30" t="n">
        <x:v>6.72</x:v>
      </x:c>
      <x:c r="H14" s="28" t="str"/>
      <x:c r="I14" s="28" t="str"/>
      <x:c r="J14" s="28" t="str">
        <x:v>unknown</x:v>
      </x:c>
      <x:c r="K14" s="55" t="n">
        <x:v>74.34</x:v>
      </x:c>
      <x:c r="L14" s="55" t="n">
        <x:v>88.36</x:v>
      </x:c>
      <x:c r="M14" s="28" t="str">
        <x:v>W589960556_S6</x:v>
      </x:c>
      <x:c r="N14" s="28" t="str">
        <x:v>589960556</x:v>
      </x:c>
      <x:c r="O14" s="28" t="str">
        <x:v>residential</x:v>
      </x:c>
      <x:c r="P14" s="28" t="str">
        <x:v>태평로</x:v>
      </x:c>
      <x:c r="Q14" s="30" t="n">
        <x:v>0.44</x:v>
      </x:c>
      <x:c r="R14" s="28" t="str">
        <x:v>provisional_high</x:v>
      </x:c>
      <x:c r="S14" s="28" t="str">
        <x:v>N</x:v>
      </x:c>
      <x:c r="T14" s="28" t="str">
        <x:v>https://map.kakao.com/link/roadview/37.4015340,126.9234847</x:v>
      </x:c>
      <x:c r="U14" s="109" t="str">
        <x:v>unknown</x:v>
      </x:c>
      <x:c r="V14" s="109" t="str">
        <x:v>unknown</x:v>
      </x:c>
      <x:c r="W14" s="109" t="str">
        <x:v>기본경로 중립·민감도 별도</x:v>
      </x:c>
      <x:c r="X14" s="109" t="str">
        <x:v>공란을 통과 또는 차단으로 치환 금지</x:v>
      </x:c>
    </x:row>
    <x:row r="15" ht="38" customHeight="1">
      <x:c r="A15" s="28" t="str">
        <x:v>CW09</x:v>
      </x:c>
      <x:c r="B15" s="28" t="str">
        <x:v>2024121203</x:v>
      </x:c>
      <x:c r="C15" s="28" t="str">
        <x:v>안양1동</x:v>
      </x:c>
      <x:c r="D15" s="48" t="n">
        <x:v>37.40126888</x:v>
      </x:c>
      <x:c r="E15" s="48" t="n">
        <x:v>126.9222862</x:v>
      </x:c>
      <x:c r="F15" s="30" t="n">
        <x:v>8.59</x:v>
      </x:c>
      <x:c r="G15" s="30" t="n">
        <x:v>7.16</x:v>
      </x:c>
      <x:c r="H15" s="28" t="str"/>
      <x:c r="I15" s="28" t="str"/>
      <x:c r="J15" s="28" t="str">
        <x:v>unknown</x:v>
      </x:c>
      <x:c r="K15" s="55" t="n">
        <x:v>34.9</x:v>
      </x:c>
      <x:c r="L15" s="55" t="n">
        <x:v>100.96</x:v>
      </x:c>
      <x:c r="M15" s="28" t="str">
        <x:v>W554922640_S1</x:v>
      </x:c>
      <x:c r="N15" s="28" t="str">
        <x:v>554922640</x:v>
      </x:c>
      <x:c r="O15" s="28" t="str">
        <x:v>tertiary</x:v>
      </x:c>
      <x:c r="P15" s="28" t="str">
        <x:v>만안로</x:v>
      </x:c>
      <x:c r="Q15" s="30" t="n">
        <x:v>0.58</x:v>
      </x:c>
      <x:c r="R15" s="28" t="str">
        <x:v>provisional_high</x:v>
      </x:c>
      <x:c r="S15" s="28" t="str">
        <x:v>Y</x:v>
      </x:c>
      <x:c r="T15" s="28" t="str">
        <x:v>https://map.kakao.com/link/roadview/37.4012689,126.9222862</x:v>
      </x:c>
      <x:c r="U15" s="109" t="str">
        <x:v>unknown</x:v>
      </x:c>
      <x:c r="V15" s="109" t="str">
        <x:v>unknown</x:v>
      </x:c>
      <x:c r="W15" s="109" t="str">
        <x:v>기본경로 중립·민감도 별도</x:v>
      </x:c>
      <x:c r="X15" s="109" t="str">
        <x:v>공란을 통과 또는 차단으로 치환 금지</x:v>
      </x:c>
    </x:row>
    <x:row r="16" ht="38" customHeight="1">
      <x:c r="A16" s="28" t="str">
        <x:v>CW10</x:v>
      </x:c>
      <x:c r="B16" s="28" t="str">
        <x:v>2024121208</x:v>
      </x:c>
      <x:c r="C16" s="28" t="str">
        <x:v>안양1동</x:v>
      </x:c>
      <x:c r="D16" s="48" t="n">
        <x:v>37.40125246</x:v>
      </x:c>
      <x:c r="E16" s="48" t="n">
        <x:v>126.9237238</x:v>
      </x:c>
      <x:c r="F16" s="30" t="n">
        <x:v>9.43</x:v>
      </x:c>
      <x:c r="G16" s="30" t="n">
        <x:v>8.03</x:v>
      </x:c>
      <x:c r="H16" s="28" t="str"/>
      <x:c r="I16" s="28" t="str"/>
      <x:c r="J16" s="28" t="str">
        <x:v>unknown</x:v>
      </x:c>
      <x:c r="K16" s="55" t="n">
        <x:v>90.43</x:v>
      </x:c>
      <x:c r="L16" s="55" t="n">
        <x:v>122.37</x:v>
      </x:c>
      <x:c r="M16" s="28" t="str">
        <x:v>W589960556_S5</x:v>
      </x:c>
      <x:c r="N16" s="28" t="str">
        <x:v>589960556</x:v>
      </x:c>
      <x:c r="O16" s="28" t="str">
        <x:v>residential</x:v>
      </x:c>
      <x:c r="P16" s="28" t="str">
        <x:v>태평로</x:v>
      </x:c>
      <x:c r="Q16" s="30" t="n">
        <x:v>1.35</x:v>
      </x:c>
      <x:c r="R16" s="28" t="str">
        <x:v>provisional_high</x:v>
      </x:c>
      <x:c r="S16" s="28" t="str">
        <x:v>N</x:v>
      </x:c>
      <x:c r="T16" s="28" t="str">
        <x:v>https://map.kakao.com/link/roadview/37.4012525,126.9237238</x:v>
      </x:c>
      <x:c r="U16" s="109" t="str">
        <x:v>unknown</x:v>
      </x:c>
      <x:c r="V16" s="109" t="str">
        <x:v>unknown</x:v>
      </x:c>
      <x:c r="W16" s="109" t="str">
        <x:v>기본경로 중립·민감도 별도</x:v>
      </x:c>
      <x:c r="X16" s="109" t="str">
        <x:v>공란을 통과 또는 차단으로 치환 금지</x:v>
      </x:c>
    </x:row>
    <x:row r="17" ht="38" customHeight="1">
      <x:c r="A17" s="28" t="str">
        <x:v>CW11</x:v>
      </x:c>
      <x:c r="B17" s="28" t="str">
        <x:v>2024121196</x:v>
      </x:c>
      <x:c r="C17" s="28" t="str">
        <x:v>안양1동</x:v>
      </x:c>
      <x:c r="D17" s="48" t="n">
        <x:v>37.40103172</x:v>
      </x:c>
      <x:c r="E17" s="48" t="n">
        <x:v>126.9227142</x:v>
      </x:c>
      <x:c r="F17" s="30" t="n">
        <x:v>4.57</x:v>
      </x:c>
      <x:c r="G17" s="30" t="n">
        <x:v>4.56</x:v>
      </x:c>
      <x:c r="H17" s="28" t="str"/>
      <x:c r="I17" s="28" t="str"/>
      <x:c r="J17" s="28" t="str">
        <x:v>unknown</x:v>
      </x:c>
      <x:c r="K17" s="55" t="n">
        <x:v>1.55</x:v>
      </x:c>
      <x:c r="L17" s="55" t="n">
        <x:v>132.7</x:v>
      </x:c>
      <x:c r="M17" s="28" t="str">
        <x:v>W837321092_S6</x:v>
      </x:c>
      <x:c r="N17" s="28" t="str">
        <x:v>837321092</x:v>
      </x:c>
      <x:c r="O17" s="28" t="str">
        <x:v>service</x:v>
      </x:c>
      <x:c r="P17" s="28" t="str"/>
      <x:c r="Q17" s="30" t="n">
        <x:v>4.77</x:v>
      </x:c>
      <x:c r="R17" s="28" t="str">
        <x:v>provisional_high</x:v>
      </x:c>
      <x:c r="S17" s="28" t="str">
        <x:v>N</x:v>
      </x:c>
      <x:c r="T17" s="28" t="str">
        <x:v>https://map.kakao.com/link/roadview/37.4010317,126.9227142</x:v>
      </x:c>
      <x:c r="U17" s="109" t="str">
        <x:v>unknown</x:v>
      </x:c>
      <x:c r="V17" s="109" t="str">
        <x:v>unknown</x:v>
      </x:c>
      <x:c r="W17" s="109" t="str">
        <x:v>기본경로 중립·민감도 별도</x:v>
      </x:c>
      <x:c r="X17" s="109" t="str">
        <x:v>공란을 통과 또는 차단으로 치환 금지</x:v>
      </x:c>
    </x:row>
    <x:row r="18" ht="38" customHeight="1">
      <x:c r="A18" s="28" t="str">
        <x:v>CW12</x:v>
      </x:c>
      <x:c r="B18" s="28" t="str">
        <x:v>2024121197</x:v>
      </x:c>
      <x:c r="C18" s="28" t="str">
        <x:v>안양1동</x:v>
      </x:c>
      <x:c r="D18" s="48" t="n">
        <x:v>37.40100243</x:v>
      </x:c>
      <x:c r="E18" s="48" t="n">
        <x:v>126.9226606</x:v>
      </x:c>
      <x:c r="F18" s="30" t="n">
        <x:v>3.39</x:v>
      </x:c>
      <x:c r="G18" s="30" t="n">
        <x:v>2.87</x:v>
      </x:c>
      <x:c r="H18" s="28" t="str"/>
      <x:c r="I18" s="28" t="str"/>
      <x:c r="J18" s="28" t="str">
        <x:v>unknown</x:v>
      </x:c>
      <x:c r="K18" s="55" t="n">
        <x:v>6.73</x:v>
      </x:c>
      <x:c r="L18" s="55" t="n">
        <x:v>135.17</x:v>
      </x:c>
      <x:c r="M18" s="28" t="str">
        <x:v>W837321092_S6</x:v>
      </x:c>
      <x:c r="N18" s="28" t="str">
        <x:v>837321092</x:v>
      </x:c>
      <x:c r="O18" s="28" t="str">
        <x:v>service</x:v>
      </x:c>
      <x:c r="P18" s="28" t="str"/>
      <x:c r="Q18" s="30" t="n">
        <x:v>0.96</x:v>
      </x:c>
      <x:c r="R18" s="28" t="str">
        <x:v>provisional_high</x:v>
      </x:c>
      <x:c r="S18" s="28" t="str">
        <x:v>Y</x:v>
      </x:c>
      <x:c r="T18" s="28" t="str">
        <x:v>https://map.kakao.com/link/roadview/37.4010024,126.9226606</x:v>
      </x:c>
      <x:c r="U18" s="109" t="str">
        <x:v>unknown</x:v>
      </x:c>
      <x:c r="V18" s="109" t="str">
        <x:v>unknown</x:v>
      </x:c>
      <x:c r="W18" s="109" t="str">
        <x:v>기본경로 중립·민감도 별도</x:v>
      </x:c>
      <x:c r="X18" s="109" t="str">
        <x:v>공란을 통과 또는 차단으로 치환 금지</x:v>
      </x:c>
    </x:row>
    <x:row r="19" ht="38" customHeight="1">
      <x:c r="A19" s="28" t="str">
        <x:v>CW13</x:v>
      </x:c>
      <x:c r="B19" s="28" t="str">
        <x:v>2024121190</x:v>
      </x:c>
      <x:c r="C19" s="28" t="str">
        <x:v>안양1동</x:v>
      </x:c>
      <x:c r="D19" s="48" t="n">
        <x:v>37.400866</x:v>
      </x:c>
      <x:c r="E19" s="48" t="n">
        <x:v>126.9218769</x:v>
      </x:c>
      <x:c r="F19" s="30" t="n">
        <x:v>12.89</x:v>
      </x:c>
      <x:c r="G19" s="30" t="n">
        <x:v>11.18</x:v>
      </x:c>
      <x:c r="H19" s="28" t="str"/>
      <x:c r="I19" s="28" t="str"/>
      <x:c r="J19" s="28" t="str">
        <x:v>unknown</x:v>
      </x:c>
      <x:c r="K19" s="55" t="n">
        <x:v>77.54</x:v>
      </x:c>
      <x:c r="L19" s="55" t="n">
        <x:v>139.38</x:v>
      </x:c>
      <x:c r="M19" s="28" t="str">
        <x:v>W318729204_S2</x:v>
      </x:c>
      <x:c r="N19" s="28" t="str">
        <x:v>318729204</x:v>
      </x:c>
      <x:c r="O19" s="28" t="str">
        <x:v>tertiary</x:v>
      </x:c>
      <x:c r="P19" s="28" t="str"/>
      <x:c r="Q19" s="30" t="n">
        <x:v>1.68</x:v>
      </x:c>
      <x:c r="R19" s="28" t="str">
        <x:v>provisional_high</x:v>
      </x:c>
      <x:c r="S19" s="28" t="str">
        <x:v>N</x:v>
      </x:c>
      <x:c r="T19" s="28" t="str">
        <x:v>https://map.kakao.com/link/roadview/37.4008660,126.9218769</x:v>
      </x:c>
      <x:c r="U19" s="109" t="str">
        <x:v>unknown</x:v>
      </x:c>
      <x:c r="V19" s="109" t="str">
        <x:v>unknown</x:v>
      </x:c>
      <x:c r="W19" s="109" t="str">
        <x:v>기본경로 중립·민감도 별도</x:v>
      </x:c>
      <x:c r="X19" s="109" t="str">
        <x:v>공란을 통과 또는 차단으로 치환 금지</x:v>
      </x:c>
    </x:row>
    <x:row r="20" ht="38" customHeight="1">
      <x:c r="A20" s="28" t="str">
        <x:v>CW14</x:v>
      </x:c>
      <x:c r="B20" s="28" t="str">
        <x:v>2024120086</x:v>
      </x:c>
      <x:c r="C20" s="28" t="str">
        <x:v>안양1동</x:v>
      </x:c>
      <x:c r="D20" s="48" t="n">
        <x:v>37.39955921</x:v>
      </x:c>
      <x:c r="E20" s="48" t="n">
        <x:v>126.9238808</x:v>
      </x:c>
      <x:c r="F20" s="30" t="n">
        <x:v>16.2</x:v>
      </x:c>
      <x:c r="G20" s="30" t="n">
        <x:v>15.79</x:v>
      </x:c>
      <x:c r="H20" s="28" t="str"/>
      <x:c r="I20" s="28" t="str"/>
      <x:c r="J20" s="28" t="str">
        <x:v>unknown</x:v>
      </x:c>
      <x:c r="K20" s="55" t="n">
        <x:v>75.28</x:v>
      </x:c>
      <x:c r="L20" s="55" t="n">
        <x:v>309.44</x:v>
      </x:c>
      <x:c r="M20" s="28" t="str">
        <x:v>W318729248_S38</x:v>
      </x:c>
      <x:c r="N20" s="28" t="str">
        <x:v>318729248</x:v>
      </x:c>
      <x:c r="O20" s="28" t="str">
        <x:v>tertiary</x:v>
      </x:c>
      <x:c r="P20" s="28" t="str">
        <x:v>만안로</x:v>
      </x:c>
      <x:c r="Q20" s="30" t="n">
        <x:v>0.47</x:v>
      </x:c>
      <x:c r="R20" s="28" t="str">
        <x:v>provisional_high</x:v>
      </x:c>
      <x:c r="S20" s="28" t="str">
        <x:v>Y</x:v>
      </x:c>
      <x:c r="T20" s="28" t="str">
        <x:v>https://map.kakao.com/link/roadview/37.3995592,126.9238808</x:v>
      </x:c>
      <x:c r="U20" s="109" t="str">
        <x:v>unknown</x:v>
      </x:c>
      <x:c r="V20" s="109" t="str">
        <x:v>unknown</x:v>
      </x:c>
      <x:c r="W20" s="109" t="str">
        <x:v>기본경로 중립·민감도 별도</x:v>
      </x:c>
      <x:c r="X20" s="109" t="str">
        <x:v>공란을 통과 또는 차단으로 치환 금지</x:v>
      </x:c>
    </x:row>
    <x:row r="21" ht="38" customHeight="1">
      <x:c r="A21" s="28" t="str">
        <x:v>CW15</x:v>
      </x:c>
      <x:c r="B21" s="28" t="str">
        <x:v>2024122521</x:v>
      </x:c>
      <x:c r="C21" s="28" t="str">
        <x:v>안양1동</x:v>
      </x:c>
      <x:c r="D21" s="48" t="n">
        <x:v>37.39838246</x:v>
      </x:c>
      <x:c r="E21" s="48" t="n">
        <x:v>126.9242529</x:v>
      </x:c>
      <x:c r="F21" s="30" t="n">
        <x:v>14.47</x:v>
      </x:c>
      <x:c r="G21" s="30" t="n">
        <x:v>12.5</x:v>
      </x:c>
      <x:c r="H21" s="28" t="str"/>
      <x:c r="I21" s="28" t="str"/>
      <x:c r="J21" s="28" t="str">
        <x:v>unknown</x:v>
      </x:c>
      <x:c r="K21" s="55" t="n">
        <x:v>86.86</x:v>
      </x:c>
      <x:c r="L21" s="55" t="n">
        <x:v>444.55</x:v>
      </x:c>
      <x:c r="M21" s="28" t="str">
        <x:v>W380073444_S0</x:v>
      </x:c>
      <x:c r="N21" s="28" t="str">
        <x:v>380073444</x:v>
      </x:c>
      <x:c r="O21" s="28" t="str">
        <x:v>tertiary</x:v>
      </x:c>
      <x:c r="P21" s="28" t="str">
        <x:v>일번가지하차도</x:v>
      </x:c>
      <x:c r="Q21" s="30" t="n">
        <x:v>0.73</x:v>
      </x:c>
      <x:c r="R21" s="28" t="str">
        <x:v>provisional_high</x:v>
      </x:c>
      <x:c r="S21" s="28" t="str">
        <x:v>N</x:v>
      </x:c>
      <x:c r="T21" s="28" t="str">
        <x:v>https://map.kakao.com/link/roadview/37.3983825,126.9242529</x:v>
      </x:c>
      <x:c r="U21" s="109" t="str">
        <x:v>unknown</x:v>
      </x:c>
      <x:c r="V21" s="109" t="str">
        <x:v>unknown</x:v>
      </x:c>
      <x:c r="W21" s="109" t="str">
        <x:v>기본경로 중립·민감도 별도</x:v>
      </x:c>
      <x:c r="X21" s="109" t="str">
        <x:v>공란을 통과 또는 차단으로 치환 금지</x:v>
      </x:c>
    </x:row>
    <x:row r="22" ht="38" customHeight="1">
      <x:c r="A22" s="28" t="str">
        <x:v>CW16</x:v>
      </x:c>
      <x:c r="B22" s="28" t="str">
        <x:v>2024122517</x:v>
      </x:c>
      <x:c r="C22" s="28" t="str">
        <x:v>안양1동</x:v>
      </x:c>
      <x:c r="D22" s="48" t="n">
        <x:v>37.39758646</x:v>
      </x:c>
      <x:c r="E22" s="48" t="n">
        <x:v>126.9227402</x:v>
      </x:c>
      <x:c r="F22" s="30" t="n">
        <x:v>18.19</x:v>
      </x:c>
      <x:c r="G22" s="30" t="n">
        <x:v>12.5</x:v>
      </x:c>
      <x:c r="H22" s="28" t="str"/>
      <x:c r="I22" s="28" t="str"/>
      <x:c r="J22" s="28" t="str">
        <x:v>unknown</x:v>
      </x:c>
      <x:c r="K22" s="55" t="n">
        <x:v>60.02</x:v>
      </x:c>
      <x:c r="L22" s="55" t="n">
        <x:v>508.32</x:v>
      </x:c>
      <x:c r="M22" s="28" t="str">
        <x:v>W863717799_S8</x:v>
      </x:c>
      <x:c r="N22" s="28" t="str">
        <x:v>863717799</x:v>
      </x:c>
      <x:c r="O22" s="28" t="str">
        <x:v>tertiary</x:v>
      </x:c>
      <x:c r="P22" s="28" t="str">
        <x:v>장내로</x:v>
      </x:c>
      <x:c r="Q22" s="30" t="n">
        <x:v>1.36</x:v>
      </x:c>
      <x:c r="R22" s="28" t="str">
        <x:v>provisional_high</x:v>
      </x:c>
      <x:c r="S22" s="28" t="str">
        <x:v>Y</x:v>
      </x:c>
      <x:c r="T22" s="28" t="str">
        <x:v>https://map.kakao.com/link/roadview/37.3975865,126.9227402</x:v>
      </x:c>
      <x:c r="U22" s="109" t="str">
        <x:v>unknown</x:v>
      </x:c>
      <x:c r="V22" s="109" t="str">
        <x:v>unknown</x:v>
      </x:c>
      <x:c r="W22" s="109" t="str">
        <x:v>기본경로 중립·민감도 별도</x:v>
      </x:c>
      <x:c r="X22" s="109" t="str">
        <x:v>공란을 통과 또는 차단으로 치환 금지</x:v>
      </x:c>
    </x:row>
    <x:row r="23" ht="38" customHeight="1">
      <x:c r="A23" s="28" t="str">
        <x:v>CW17</x:v>
      </x:c>
      <x:c r="B23" s="28" t="str">
        <x:v>2024122512</x:v>
      </x:c>
      <x:c r="C23" s="28" t="str">
        <x:v>안양1동</x:v>
      </x:c>
      <x:c r="D23" s="48" t="n">
        <x:v>37.39670022</x:v>
      </x:c>
      <x:c r="E23" s="48" t="n">
        <x:v>126.9233629</x:v>
      </x:c>
      <x:c r="F23" s="30" t="n">
        <x:v>7.37</x:v>
      </x:c>
      <x:c r="G23" s="30" t="n">
        <x:v>6.22</x:v>
      </x:c>
      <x:c r="H23" s="28" t="str"/>
      <x:c r="I23" s="28" t="str"/>
      <x:c r="J23" s="28" t="str">
        <x:v>unknown</x:v>
      </x:c>
      <x:c r="K23" s="55" t="n">
        <x:v>22.55</x:v>
      </x:c>
      <x:c r="L23" s="55" t="n">
        <x:v>614.27</x:v>
      </x:c>
      <x:c r="M23" s="28" t="str">
        <x:v>W380063841_S0</x:v>
      </x:c>
      <x:c r="N23" s="28" t="str">
        <x:v>380063841</x:v>
      </x:c>
      <x:c r="O23" s="28" t="str">
        <x:v>residential</x:v>
      </x:c>
      <x:c r="P23" s="28" t="str">
        <x:v>안양로268번길</x:v>
      </x:c>
      <x:c r="Q23" s="30" t="n">
        <x:v>0.19</x:v>
      </x:c>
      <x:c r="R23" s="28" t="str">
        <x:v>provisional_high</x:v>
      </x:c>
      <x:c r="S23" s="28" t="str">
        <x:v>N</x:v>
      </x:c>
      <x:c r="T23" s="28" t="str">
        <x:v>https://map.kakao.com/link/roadview/37.3967002,126.9233629</x:v>
      </x:c>
      <x:c r="U23" s="109" t="str">
        <x:v>unknown</x:v>
      </x:c>
      <x:c r="V23" s="109" t="str">
        <x:v>unknown</x:v>
      </x:c>
      <x:c r="W23" s="109" t="str">
        <x:v>기본경로 중립·민감도 별도</x:v>
      </x:c>
      <x:c r="X23" s="109" t="str">
        <x:v>공란을 통과 또는 차단으로 치환 금지</x:v>
      </x:c>
    </x:row>
    <x:row r="24" ht="38" customHeight="1">
      <x:c r="A24" s="28" t="str">
        <x:v>CW18</x:v>
      </x:c>
      <x:c r="B24" s="28" t="str">
        <x:v>2024122514</x:v>
      </x:c>
      <x:c r="C24" s="28" t="str">
        <x:v>안양1동</x:v>
      </x:c>
      <x:c r="D24" s="48" t="n">
        <x:v>37.39585333</x:v>
      </x:c>
      <x:c r="E24" s="48" t="n">
        <x:v>126.9240758</x:v>
      </x:c>
      <x:c r="F24" s="30" t="n">
        <x:v>9.32</x:v>
      </x:c>
      <x:c r="G24" s="30" t="n">
        <x:v>8.15</x:v>
      </x:c>
      <x:c r="H24" s="28" t="str"/>
      <x:c r="I24" s="28" t="str"/>
      <x:c r="J24" s="28" t="str">
        <x:v>unknown</x:v>
      </x:c>
      <x:c r="K24" s="55" t="n">
        <x:v>23.52</x:v>
      </x:c>
      <x:c r="L24" s="55" t="n">
        <x:v>717.3</x:v>
      </x:c>
      <x:c r="M24" s="28" t="str">
        <x:v>W38609253_S0</x:v>
      </x:c>
      <x:c r="N24" s="28" t="str">
        <x:v>38609253</x:v>
      </x:c>
      <x:c r="O24" s="28" t="str">
        <x:v>residential</x:v>
      </x:c>
      <x:c r="P24" s="28" t="str">
        <x:v>안양로258번길</x:v>
      </x:c>
      <x:c r="Q24" s="30" t="n">
        <x:v>0.86</x:v>
      </x:c>
      <x:c r="R24" s="28" t="str">
        <x:v>provisional_high</x:v>
      </x:c>
      <x:c r="S24" s="28" t="str">
        <x:v>Y</x:v>
      </x:c>
      <x:c r="T24" s="28" t="str">
        <x:v>https://map.kakao.com/link/roadview/37.3958533,126.9240758</x:v>
      </x:c>
      <x:c r="U24" s="109" t="str">
        <x:v>unknown</x:v>
      </x:c>
      <x:c r="V24" s="109" t="str">
        <x:v>unknown</x:v>
      </x:c>
      <x:c r="W24" s="109" t="str">
        <x:v>기본경로 중립·민감도 별도</x:v>
      </x:c>
      <x:c r="X24" s="109" t="str">
        <x:v>공란을 통과 또는 차단으로 치환 금지</x:v>
      </x:c>
    </x:row>
    <x:row r="25" ht="38" customHeight="1">
      <x:c r="A25" s="28" t="str">
        <x:v>CW19</x:v>
      </x:c>
      <x:c r="B25" s="28" t="str">
        <x:v>2024120083</x:v>
      </x:c>
      <x:c r="C25" s="28" t="str">
        <x:v>안양1동</x:v>
      </x:c>
      <x:c r="D25" s="48" t="n">
        <x:v>37.39567724</x:v>
      </x:c>
      <x:c r="E25" s="48" t="n">
        <x:v>126.9240285</x:v>
      </x:c>
      <x:c r="F25" s="30" t="n">
        <x:v>23.32</x:v>
      </x:c>
      <x:c r="G25" s="30" t="n">
        <x:v>19.29</x:v>
      </x:c>
      <x:c r="H25" s="28" t="str"/>
      <x:c r="I25" s="28" t="str"/>
      <x:c r="J25" s="28" t="str">
        <x:v>unknown</x:v>
      </x:c>
      <x:c r="K25" s="55" t="n">
        <x:v>16.07</x:v>
      </x:c>
      <x:c r="L25" s="55" t="n">
        <x:v>735.76</x:v>
      </x:c>
      <x:c r="M25" s="28" t="str">
        <x:v>W38609408_S8</x:v>
      </x:c>
      <x:c r="N25" s="28" t="str">
        <x:v>38609408</x:v>
      </x:c>
      <x:c r="O25" s="28" t="str">
        <x:v>tertiary</x:v>
      </x:c>
      <x:c r="P25" s="28" t="str">
        <x:v>안양로</x:v>
      </x:c>
      <x:c r="Q25" s="30" t="n">
        <x:v>0.55</x:v>
      </x:c>
      <x:c r="R25" s="28" t="str">
        <x:v>provisional_high</x:v>
      </x:c>
      <x:c r="S25" s="28" t="str">
        <x:v>N</x:v>
      </x:c>
      <x:c r="T25" s="28" t="str">
        <x:v>https://map.kakao.com/link/roadview/37.3956772,126.9240285</x:v>
      </x:c>
      <x:c r="U25" s="109" t="str">
        <x:v>unknown</x:v>
      </x:c>
      <x:c r="V25" s="109" t="str">
        <x:v>unknown</x:v>
      </x:c>
      <x:c r="W25" s="109" t="str">
        <x:v>기본경로 중립·민감도 별도</x:v>
      </x:c>
      <x:c r="X25" s="109" t="str">
        <x:v>공란을 통과 또는 차단으로 치환 금지</x:v>
      </x:c>
    </x:row>
    <x:row r="26" ht="38" customHeight="1">
      <x:c r="A26" s="28" t="str">
        <x:v>CW20</x:v>
      </x:c>
      <x:c r="B26" s="28" t="str">
        <x:v>2024120362</x:v>
      </x:c>
      <x:c r="C26" s="28" t="str">
        <x:v>안양1동</x:v>
      </x:c>
      <x:c r="D26" s="48" t="n">
        <x:v>37.39440509</x:v>
      </x:c>
      <x:c r="E26" s="48" t="n">
        <x:v>126.9251215</x:v>
      </x:c>
      <x:c r="F26" s="30" t="n">
        <x:v>22.73</x:v>
      </x:c>
      <x:c r="G26" s="30" t="n">
        <x:v>18.36</x:v>
      </x:c>
      <x:c r="H26" s="28" t="str"/>
      <x:c r="I26" s="28" t="str"/>
      <x:c r="J26" s="28" t="str">
        <x:v>unknown</x:v>
      </x:c>
      <x:c r="K26" s="55" t="n">
        <x:v>85.24</x:v>
      </x:c>
      <x:c r="L26" s="55" t="n">
        <x:v>896.76</x:v>
      </x:c>
      <x:c r="M26" s="28" t="str">
        <x:v>W38609408_S9</x:v>
      </x:c>
      <x:c r="N26" s="28" t="str">
        <x:v>38609408</x:v>
      </x:c>
      <x:c r="O26" s="28" t="str">
        <x:v>tertiary</x:v>
      </x:c>
      <x:c r="P26" s="28" t="str">
        <x:v>안양로</x:v>
      </x:c>
      <x:c r="Q26" s="30" t="n">
        <x:v>2.18</x:v>
      </x:c>
      <x:c r="R26" s="28" t="str">
        <x:v>provisional_high</x:v>
      </x:c>
      <x:c r="S26" s="28" t="str">
        <x:v>Y</x:v>
      </x:c>
      <x:c r="T26" s="28" t="str">
        <x:v>https://map.kakao.com/link/roadview/37.3944051,126.9251215</x:v>
      </x:c>
      <x:c r="U26" s="109" t="str">
        <x:v>unknown</x:v>
      </x:c>
      <x:c r="V26" s="109" t="str">
        <x:v>unknown</x:v>
      </x:c>
      <x:c r="W26" s="109" t="str">
        <x:v>기본경로 중립·민감도 별도</x:v>
      </x:c>
      <x:c r="X26" s="109" t="str">
        <x:v>공란을 통과 또는 차단으로 치환 금지</x:v>
      </x:c>
    </x:row>
    <x:row r="27" ht="38" customHeight="1">
      <x:c r="A27" s="28" t="str">
        <x:v>CW21</x:v>
      </x:c>
      <x:c r="B27" s="28" t="str">
        <x:v>2025085034</x:v>
      </x:c>
      <x:c r="C27" s="28" t="str">
        <x:v>안양1동</x:v>
      </x:c>
      <x:c r="D27" s="48" t="n">
        <x:v>37.39307064</x:v>
      </x:c>
      <x:c r="E27" s="48" t="n">
        <x:v>126.923197</x:v>
      </x:c>
      <x:c r="F27" s="30" t="n">
        <x:v>8.71</x:v>
      </x:c>
      <x:c r="G27" s="30" t="n">
        <x:v>6</x:v>
      </x:c>
      <x:c r="H27" s="28" t="str">
        <x:v>있음</x:v>
      </x:c>
      <x:c r="I27" s="28" t="str">
        <x:v>있음</x:v>
      </x:c>
      <x:c r="J27" s="28" t="str">
        <x:v>public_explicit_present</x:v>
      </x:c>
      <x:c r="K27" s="55" t="n">
        <x:v>115.2</x:v>
      </x:c>
      <x:c r="L27" s="55" t="n">
        <x:v>999.48</x:v>
      </x:c>
      <x:c r="M27" s="28" t="str">
        <x:v>W38609292_S2</x:v>
      </x:c>
      <x:c r="N27" s="28" t="str">
        <x:v>38609292</x:v>
      </x:c>
      <x:c r="O27" s="28" t="str">
        <x:v>tertiary</x:v>
      </x:c>
      <x:c r="P27" s="28" t="str">
        <x:v>삼덕로</x:v>
      </x:c>
      <x:c r="Q27" s="30" t="n">
        <x:v>0.34</x:v>
      </x:c>
      <x:c r="R27" s="28" t="str">
        <x:v>provisional_high</x:v>
      </x:c>
      <x:c r="S27" s="28" t="str">
        <x:v>Y</x:v>
      </x:c>
      <x:c r="T27" s="28" t="str">
        <x:v>https://map.kakao.com/link/roadview/37.3930706,126.9231970</x:v>
      </x:c>
      <x:c r="U27" s="109" t="str">
        <x:v>낮춤 설치 명시 후보</x:v>
      </x:c>
      <x:c r="V27" s="109" t="str">
        <x:v>점자 설치 명시 후보</x:v>
      </x:c>
      <x:c r="W27" s="109" t="str">
        <x:v>사람 확인 전 하드차단 N</x:v>
      </x:c>
      <x:c r="X27" s="109" t="str">
        <x:v>자산 단위이며 양단 미확인</x:v>
      </x:c>
    </x:row>
    <x:row r="28" ht="38" customHeight="1">
      <x:c r="A28" s="28" t="str">
        <x:v>CW22</x:v>
      </x:c>
      <x:c r="B28" s="28" t="str">
        <x:v>2025085029</x:v>
      </x:c>
      <x:c r="C28" s="28" t="str">
        <x:v>안양1동</x:v>
      </x:c>
      <x:c r="D28" s="48" t="n">
        <x:v>37.39217999</x:v>
      </x:c>
      <x:c r="E28" s="48" t="n">
        <x:v>126.9236939</x:v>
      </x:c>
      <x:c r="F28" s="30" t="n">
        <x:v>15.9</x:v>
      </x:c>
      <x:c r="G28" s="30" t="n">
        <x:v>5.96</x:v>
      </x:c>
      <x:c r="H28" s="28" t="str">
        <x:v>있음</x:v>
      </x:c>
      <x:c r="I28" s="28" t="str">
        <x:v>있음</x:v>
      </x:c>
      <x:c r="J28" s="28" t="str">
        <x:v>public_explicit_present</x:v>
      </x:c>
      <x:c r="K28" s="55" t="n">
        <x:v>95.98</x:v>
      </x:c>
      <x:c r="L28" s="55" t="n">
        <x:v>1105.57</x:v>
      </x:c>
      <x:c r="M28" s="28" t="str">
        <x:v>W38609097_S14</x:v>
      </x:c>
      <x:c r="N28" s="28" t="str">
        <x:v>38609097</x:v>
      </x:c>
      <x:c r="O28" s="28" t="str">
        <x:v>tertiary</x:v>
      </x:c>
      <x:c r="P28" s="28" t="str">
        <x:v>냉천로</x:v>
      </x:c>
      <x:c r="Q28" s="30" t="n">
        <x:v>4.12</x:v>
      </x:c>
      <x:c r="R28" s="28" t="str">
        <x:v>provisional_high</x:v>
      </x:c>
      <x:c r="S28" s="28" t="str">
        <x:v>N</x:v>
      </x:c>
      <x:c r="T28" s="28" t="str">
        <x:v>https://map.kakao.com/link/roadview/37.3921800,126.9236939</x:v>
      </x:c>
      <x:c r="U28" s="109" t="str">
        <x:v>낮춤 설치 명시 후보</x:v>
      </x:c>
      <x:c r="V28" s="109" t="str">
        <x:v>점자 설치 명시 후보</x:v>
      </x:c>
      <x:c r="W28" s="109" t="str">
        <x:v>사람 확인 전 하드차단 N</x:v>
      </x:c>
      <x:c r="X28" s="109" t="str">
        <x:v>자산 단위이며 양단 미확인</x:v>
      </x:c>
    </x:row>
    <x:row r="29" ht="38" customHeight="1">
      <x:c r="A29" s="28" t="str">
        <x:v>CW23</x:v>
      </x:c>
      <x:c r="B29" s="28" t="str">
        <x:v>2025085023</x:v>
      </x:c>
      <x:c r="C29" s="28" t="str">
        <x:v>안양1동</x:v>
      </x:c>
      <x:c r="D29" s="48" t="n">
        <x:v>37.39213835</x:v>
      </x:c>
      <x:c r="E29" s="48" t="n">
        <x:v>126.9238653</x:v>
      </x:c>
      <x:c r="F29" s="30" t="n">
        <x:v>5.82</x:v>
      </x:c>
      <x:c r="G29" s="30" t="n">
        <x:v>2.96</x:v>
      </x:c>
      <x:c r="H29" s="28" t="str">
        <x:v>있음</x:v>
      </x:c>
      <x:c r="I29" s="28" t="str">
        <x:v>있음</x:v>
      </x:c>
      <x:c r="J29" s="28" t="str">
        <x:v>public_explicit_present</x:v>
      </x:c>
      <x:c r="K29" s="55" t="n">
        <x:v>82.35</x:v>
      </x:c>
      <x:c r="L29" s="55" t="n">
        <x:v>1113.65</x:v>
      </x:c>
      <x:c r="M29" s="28" t="str">
        <x:v>W379904072_S3</x:v>
      </x:c>
      <x:c r="N29" s="28" t="str">
        <x:v>379904072</x:v>
      </x:c>
      <x:c r="O29" s="28" t="str">
        <x:v>residential</x:v>
      </x:c>
      <x:c r="P29" s="28" t="str">
        <x:v>안양로223번길</x:v>
      </x:c>
      <x:c r="Q29" s="30" t="n">
        <x:v>0.55</x:v>
      </x:c>
      <x:c r="R29" s="28" t="str">
        <x:v>provisional_high</x:v>
      </x:c>
      <x:c r="S29" s="28" t="str">
        <x:v>Y</x:v>
      </x:c>
      <x:c r="T29" s="28" t="str">
        <x:v>https://map.kakao.com/link/roadview/37.3921384,126.9238653</x:v>
      </x:c>
      <x:c r="U29" s="109" t="str">
        <x:v>낮춤 설치 명시 후보</x:v>
      </x:c>
      <x:c r="V29" s="109" t="str">
        <x:v>점자 설치 명시 후보</x:v>
      </x:c>
      <x:c r="W29" s="109" t="str">
        <x:v>사람 확인 전 하드차단 N</x:v>
      </x:c>
      <x:c r="X29" s="109" t="str">
        <x:v>자산 단위이며 양단 미확인</x:v>
      </x:c>
    </x:row>
    <x:row r="30" ht="38" customHeight="1">
      <x:c r="A30" s="28" t="str">
        <x:v>CW24</x:v>
      </x:c>
      <x:c r="B30" s="28" t="str">
        <x:v>2025085028</x:v>
      </x:c>
      <x:c r="C30" s="28" t="str">
        <x:v>안양1동</x:v>
      </x:c>
      <x:c r="D30" s="48" t="n">
        <x:v>37.39205273</x:v>
      </x:c>
      <x:c r="E30" s="48" t="n">
        <x:v>126.9236588</x:v>
      </x:c>
      <x:c r="F30" s="30" t="n">
        <x:v>13.95</x:v>
      </x:c>
      <x:c r="G30" s="30" t="n">
        <x:v>2.97</x:v>
      </x:c>
      <x:c r="H30" s="28" t="str">
        <x:v>있음</x:v>
      </x:c>
      <x:c r="I30" s="28" t="str">
        <x:v>있음</x:v>
      </x:c>
      <x:c r="J30" s="28" t="str">
        <x:v>public_explicit_present</x:v>
      </x:c>
      <x:c r="K30" s="55" t="n">
        <x:v>102.34</x:v>
      </x:c>
      <x:c r="L30" s="55" t="n">
        <x:v>1118.49</x:v>
      </x:c>
      <x:c r="M30" s="28" t="str">
        <x:v>W38609097_S14</x:v>
      </x:c>
      <x:c r="N30" s="28" t="str">
        <x:v>38609097</x:v>
      </x:c>
      <x:c r="O30" s="28" t="str">
        <x:v>tertiary</x:v>
      </x:c>
      <x:c r="P30" s="28" t="str">
        <x:v>냉천로</x:v>
      </x:c>
      <x:c r="Q30" s="30" t="n">
        <x:v>14.39</x:v>
      </x:c>
      <x:c r="R30" s="28" t="str">
        <x:v>provisional_high</x:v>
      </x:c>
      <x:c r="S30" s="28" t="str">
        <x:v>N</x:v>
      </x:c>
      <x:c r="T30" s="28" t="str">
        <x:v>https://map.kakao.com/link/roadview/37.3920527,126.9236588</x:v>
      </x:c>
      <x:c r="U30" s="109" t="str">
        <x:v>낮춤 설치 명시 후보</x:v>
      </x:c>
      <x:c r="V30" s="109" t="str">
        <x:v>점자 설치 명시 후보</x:v>
      </x:c>
      <x:c r="W30" s="109" t="str">
        <x:v>사람 확인 전 하드차단 N</x:v>
      </x:c>
      <x:c r="X30" s="109" t="str">
        <x:v>자산 단위이며 양단 미확인</x:v>
      </x:c>
    </x:row>
    <x:row r="31" ht="38" customHeight="1">
      <x:c r="A31" s="28" t="str">
        <x:v>CW25</x:v>
      </x:c>
      <x:c r="B31" s="28" t="str">
        <x:v>2025085030</x:v>
      </x:c>
      <x:c r="C31" s="28" t="str">
        <x:v>안양1동</x:v>
      </x:c>
      <x:c r="D31" s="48" t="n">
        <x:v>37.39202055</x:v>
      </x:c>
      <x:c r="E31" s="48" t="n">
        <x:v>126.9238204</x:v>
      </x:c>
      <x:c r="F31" s="30" t="n">
        <x:v>16.26</x:v>
      </x:c>
      <x:c r="G31" s="30" t="n">
        <x:v>5.99</x:v>
      </x:c>
      <x:c r="H31" s="28" t="str">
        <x:v>있음</x:v>
      </x:c>
      <x:c r="I31" s="28" t="str">
        <x:v>있음</x:v>
      </x:c>
      <x:c r="J31" s="28" t="str">
        <x:v>public_explicit_present</x:v>
      </x:c>
      <x:c r="K31" s="55" t="n">
        <x:v>89.31</x:v>
      </x:c>
      <x:c r="L31" s="55" t="n">
        <x:v>1125.35</x:v>
      </x:c>
      <x:c r="M31" s="28" t="str">
        <x:v>W38609097_S13</x:v>
      </x:c>
      <x:c r="N31" s="28" t="str">
        <x:v>38609097</x:v>
      </x:c>
      <x:c r="O31" s="28" t="str">
        <x:v>tertiary</x:v>
      </x:c>
      <x:c r="P31" s="28" t="str">
        <x:v>냉천로</x:v>
      </x:c>
      <x:c r="Q31" s="30" t="n">
        <x:v>4.39</x:v>
      </x:c>
      <x:c r="R31" s="28" t="str">
        <x:v>provisional_high</x:v>
      </x:c>
      <x:c r="S31" s="28" t="str">
        <x:v>Y</x:v>
      </x:c>
      <x:c r="T31" s="28" t="str">
        <x:v>https://map.kakao.com/link/roadview/37.3920205,126.9238204</x:v>
      </x:c>
      <x:c r="U31" s="109" t="str">
        <x:v>낮춤 설치 명시 후보</x:v>
      </x:c>
      <x:c r="V31" s="109" t="str">
        <x:v>점자 설치 명시 후보</x:v>
      </x:c>
      <x:c r="W31" s="109" t="str">
        <x:v>사람 확인 전 하드차단 N</x:v>
      </x:c>
      <x:c r="X31" s="109" t="str">
        <x:v>자산 단위이며 양단 미확인</x:v>
      </x:c>
    </x:row>
    <x:row r="32" ht="38" customHeight="1">
      <x:c r="A32" s="28" t="str">
        <x:v>CW26</x:v>
      </x:c>
      <x:c r="B32" s="28" t="str">
        <x:v>2025085031</x:v>
      </x:c>
      <x:c r="C32" s="28" t="str">
        <x:v>안양1동</x:v>
      </x:c>
      <x:c r="D32" s="48" t="n">
        <x:v>37.39133025</x:v>
      </x:c>
      <x:c r="E32" s="48" t="n">
        <x:v>126.9244155</x:v>
      </x:c>
      <x:c r="F32" s="30" t="n">
        <x:v>11.05</x:v>
      </x:c>
      <x:c r="G32" s="30" t="n">
        <x:v>5.99</x:v>
      </x:c>
      <x:c r="H32" s="28" t="str">
        <x:v>있음</x:v>
      </x:c>
      <x:c r="I32" s="28" t="str">
        <x:v>있음</x:v>
      </x:c>
      <x:c r="J32" s="28" t="str">
        <x:v>public_explicit_present</x:v>
      </x:c>
      <x:c r="K32" s="55" t="n">
        <x:v>56.37</x:v>
      </x:c>
      <x:c r="L32" s="55" t="n">
        <x:v>1212</x:v>
      </x:c>
      <x:c r="M32" s="28" t="str">
        <x:v>W38609097_S10</x:v>
      </x:c>
      <x:c r="N32" s="28" t="str">
        <x:v>38609097</x:v>
      </x:c>
      <x:c r="O32" s="28" t="str">
        <x:v>tertiary</x:v>
      </x:c>
      <x:c r="P32" s="28" t="str">
        <x:v>냉천로</x:v>
      </x:c>
      <x:c r="Q32" s="30" t="n">
        <x:v>3.09</x:v>
      </x:c>
      <x:c r="R32" s="28" t="str">
        <x:v>provisional_high</x:v>
      </x:c>
      <x:c r="S32" s="28" t="str">
        <x:v>N</x:v>
      </x:c>
      <x:c r="T32" s="28" t="str">
        <x:v>https://map.kakao.com/link/roadview/37.3913303,126.9244155</x:v>
      </x:c>
      <x:c r="U32" s="109" t="str">
        <x:v>낮춤 설치 명시 후보</x:v>
      </x:c>
      <x:c r="V32" s="109" t="str">
        <x:v>점자 설치 명시 후보</x:v>
      </x:c>
      <x:c r="W32" s="109" t="str">
        <x:v>사람 확인 전 하드차단 N</x:v>
      </x:c>
      <x:c r="X32" s="109" t="str">
        <x:v>자산 단위이며 양단 미확인</x:v>
      </x:c>
    </x:row>
    <x:row r="33" ht="38" customHeight="1">
      <x:c r="A33" s="28" t="str">
        <x:v>CW27</x:v>
      </x:c>
      <x:c r="B33" s="28" t="str">
        <x:v>2025085009</x:v>
      </x:c>
      <x:c r="C33" s="28" t="str">
        <x:v>안양1동</x:v>
      </x:c>
      <x:c r="D33" s="48" t="n">
        <x:v>37.39049146</x:v>
      </x:c>
      <x:c r="E33" s="48" t="n">
        <x:v>126.9251204</x:v>
      </x:c>
      <x:c r="F33" s="30" t="n">
        <x:v>13.75</x:v>
      </x:c>
      <x:c r="G33" s="30" t="n">
        <x:v>5.96</x:v>
      </x:c>
      <x:c r="H33" s="28" t="str">
        <x:v>있음</x:v>
      </x:c>
      <x:c r="I33" s="28" t="str">
        <x:v>있음</x:v>
      </x:c>
      <x:c r="J33" s="28" t="str">
        <x:v>public_explicit_present</x:v>
      </x:c>
      <x:c r="K33" s="55" t="n">
        <x:v>17.92</x:v>
      </x:c>
      <x:c r="L33" s="55" t="n">
        <x:v>1316.9</x:v>
      </x:c>
      <x:c r="M33" s="28" t="str">
        <x:v>W38609097_S7</x:v>
      </x:c>
      <x:c r="N33" s="28" t="str">
        <x:v>38609097</x:v>
      </x:c>
      <x:c r="O33" s="28" t="str">
        <x:v>tertiary</x:v>
      </x:c>
      <x:c r="P33" s="28" t="str">
        <x:v>냉천로</x:v>
      </x:c>
      <x:c r="Q33" s="30" t="n">
        <x:v>2.77</x:v>
      </x:c>
      <x:c r="R33" s="28" t="str">
        <x:v>provisional_high</x:v>
      </x:c>
      <x:c r="S33" s="28" t="str">
        <x:v>Y</x:v>
      </x:c>
      <x:c r="T33" s="28" t="str">
        <x:v>https://map.kakao.com/link/roadview/37.3904915,126.9251204</x:v>
      </x:c>
      <x:c r="U33" s="109" t="str">
        <x:v>낮춤 설치 명시 후보</x:v>
      </x:c>
      <x:c r="V33" s="109" t="str">
        <x:v>점자 설치 명시 후보</x:v>
      </x:c>
      <x:c r="W33" s="109" t="str">
        <x:v>사람 확인 전 하드차단 N</x:v>
      </x:c>
      <x:c r="X33" s="109" t="str">
        <x:v>자산 단위이며 양단 미확인</x:v>
      </x:c>
    </x:row>
    <x:row r="34" ht="38" customHeight="1">
      <x:c r="A34" s="28" t="str">
        <x:v>CW28</x:v>
      </x:c>
      <x:c r="B34" s="28" t="str">
        <x:v>2025085010</x:v>
      </x:c>
      <x:c r="C34" s="28" t="str">
        <x:v>안양1동</x:v>
      </x:c>
      <x:c r="D34" s="48" t="n">
        <x:v>37.3904547</x:v>
      </x:c>
      <x:c r="E34" s="48" t="n">
        <x:v>126.9253042</x:v>
      </x:c>
      <x:c r="F34" s="30" t="n">
        <x:v>13.63</x:v>
      </x:c>
      <x:c r="G34" s="30" t="n">
        <x:v>6</x:v>
      </x:c>
      <x:c r="H34" s="28" t="str">
        <x:v>있음</x:v>
      </x:c>
      <x:c r="I34" s="28" t="str">
        <x:v>있음</x:v>
      </x:c>
      <x:c r="J34" s="28" t="str">
        <x:v>public_explicit_present</x:v>
      </x:c>
      <x:c r="K34" s="55" t="n">
        <x:v>3.1</x:v>
      </x:c>
      <x:c r="L34" s="55" t="n">
        <x:v>1324.72</x:v>
      </x:c>
      <x:c r="M34" s="28" t="str">
        <x:v>W38609193_S10</x:v>
      </x:c>
      <x:c r="N34" s="28" t="str">
        <x:v>38609193</x:v>
      </x:c>
      <x:c r="O34" s="28" t="str">
        <x:v>tertiary</x:v>
      </x:c>
      <x:c r="P34" s="28" t="str">
        <x:v>현충로</x:v>
      </x:c>
      <x:c r="Q34" s="30" t="n">
        <x:v>1.26</x:v>
      </x:c>
      <x:c r="R34" s="28" t="str">
        <x:v>provisional_high</x:v>
      </x:c>
      <x:c r="S34" s="28" t="str">
        <x:v>N</x:v>
      </x:c>
      <x:c r="T34" s="28" t="str">
        <x:v>https://map.kakao.com/link/roadview/37.3904547,126.9253042</x:v>
      </x:c>
      <x:c r="U34" s="109" t="str">
        <x:v>낮춤 설치 명시 후보</x:v>
      </x:c>
      <x:c r="V34" s="109" t="str">
        <x:v>점자 설치 명시 후보</x:v>
      </x:c>
      <x:c r="W34" s="109" t="str">
        <x:v>사람 확인 전 하드차단 N</x:v>
      </x:c>
      <x:c r="X34" s="109" t="str">
        <x:v>자산 단위이며 양단 미확인</x:v>
      </x:c>
    </x:row>
    <x:row r="35" ht="38" customHeight="1">
      <x:c r="A35" s="28" t="str">
        <x:v>CW29</x:v>
      </x:c>
      <x:c r="B35" s="28" t="str">
        <x:v>2025085011</x:v>
      </x:c>
      <x:c r="C35" s="28" t="str">
        <x:v>안양1동</x:v>
      </x:c>
      <x:c r="D35" s="48" t="n">
        <x:v>37.39035668</x:v>
      </x:c>
      <x:c r="E35" s="48" t="n">
        <x:v>126.9250655</x:v>
      </x:c>
      <x:c r="F35" s="30" t="n">
        <x:v>11.08</x:v>
      </x:c>
      <x:c r="G35" s="30" t="n">
        <x:v>5.93</x:v>
      </x:c>
      <x:c r="H35" s="28" t="str">
        <x:v>있음</x:v>
      </x:c>
      <x:c r="I35" s="28" t="str">
        <x:v>있음</x:v>
      </x:c>
      <x:c r="J35" s="28" t="str">
        <x:v>public_explicit_present</x:v>
      </x:c>
      <x:c r="K35" s="55" t="n">
        <x:v>26.18</x:v>
      </x:c>
      <x:c r="L35" s="55" t="n">
        <x:v>1330.21</x:v>
      </x:c>
      <x:c r="M35" s="28" t="str">
        <x:v>W82908648_S0</x:v>
      </x:c>
      <x:c r="N35" s="28" t="str">
        <x:v>82908648</x:v>
      </x:c>
      <x:c r="O35" s="28" t="str">
        <x:v>service</x:v>
      </x:c>
      <x:c r="P35" s="28" t="str">
        <x:v>현충로</x:v>
      </x:c>
      <x:c r="Q35" s="30" t="n">
        <x:v>0.67</x:v>
      </x:c>
      <x:c r="R35" s="28" t="str">
        <x:v>provisional_high</x:v>
      </x:c>
      <x:c r="S35" s="28" t="str">
        <x:v>Y</x:v>
      </x:c>
      <x:c r="T35" s="28" t="str">
        <x:v>https://map.kakao.com/link/roadview/37.3903567,126.9250655</x:v>
      </x:c>
      <x:c r="U35" s="109" t="str">
        <x:v>낮춤 설치 명시 후보</x:v>
      </x:c>
      <x:c r="V35" s="109" t="str">
        <x:v>점자 설치 명시 후보</x:v>
      </x:c>
      <x:c r="W35" s="109" t="str">
        <x:v>사람 확인 전 하드차단 N</x:v>
      </x:c>
      <x:c r="X35" s="109" t="str">
        <x:v>자산 단위이며 양단 미확인</x:v>
      </x:c>
    </x:row>
    <x:row r="36" ht="38" customHeight="1">
      <x:c r="A36" s="28" t="str">
        <x:v>CW30</x:v>
      </x:c>
      <x:c r="B36" s="28" t="str">
        <x:v>2025085027</x:v>
      </x:c>
      <x:c r="C36" s="28" t="str">
        <x:v>안양1동</x:v>
      </x:c>
      <x:c r="D36" s="48" t="n">
        <x:v>37.39016544</x:v>
      </x:c>
      <x:c r="E36" s="48" t="n">
        <x:v>126.9241116</x:v>
      </x:c>
      <x:c r="F36" s="30" t="n">
        <x:v>9.19</x:v>
      </x:c>
      <x:c r="G36" s="30" t="n">
        <x:v>4.09</x:v>
      </x:c>
      <x:c r="H36" s="28" t="str">
        <x:v>있음</x:v>
      </x:c>
      <x:c r="I36" s="28" t="str">
        <x:v>있음</x:v>
      </x:c>
      <x:c r="J36" s="28" t="str">
        <x:v>public_explicit_present</x:v>
      </x:c>
      <x:c r="K36" s="55" t="n">
        <x:v>113.15</x:v>
      </x:c>
      <x:c r="L36" s="55" t="n">
        <x:v>1330.64</x:v>
      </x:c>
      <x:c r="M36" s="28" t="str">
        <x:v>W82908648_S1</x:v>
      </x:c>
      <x:c r="N36" s="28" t="str">
        <x:v>82908648</x:v>
      </x:c>
      <x:c r="O36" s="28" t="str">
        <x:v>service</x:v>
      </x:c>
      <x:c r="P36" s="28" t="str">
        <x:v>현충로</x:v>
      </x:c>
      <x:c r="Q36" s="30" t="n">
        <x:v>8.75</x:v>
      </x:c>
      <x:c r="R36" s="28" t="str">
        <x:v>provisional_high</x:v>
      </x:c>
      <x:c r="S36" s="28" t="str">
        <x:v>N</x:v>
      </x:c>
      <x:c r="T36" s="28" t="str">
        <x:v>https://map.kakao.com/link/roadview/37.3901654,126.9241116</x:v>
      </x:c>
      <x:c r="U36" s="109" t="str">
        <x:v>낮춤 설치 명시 후보</x:v>
      </x:c>
      <x:c r="V36" s="109" t="str">
        <x:v>점자 설치 명시 후보</x:v>
      </x:c>
      <x:c r="W36" s="109" t="str">
        <x:v>사람 확인 전 하드차단 N</x:v>
      </x:c>
      <x:c r="X36" s="109" t="str">
        <x:v>자산 단위이며 양단 미확인</x:v>
      </x:c>
    </x:row>
    <x:row r="37" ht="38" customHeight="1">
      <x:c r="A37" s="28" t="str">
        <x:v>CW31</x:v>
      </x:c>
      <x:c r="B37" s="28" t="str">
        <x:v>2025085012</x:v>
      </x:c>
      <x:c r="C37" s="28" t="str">
        <x:v>안양1동</x:v>
      </x:c>
      <x:c r="D37" s="48" t="n">
        <x:v>37.39034431</x:v>
      </x:c>
      <x:c r="E37" s="48" t="n">
        <x:v>126.9252755</x:v>
      </x:c>
      <x:c r="F37" s="30" t="n">
        <x:v>13.11</x:v>
      </x:c>
      <x:c r="G37" s="30" t="n">
        <x:v>5.94</x:v>
      </x:c>
      <x:c r="H37" s="28" t="str">
        <x:v>있음</x:v>
      </x:c>
      <x:c r="I37" s="28" t="str">
        <x:v>있음</x:v>
      </x:c>
      <x:c r="J37" s="28" t="str">
        <x:v>public_explicit_present</x:v>
      </x:c>
      <x:c r="K37" s="55" t="n">
        <x:v>8.47</x:v>
      </x:c>
      <x:c r="L37" s="55" t="n">
        <x:v>1335.96</x:v>
      </x:c>
      <x:c r="M37" s="28" t="str">
        <x:v>W38609097_S6</x:v>
      </x:c>
      <x:c r="N37" s="28" t="str">
        <x:v>38609097</x:v>
      </x:c>
      <x:c r="O37" s="28" t="str">
        <x:v>tertiary</x:v>
      </x:c>
      <x:c r="P37" s="28" t="str">
        <x:v>냉천로</x:v>
      </x:c>
      <x:c r="Q37" s="30" t="n">
        <x:v>1.34</x:v>
      </x:c>
      <x:c r="R37" s="28" t="str">
        <x:v>provisional_high</x:v>
      </x:c>
      <x:c r="S37" s="28" t="str">
        <x:v>N</x:v>
      </x:c>
      <x:c r="T37" s="28" t="str">
        <x:v>https://map.kakao.com/link/roadview/37.3903443,126.9252755</x:v>
      </x:c>
      <x:c r="U37" s="109" t="str">
        <x:v>낮춤 설치 명시 후보</x:v>
      </x:c>
      <x:c r="V37" s="109" t="str">
        <x:v>점자 설치 명시 후보</x:v>
      </x:c>
      <x:c r="W37" s="109" t="str">
        <x:v>사람 확인 전 하드차단 N</x:v>
      </x:c>
      <x:c r="X37" s="109" t="str">
        <x:v>자산 단위이며 양단 미확인</x:v>
      </x:c>
    </x:row>
    <x:row r="38" ht="38" customHeight="1">
      <x:c r="A38" s="28" t="str">
        <x:v>CW32</x:v>
      </x:c>
      <x:c r="B38" s="28" t="str">
        <x:v>2025085025</x:v>
      </x:c>
      <x:c r="C38" s="28" t="str">
        <x:v>안양1동</x:v>
      </x:c>
      <x:c r="D38" s="48" t="n">
        <x:v>37.39008527</x:v>
      </x:c>
      <x:c r="E38" s="48" t="n">
        <x:v>126.9242767</x:v>
      </x:c>
      <x:c r="F38" s="30" t="n">
        <x:v>8.68</x:v>
      </x:c>
      <x:c r="G38" s="30" t="n">
        <x:v>5.87</x:v>
      </x:c>
      <x:c r="H38" s="28" t="str">
        <x:v>있음</x:v>
      </x:c>
      <x:c r="I38" s="28" t="str">
        <x:v>있음</x:v>
      </x:c>
      <x:c r="J38" s="28" t="str">
        <x:v>public_explicit_present</x:v>
      </x:c>
      <x:c r="K38" s="55" t="n">
        <x:v>101.08</x:v>
      </x:c>
      <x:c r="L38" s="55" t="n">
        <x:v>1342.73</x:v>
      </x:c>
      <x:c r="M38" s="28" t="str">
        <x:v>W82908648_S0</x:v>
      </x:c>
      <x:c r="N38" s="28" t="str">
        <x:v>82908648</x:v>
      </x:c>
      <x:c r="O38" s="28" t="str">
        <x:v>service</x:v>
      </x:c>
      <x:c r="P38" s="28" t="str">
        <x:v>현충로</x:v>
      </x:c>
      <x:c r="Q38" s="30" t="n">
        <x:v>1.42</x:v>
      </x:c>
      <x:c r="R38" s="28" t="str">
        <x:v>provisional_high</x:v>
      </x:c>
      <x:c r="S38" s="28" t="str">
        <x:v>Y</x:v>
      </x:c>
      <x:c r="T38" s="28" t="str">
        <x:v>https://map.kakao.com/link/roadview/37.3900853,126.9242767</x:v>
      </x:c>
      <x:c r="U38" s="109" t="str">
        <x:v>낮춤 설치 명시 후보</x:v>
      </x:c>
      <x:c r="V38" s="109" t="str">
        <x:v>점자 설치 명시 후보</x:v>
      </x:c>
      <x:c r="W38" s="109" t="str">
        <x:v>사람 확인 전 하드차단 N</x:v>
      </x:c>
      <x:c r="X38" s="109" t="str">
        <x:v>자산 단위이며 양단 미확인</x:v>
      </x:c>
    </x:row>
    <x:row r="39" ht="38" customHeight="1">
      <x:c r="A39" s="28" t="str">
        <x:v>CW33</x:v>
      </x:c>
      <x:c r="B39" s="28" t="str">
        <x:v>2025085001</x:v>
      </x:c>
      <x:c r="C39" s="28" t="str">
        <x:v>안양1동</x:v>
      </x:c>
      <x:c r="D39" s="48" t="n">
        <x:v>37.389999</x:v>
      </x:c>
      <x:c r="E39" s="48" t="n">
        <x:v>126.9254801</x:v>
      </x:c>
      <x:c r="F39" s="30" t="n">
        <x:v>4.45</x:v>
      </x:c>
      <x:c r="G39" s="30" t="n">
        <x:v>1.97</x:v>
      </x:c>
      <x:c r="H39" s="28" t="str">
        <x:v>있음</x:v>
      </x:c>
      <x:c r="I39" s="28" t="str">
        <x:v>없음</x:v>
      </x:c>
      <x:c r="J39" s="28" t="str">
        <x:v>public_explicit_risk</x:v>
      </x:c>
      <x:c r="K39" s="55" t="n">
        <x:v>0.01</x:v>
      </x:c>
      <x:c r="L39" s="55" t="n">
        <x:v>1377.34</x:v>
      </x:c>
      <x:c r="M39" s="28" t="str">
        <x:v>W379904040_S0</x:v>
      </x:c>
      <x:c r="N39" s="28" t="str">
        <x:v>379904040</x:v>
      </x:c>
      <x:c r="O39" s="28" t="str">
        <x:v>residential</x:v>
      </x:c>
      <x:c r="P39" s="28" t="str">
        <x:v>냉천로98번길</x:v>
      </x:c>
      <x:c r="Q39" s="30" t="n">
        <x:v>0.67</x:v>
      </x:c>
      <x:c r="R39" s="28" t="str">
        <x:v>provisional_high</x:v>
      </x:c>
      <x:c r="S39" s="28" t="str">
        <x:v>Y</x:v>
      </x:c>
      <x:c r="T39" s="28" t="str">
        <x:v>https://map.kakao.com/link/roadview/37.3899990,126.9254801</x:v>
      </x:c>
      <x:c r="U39" s="109" t="str">
        <x:v>점자 사유 차단 아님</x:v>
      </x:c>
      <x:c r="V39" s="109" t="str">
        <x:v>점자 유도 결함 후보</x:v>
      </x:c>
      <x:c r="W39" s="109" t="str">
        <x:v>프로필별 경고만; 하드차단 N</x:v>
      </x:c>
      <x:c r="X39" s="109" t="str">
        <x:v>자산 단위이며 양단 미확인</x:v>
      </x:c>
    </x:row>
    <x:row r="40" ht="38" customHeight="1">
      <x:c r="A40" s="28" t="str">
        <x:v>CW34</x:v>
      </x:c>
      <x:c r="B40" s="28" t="str">
        <x:v>2025085002</x:v>
      </x:c>
      <x:c r="C40" s="28" t="str">
        <x:v>안양1동</x:v>
      </x:c>
      <x:c r="D40" s="48" t="n">
        <x:v>37.38963959</x:v>
      </x:c>
      <x:c r="E40" s="48" t="n">
        <x:v>126.92555</x:v>
      </x:c>
      <x:c r="F40" s="30" t="n">
        <x:v>12.02</x:v>
      </x:c>
      <x:c r="G40" s="30" t="n">
        <x:v>6.05</x:v>
      </x:c>
      <x:c r="H40" s="28" t="str">
        <x:v>있음</x:v>
      </x:c>
      <x:c r="I40" s="28" t="str">
        <x:v>있음</x:v>
      </x:c>
      <x:c r="J40" s="28" t="str">
        <x:v>public_explicit_present</x:v>
      </x:c>
      <x:c r="K40" s="55" t="n">
        <x:v>40.21</x:v>
      </x:c>
      <x:c r="L40" s="55" t="n">
        <x:v>1377.34</x:v>
      </x:c>
      <x:c r="M40" s="28" t="str">
        <x:v>W38609097_S2</x:v>
      </x:c>
      <x:c r="N40" s="28" t="str">
        <x:v>38609097</x:v>
      </x:c>
      <x:c r="O40" s="28" t="str">
        <x:v>tertiary</x:v>
      </x:c>
      <x:c r="P40" s="28" t="str">
        <x:v>냉천로</x:v>
      </x:c>
      <x:c r="Q40" s="30" t="n">
        <x:v>1.29</x:v>
      </x:c>
      <x:c r="R40" s="28" t="str">
        <x:v>provisional_high</x:v>
      </x:c>
      <x:c r="S40" s="28" t="str">
        <x:v>Y</x:v>
      </x:c>
      <x:c r="T40" s="28" t="str">
        <x:v>https://map.kakao.com/link/roadview/37.3896396,126.9255500</x:v>
      </x:c>
      <x:c r="U40" s="109" t="str">
        <x:v>낮춤 설치 명시 후보</x:v>
      </x:c>
      <x:c r="V40" s="109" t="str">
        <x:v>점자 설치 명시 후보</x:v>
      </x:c>
      <x:c r="W40" s="109" t="str">
        <x:v>사람 확인 전 하드차단 N</x:v>
      </x:c>
      <x:c r="X40" s="109" t="str">
        <x:v>자산 단위이며 양단 미확인</x:v>
      </x:c>
    </x:row>
    <x:row r="41" ht="38" customHeight="1">
      <x:c r="A41" s="28" t="str">
        <x:v>CW35</x:v>
      </x:c>
      <x:c r="B41" s="28" t="str">
        <x:v>2025085003</x:v>
      </x:c>
      <x:c r="C41" s="28" t="str">
        <x:v>안양1동</x:v>
      </x:c>
      <x:c r="D41" s="48" t="n">
        <x:v>37.38960031</x:v>
      </x:c>
      <x:c r="E41" s="48" t="n">
        <x:v>126.9256616</x:v>
      </x:c>
      <x:c r="F41" s="30" t="n">
        <x:v>8.55</x:v>
      </x:c>
      <x:c r="G41" s="30" t="n">
        <x:v>2</x:v>
      </x:c>
      <x:c r="H41" s="28" t="str">
        <x:v>있음</x:v>
      </x:c>
      <x:c r="I41" s="28" t="str">
        <x:v>있음</x:v>
      </x:c>
      <x:c r="J41" s="28" t="str">
        <x:v>public_explicit_present</x:v>
      </x:c>
      <x:c r="K41" s="55" t="n">
        <x:v>46.91</x:v>
      </x:c>
      <x:c r="L41" s="55" t="n">
        <x:v>1377.34</x:v>
      </x:c>
      <x:c r="M41" s="28" t="str">
        <x:v>W38609212_S6</x:v>
      </x:c>
      <x:c r="N41" s="28" t="str">
        <x:v>38609212</x:v>
      </x:c>
      <x:c r="O41" s="28" t="str">
        <x:v>tertiary</x:v>
      </x:c>
      <x:c r="P41" s="28" t="str">
        <x:v>소곡로</x:v>
      </x:c>
      <x:c r="Q41" s="30" t="n">
        <x:v>1.14</x:v>
      </x:c>
      <x:c r="R41" s="28" t="str">
        <x:v>provisional_high</x:v>
      </x:c>
      <x:c r="S41" s="28" t="str">
        <x:v>N</x:v>
      </x:c>
      <x:c r="T41" s="28" t="str">
        <x:v>https://map.kakao.com/link/roadview/37.3896003,126.9256616</x:v>
      </x:c>
      <x:c r="U41" s="109" t="str">
        <x:v>낮춤 설치 명시 후보</x:v>
      </x:c>
      <x:c r="V41" s="109" t="str">
        <x:v>점자 설치 명시 후보</x:v>
      </x:c>
      <x:c r="W41" s="109" t="str">
        <x:v>사람 확인 전 하드차단 N</x:v>
      </x:c>
      <x:c r="X41" s="109" t="str">
        <x:v>자산 단위이며 양단 미확인</x:v>
      </x:c>
    </x:row>
    <x:row r="42" ht="38" customHeight="1">
      <x:c r="A42" s="28" t="str">
        <x:v>CW36</x:v>
      </x:c>
      <x:c r="B42" s="28" t="str">
        <x:v>2025085005</x:v>
      </x:c>
      <x:c r="C42" s="28" t="str">
        <x:v>안양1동</x:v>
      </x:c>
      <x:c r="D42" s="48" t="n">
        <x:v>37.38949465</x:v>
      </x:c>
      <x:c r="E42" s="48" t="n">
        <x:v>126.9254971</x:v>
      </x:c>
      <x:c r="F42" s="30" t="n">
        <x:v>10.35</x:v>
      </x:c>
      <x:c r="G42" s="30" t="n">
        <x:v>5.99</x:v>
      </x:c>
      <x:c r="H42" s="28" t="str">
        <x:v>있음</x:v>
      </x:c>
      <x:c r="I42" s="28" t="str">
        <x:v>있음</x:v>
      </x:c>
      <x:c r="J42" s="28" t="str">
        <x:v>public_explicit_present</x:v>
      </x:c>
      <x:c r="K42" s="55" t="n">
        <x:v>55.77</x:v>
      </x:c>
      <x:c r="L42" s="55" t="n">
        <x:v>1377.34</x:v>
      </x:c>
      <x:c r="M42" s="28" t="str">
        <x:v>W814055256_S6</x:v>
      </x:c>
      <x:c r="N42" s="28" t="str">
        <x:v>814055256</x:v>
      </x:c>
      <x:c r="O42" s="28" t="str">
        <x:v>residential</x:v>
      </x:c>
      <x:c r="P42" s="28" t="str">
        <x:v>소곡로</x:v>
      </x:c>
      <x:c r="Q42" s="30" t="n">
        <x:v>0.6</x:v>
      </x:c>
      <x:c r="R42" s="28" t="str">
        <x:v>provisional_high</x:v>
      </x:c>
      <x:c r="S42" s="28" t="str">
        <x:v>Y</x:v>
      </x:c>
      <x:c r="T42" s="28" t="str">
        <x:v>https://map.kakao.com/link/roadview/37.3894947,126.9254971</x:v>
      </x:c>
      <x:c r="U42" s="109" t="str">
        <x:v>낮춤 설치 명시 후보</x:v>
      </x:c>
      <x:c r="V42" s="109" t="str">
        <x:v>점자 설치 명시 후보</x:v>
      </x:c>
      <x:c r="W42" s="109" t="str">
        <x:v>사람 확인 전 하드차단 N</x:v>
      </x:c>
      <x:c r="X42" s="109" t="str">
        <x:v>자산 단위이며 양단 미확인</x:v>
      </x:c>
    </x:row>
    <x:row r="43" ht="38" customHeight="1">
      <x:c r="A43" s="28" t="str">
        <x:v>CW37</x:v>
      </x:c>
      <x:c r="B43" s="28" t="str">
        <x:v>2025085004</x:v>
      </x:c>
      <x:c r="C43" s="28" t="str">
        <x:v>안양1동</x:v>
      </x:c>
      <x:c r="D43" s="48" t="n">
        <x:v>37.38944098</x:v>
      </x:c>
      <x:c r="E43" s="48" t="n">
        <x:v>126.925658</x:v>
      </x:c>
      <x:c r="F43" s="30" t="n">
        <x:v>8.69</x:v>
      </x:c>
      <x:c r="G43" s="30" t="n">
        <x:v>4.98</x:v>
      </x:c>
      <x:c r="H43" s="28" t="str">
        <x:v>있음</x:v>
      </x:c>
      <x:c r="I43" s="28" t="str">
        <x:v>있음</x:v>
      </x:c>
      <x:c r="J43" s="28" t="str">
        <x:v>public_explicit_present</x:v>
      </x:c>
      <x:c r="K43" s="55" t="n">
        <x:v>63.66</x:v>
      </x:c>
      <x:c r="L43" s="55" t="n">
        <x:v>1377.34</x:v>
      </x:c>
      <x:c r="M43" s="28" t="str">
        <x:v>W38609097_S1</x:v>
      </x:c>
      <x:c r="N43" s="28" t="str">
        <x:v>38609097</x:v>
      </x:c>
      <x:c r="O43" s="28" t="str">
        <x:v>tertiary</x:v>
      </x:c>
      <x:c r="P43" s="28" t="str">
        <x:v>냉천로</x:v>
      </x:c>
      <x:c r="Q43" s="30" t="n">
        <x:v>0.45</x:v>
      </x:c>
      <x:c r="R43" s="28" t="str">
        <x:v>provisional_high</x:v>
      </x:c>
      <x:c r="S43" s="28" t="str">
        <x:v>N</x:v>
      </x:c>
      <x:c r="T43" s="28" t="str">
        <x:v>https://map.kakao.com/link/roadview/37.3894410,126.9256580</x:v>
      </x:c>
      <x:c r="U43" s="109" t="str">
        <x:v>낮춤 설치 명시 후보</x:v>
      </x:c>
      <x:c r="V43" s="109" t="str">
        <x:v>점자 설치 명시 후보</x:v>
      </x:c>
      <x:c r="W43" s="109" t="str">
        <x:v>사람 확인 전 하드차단 N</x:v>
      </x:c>
      <x:c r="X43" s="109" t="str">
        <x:v>자산 단위이며 양단 미확인</x:v>
      </x:c>
    </x:row>
    <x:row r="44" ht="38" customHeight="1">
      <x:c r="A44" s="28" t="str">
        <x:v>CW38</x:v>
      </x:c>
      <x:c r="B44" s="28" t="str">
        <x:v>2025085007</x:v>
      </x:c>
      <x:c r="C44" s="28" t="str">
        <x:v>안양1동</x:v>
      </x:c>
      <x:c r="D44" s="48" t="n">
        <x:v>37.38927498</x:v>
      </x:c>
      <x:c r="E44" s="48" t="n">
        <x:v>126.9251698</x:v>
      </x:c>
      <x:c r="F44" s="30" t="n">
        <x:v>8.17</x:v>
      </x:c>
      <x:c r="G44" s="30" t="n">
        <x:v>4.01</x:v>
      </x:c>
      <x:c r="H44" s="28" t="str">
        <x:v>있음</x:v>
      </x:c>
      <x:c r="I44" s="28" t="str">
        <x:v>있음</x:v>
      </x:c>
      <x:c r="J44" s="28" t="str">
        <x:v>public_explicit_present</x:v>
      </x:c>
      <x:c r="K44" s="55" t="n">
        <x:v>84.6</x:v>
      </x:c>
      <x:c r="L44" s="55" t="n">
        <x:v>1377.34</x:v>
      </x:c>
      <x:c r="M44" s="28" t="str">
        <x:v>W814055256_S6</x:v>
      </x:c>
      <x:c r="N44" s="28" t="str">
        <x:v>814055256</x:v>
      </x:c>
      <x:c r="O44" s="28" t="str">
        <x:v>residential</x:v>
      </x:c>
      <x:c r="P44" s="28" t="str">
        <x:v>소곡로</x:v>
      </x:c>
      <x:c r="Q44" s="30" t="n">
        <x:v>3.15</x:v>
      </x:c>
      <x:c r="R44" s="28" t="str">
        <x:v>provisional_high</x:v>
      </x:c>
      <x:c r="S44" s="28" t="str">
        <x:v>Y</x:v>
      </x:c>
      <x:c r="T44" s="28" t="str">
        <x:v>https://map.kakao.com/link/roadview/37.3892750,126.9251698</x:v>
      </x:c>
      <x:c r="U44" s="109" t="str">
        <x:v>낮춤 설치 명시 후보</x:v>
      </x:c>
      <x:c r="V44" s="109" t="str">
        <x:v>점자 설치 명시 후보</x:v>
      </x:c>
      <x:c r="W44" s="109" t="str">
        <x:v>사람 확인 전 하드차단 N</x:v>
      </x:c>
      <x:c r="X44" s="109" t="str">
        <x:v>자산 단위이며 양단 미확인</x:v>
      </x:c>
    </x:row>
    <x:row r="45" ht="38" customHeight="1">
      <x:c r="A45" s="28" t="str">
        <x:v>CW39</x:v>
      </x:c>
      <x:c r="B45" s="28" t="str">
        <x:v>2025085006</x:v>
      </x:c>
      <x:c r="C45" s="28" t="str">
        <x:v>안양1동</x:v>
      </x:c>
      <x:c r="D45" s="48" t="n">
        <x:v>37.38927212</x:v>
      </x:c>
      <x:c r="E45" s="48" t="n">
        <x:v>126.925062</x:v>
      </x:c>
      <x:c r="F45" s="30" t="n">
        <x:v>8.45</x:v>
      </x:c>
      <x:c r="G45" s="30" t="n">
        <x:v>2.98</x:v>
      </x:c>
      <x:c r="H45" s="28" t="str">
        <x:v>있음</x:v>
      </x:c>
      <x:c r="I45" s="28" t="str">
        <x:v>있음</x:v>
      </x:c>
      <x:c r="J45" s="28" t="str">
        <x:v>public_explicit_present</x:v>
      </x:c>
      <x:c r="K45" s="55" t="n">
        <x:v>88.45</x:v>
      </x:c>
      <x:c r="L45" s="55" t="n">
        <x:v>1377.34</x:v>
      </x:c>
      <x:c r="M45" s="28" t="str">
        <x:v>W814055256_S6</x:v>
      </x:c>
      <x:c r="N45" s="28" t="str">
        <x:v>814055256</x:v>
      </x:c>
      <x:c r="O45" s="28" t="str">
        <x:v>residential</x:v>
      </x:c>
      <x:c r="P45" s="28" t="str">
        <x:v>소곡로</x:v>
      </x:c>
      <x:c r="Q45" s="30" t="n">
        <x:v>9.52</x:v>
      </x:c>
      <x:c r="R45" s="28" t="str">
        <x:v>provisional_high</x:v>
      </x:c>
      <x:c r="S45" s="28" t="str">
        <x:v>N</x:v>
      </x:c>
      <x:c r="T45" s="28" t="str">
        <x:v>https://map.kakao.com/link/roadview/37.3892721,126.9250620</x:v>
      </x:c>
      <x:c r="U45" s="109" t="str">
        <x:v>낮춤 설치 명시 후보</x:v>
      </x:c>
      <x:c r="V45" s="109" t="str">
        <x:v>점자 설치 명시 후보</x:v>
      </x:c>
      <x:c r="W45" s="109" t="str">
        <x:v>사람 확인 전 하드차단 N</x:v>
      </x:c>
      <x:c r="X45" s="109" t="str">
        <x:v>자산 단위이며 양단 미확인</x:v>
      </x:c>
    </x:row>
    <x:row r="46" ht="38" customHeight="1">
      <x:c r="A46" s="28" t="str">
        <x:v>CW40</x:v>
      </x:c>
      <x:c r="B46" s="28" t="str">
        <x:v>2025085008</x:v>
      </x:c>
      <x:c r="C46" s="28" t="str">
        <x:v>안양1동</x:v>
      </x:c>
      <x:c r="D46" s="48" t="n">
        <x:v>37.38917431</x:v>
      </x:c>
      <x:c r="E46" s="48" t="n">
        <x:v>126.925032</x:v>
      </x:c>
      <x:c r="F46" s="30" t="n">
        <x:v>8.15</x:v>
      </x:c>
      <x:c r="G46" s="30" t="n">
        <x:v>4</x:v>
      </x:c>
      <x:c r="H46" s="28" t="str">
        <x:v>있음</x:v>
      </x:c>
      <x:c r="I46" s="28" t="str">
        <x:v>있음</x:v>
      </x:c>
      <x:c r="J46" s="28" t="str">
        <x:v>public_explicit_present</x:v>
      </x:c>
      <x:c r="K46" s="55" t="n">
        <x:v>99.4</x:v>
      </x:c>
      <x:c r="L46" s="55" t="n">
        <x:v>1377.34</x:v>
      </x:c>
      <x:c r="M46" s="28" t="str">
        <x:v>W814055256_S6</x:v>
      </x:c>
      <x:c r="N46" s="28" t="str">
        <x:v>814055256</x:v>
      </x:c>
      <x:c r="O46" s="28" t="str">
        <x:v>residential</x:v>
      </x:c>
      <x:c r="P46" s="28" t="str">
        <x:v>소곡로</x:v>
      </x:c>
      <x:c r="Q46" s="30" t="n">
        <x:v>3.56</x:v>
      </x:c>
      <x:c r="R46" s="28" t="str">
        <x:v>provisional_high</x:v>
      </x:c>
      <x:c r="S46" s="28" t="str">
        <x:v>N</x:v>
      </x:c>
      <x:c r="T46" s="28" t="str">
        <x:v>https://map.kakao.com/link/roadview/37.3891743,126.9250320</x:v>
      </x:c>
      <x:c r="U46" s="109" t="str">
        <x:v>낮춤 설치 명시 후보</x:v>
      </x:c>
      <x:c r="V46" s="109" t="str">
        <x:v>점자 설치 명시 후보</x:v>
      </x:c>
      <x:c r="W46" s="109" t="str">
        <x:v>사람 확인 전 하드차단 N</x:v>
      </x:c>
      <x:c r="X46" s="109" t="str">
        <x:v>자산 단위이며 양단 미확인</x:v>
      </x:c>
    </x:row>
  </x:sheetData>
  <x:conditionalFormatting sqref="J7:J46">
    <x:cfRule type="containsText" dxfId="23" priority="1" operator="containsText" text="risk"/>
    <x:cfRule type="containsText" dxfId="24" priority="2" operator="containsText" text="unknown"/>
    <x:cfRule type="containsText" dxfId="25" priority="3" operator="containsText" text="present"/>
  </x:conditionalFormatting>
  <x:conditionalFormatting sqref="U7:V46">
    <x:cfRule type="containsText" dxfId="37" priority="4" operator="containsText" text="결함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0" hidden="0" customWidth="1"/>
    <x:col min="2" max="2" width="15" hidden="0" customWidth="1"/>
    <x:col min="3" max="3" width="18" hidden="0" customWidth="1"/>
    <x:col min="4" max="4" width="14" hidden="0" customWidth="1"/>
    <x:col min="5" max="5" width="13" hidden="0" customWidth="1"/>
    <x:col min="6" max="6" width="20" hidden="0" customWidth="1"/>
    <x:col min="7" max="7" width="13" hidden="0" customWidth="1"/>
    <x:col min="8" max="8" width="24" hidden="0" customWidth="1"/>
    <x:col min="9" max="9" width="18" hidden="0" customWidth="1"/>
    <x:col min="10" max="10" width="18" hidden="0" customWidth="1"/>
    <x:col min="11" max="11" width="38" hidden="0" customWidth="1"/>
    <x:col min="12" max="12" width="44" hidden="0" customWidth="1"/>
    <x:col min="13" max="13" width="24" hidden="0" customWidth="1"/>
    <x:col min="14" max="14" width="20" hidden="0" customWidth="1"/>
    <x:col min="15" max="15" width="48" hidden="0" customWidth="1"/>
    <x:col min="16" max="16" width="17" hidden="0" customWidth="1"/>
    <x:col min="17" max="17" width="21" hidden="0" customWidth="1"/>
    <x:col min="18" max="18" width="32" hidden="0" customWidth="1"/>
  </x:cols>
  <x:sheetData>
    <x:row r="1">
      <x:c r="A1" s="39"/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</x:row>
    <x:row r="2" ht="22" customHeight="1">
      <x:c r="A2" s="1" t="str">
        <x:v>횡단보도–엣지 매핑: 구 중심선 대체값 + 수정 설계</x:v>
      </x:c>
    </x:row>
    <x:row r="3" ht="22" customHeight="1">
      <x:c r="A3" s="2" t="str">
        <x:v>A:L은 구 진단 기록입니다. 차단은 M:R의 고유 횡단엣지에만 적용하며 OSM 중심선 전체 차단은 금지합니다.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</x:row>
    <x:row r="6" ht="32" customHeight="1">
      <x:c r="A6" s="12" t="str">
        <x:v>표본 ID</x:v>
      </x:c>
      <x:c r="B6" s="34" t="str">
        <x:v>관리번호</x:v>
      </x:c>
      <x:c r="C6" s="34" t="str">
        <x:v>대체엣지 ID</x:v>
      </x:c>
      <x:c r="D6" s="34" t="str">
        <x:v>OSM way</x:v>
      </x:c>
      <x:c r="E6" s="34" t="str">
        <x:v>도로유형</x:v>
      </x:c>
      <x:c r="F6" s="34" t="str">
        <x:v>도로명</x:v>
      </x:c>
      <x:c r="G6" s="34" t="str">
        <x:v>스냅거리(m)</x:v>
      </x:c>
      <x:c r="H6" s="34" t="str">
        <x:v>공공 상태</x:v>
      </x:c>
      <x:c r="I6" s="34" t="str">
        <x:v>A 정책</x:v>
      </x:c>
      <x:c r="J6" s="34" t="str">
        <x:v>B 정책</x:v>
      </x:c>
      <x:c r="K6" s="34" t="str">
        <x:v>C 정책</x:v>
      </x:c>
      <x:c r="L6" s="13" t="str">
        <x:v>매핑 범위</x:v>
      </x:c>
      <x:c r="M6" s="197" t="str">
        <x:v>신규 crossing_edge_id</x:v>
      </x:c>
      <x:c r="N6" s="198" t="str">
        <x:v>적용 프로필</x:v>
      </x:c>
      <x:c r="O6" s="198" t="str">
        <x:v>수정 정책</x:v>
      </x:c>
      <x:c r="P6" s="198" t="str">
        <x:v>중심선 차단</x:v>
      </x:c>
      <x:c r="Q6" s="198" t="str">
        <x:v>현재 라우팅 적용</x:v>
      </x:c>
      <x:c r="R6" s="199" t="str">
        <x:v>재계산 상태</x:v>
      </x:c>
    </x:row>
    <x:row r="7" ht="38" customHeight="1">
      <x:c r="A7" s="36" t="str">
        <x:v>CW01</x:v>
      </x:c>
      <x:c r="B7" s="36" t="str">
        <x:v>2024121199</x:v>
      </x:c>
      <x:c r="C7" s="36" t="str">
        <x:v>W589960556_S7</x:v>
      </x:c>
      <x:c r="D7" s="36" t="str">
        <x:v>589960556</x:v>
      </x:c>
      <x:c r="E7" s="36" t="str">
        <x:v>residential</x:v>
      </x:c>
      <x:c r="F7" s="36" t="str">
        <x:v>태평로</x:v>
      </x:c>
      <x:c r="G7" s="41" t="n">
        <x:v>5.35</x:v>
      </x:c>
      <x:c r="H7" s="36" t="str">
        <x:v>unknown</x:v>
      </x:c>
      <x:c r="I7" s="36" t="str">
        <x:v>base distance</x:v>
      </x:c>
      <x:c r="J7" s="36" t="str">
        <x:v>x1.15</x:v>
      </x:c>
      <x:c r="K7" s="36" t="str">
        <x:v>same as B until an AI candidate is human-approved</x:v>
      </x:c>
      <x:c r="L7" s="36" t="str">
        <x:v>OSM centerline proxy; not a surveyed crossing edge</x:v>
      </x:c>
      <x:c r="M7" s="109" t="str">
        <x:v>XW_CW01</x:v>
      </x:c>
      <x:c r="N7" s="109" t="str">
        <x:v>wheelchair / visual</x:v>
      </x:c>
      <x:c r="O7" s="109" t="str">
        <x:v>검수된 프로필 상태만 접근부 A-B 횡단엣지에 적용</x:v>
      </x:c>
      <x:c r="P7" s="207" t="str">
        <x:v>N</x:v>
      </x:c>
      <x:c r="Q7" s="207" t="str">
        <x:v>N</x:v>
      </x:c>
      <x:c r="R7" s="109" t="str">
        <x:v>보도·횡단 그래프 구축 대기</x:v>
      </x:c>
    </x:row>
    <x:row r="8" ht="38" customHeight="1">
      <x:c r="A8" s="37" t="str">
        <x:v>CW02</x:v>
      </x:c>
      <x:c r="B8" s="37" t="str">
        <x:v>2024121207</x:v>
      </x:c>
      <x:c r="C8" s="37" t="str">
        <x:v>W844180368_S0</x:v>
      </x:c>
      <x:c r="D8" s="37" t="str">
        <x:v>844180368</x:v>
      </x:c>
      <x:c r="E8" s="37" t="str">
        <x:v>service</x:v>
      </x:c>
      <x:c r="F8" s="37" t="str"/>
      <x:c r="G8" s="42" t="n">
        <x:v>0.64</x:v>
      </x:c>
      <x:c r="H8" s="37" t="str">
        <x:v>unknown</x:v>
      </x:c>
      <x:c r="I8" s="37" t="str">
        <x:v>base distance</x:v>
      </x:c>
      <x:c r="J8" s="37" t="str">
        <x:v>x1.15</x:v>
      </x:c>
      <x:c r="K8" s="37" t="str">
        <x:v>same as B until an AI candidate is human-approved</x:v>
      </x:c>
      <x:c r="L8" s="37" t="str">
        <x:v>OSM centerline proxy; not a surveyed crossing edge</x:v>
      </x:c>
      <x:c r="M8" s="109" t="str">
        <x:v>XW_CW02</x:v>
      </x:c>
      <x:c r="N8" s="109" t="str">
        <x:v>wheelchair / visual</x:v>
      </x:c>
      <x:c r="O8" s="109" t="str">
        <x:v>검수된 프로필 상태만 접근부 A-B 횡단엣지에 적용</x:v>
      </x:c>
      <x:c r="P8" s="207" t="str">
        <x:v>N</x:v>
      </x:c>
      <x:c r="Q8" s="207" t="str">
        <x:v>N</x:v>
      </x:c>
      <x:c r="R8" s="109" t="str">
        <x:v>보도·횡단 그래프 구축 대기</x:v>
      </x:c>
    </x:row>
    <x:row r="9" ht="38" customHeight="1">
      <x:c r="A9" s="37" t="str">
        <x:v>CW03</x:v>
      </x:c>
      <x:c r="B9" s="37" t="str">
        <x:v>2024121198</x:v>
      </x:c>
      <x:c r="C9" s="37" t="str">
        <x:v>W589960556_S7</x:v>
      </x:c>
      <x:c r="D9" s="37" t="str">
        <x:v>589960556</x:v>
      </x:c>
      <x:c r="E9" s="37" t="str">
        <x:v>residential</x:v>
      </x:c>
      <x:c r="F9" s="37" t="str">
        <x:v>태평로</x:v>
      </x:c>
      <x:c r="G9" s="42" t="n">
        <x:v>3.4</x:v>
      </x:c>
      <x:c r="H9" s="37" t="str">
        <x:v>unknown</x:v>
      </x:c>
      <x:c r="I9" s="37" t="str">
        <x:v>base distance</x:v>
      </x:c>
      <x:c r="J9" s="37" t="str">
        <x:v>x1.15</x:v>
      </x:c>
      <x:c r="K9" s="37" t="str">
        <x:v>same as B until an AI candidate is human-approved</x:v>
      </x:c>
      <x:c r="L9" s="37" t="str">
        <x:v>OSM centerline proxy; not a surveyed crossing edge</x:v>
      </x:c>
      <x:c r="M9" s="109" t="str">
        <x:v>XW_CW03</x:v>
      </x:c>
      <x:c r="N9" s="109" t="str">
        <x:v>wheelchair / visual</x:v>
      </x:c>
      <x:c r="O9" s="109" t="str">
        <x:v>검수된 프로필 상태만 접근부 A-B 횡단엣지에 적용</x:v>
      </x:c>
      <x:c r="P9" s="207" t="str">
        <x:v>N</x:v>
      </x:c>
      <x:c r="Q9" s="207" t="str">
        <x:v>N</x:v>
      </x:c>
      <x:c r="R9" s="109" t="str">
        <x:v>보도·횡단 그래프 구축 대기</x:v>
      </x:c>
    </x:row>
    <x:row r="10" ht="38" customHeight="1">
      <x:c r="A10" s="37" t="str">
        <x:v>CW04</x:v>
      </x:c>
      <x:c r="B10" s="37" t="str">
        <x:v>2024121191</x:v>
      </x:c>
      <x:c r="C10" s="37" t="str">
        <x:v>W915477947_S2</x:v>
      </x:c>
      <x:c r="D10" s="37" t="str">
        <x:v>915477947</x:v>
      </x:c>
      <x:c r="E10" s="37" t="str">
        <x:v>tertiary</x:v>
      </x:c>
      <x:c r="F10" s="37" t="str">
        <x:v>만안로</x:v>
      </x:c>
      <x:c r="G10" s="42" t="n">
        <x:v>4.72</x:v>
      </x:c>
      <x:c r="H10" s="37" t="str">
        <x:v>unknown</x:v>
      </x:c>
      <x:c r="I10" s="37" t="str">
        <x:v>base distance</x:v>
      </x:c>
      <x:c r="J10" s="37" t="str">
        <x:v>x1.15</x:v>
      </x:c>
      <x:c r="K10" s="37" t="str">
        <x:v>same as B until an AI candidate is human-approved</x:v>
      </x:c>
      <x:c r="L10" s="37" t="str">
        <x:v>OSM centerline proxy; not a surveyed crossing edge</x:v>
      </x:c>
      <x:c r="M10" s="109" t="str">
        <x:v>XW_CW04</x:v>
      </x:c>
      <x:c r="N10" s="109" t="str">
        <x:v>wheelchair / visual</x:v>
      </x:c>
      <x:c r="O10" s="109" t="str">
        <x:v>검수된 프로필 상태만 접근부 A-B 횡단엣지에 적용</x:v>
      </x:c>
      <x:c r="P10" s="207" t="str">
        <x:v>N</x:v>
      </x:c>
      <x:c r="Q10" s="207" t="str">
        <x:v>N</x:v>
      </x:c>
      <x:c r="R10" s="109" t="str">
        <x:v>보도·횡단 그래프 구축 대기</x:v>
      </x:c>
    </x:row>
    <x:row r="11" ht="38" customHeight="1">
      <x:c r="A11" s="37" t="str">
        <x:v>CW05</x:v>
      </x:c>
      <x:c r="B11" s="37" t="str">
        <x:v>2024121201</x:v>
      </x:c>
      <x:c r="C11" s="37" t="str">
        <x:v>W589960556_S6</x:v>
      </x:c>
      <x:c r="D11" s="37" t="str">
        <x:v>589960556</x:v>
      </x:c>
      <x:c r="E11" s="37" t="str">
        <x:v>residential</x:v>
      </x:c>
      <x:c r="F11" s="37" t="str">
        <x:v>태평로</x:v>
      </x:c>
      <x:c r="G11" s="42" t="n">
        <x:v>0.47</x:v>
      </x:c>
      <x:c r="H11" s="37" t="str">
        <x:v>unknown</x:v>
      </x:c>
      <x:c r="I11" s="37" t="str">
        <x:v>base distance</x:v>
      </x:c>
      <x:c r="J11" s="37" t="str">
        <x:v>x1.15</x:v>
      </x:c>
      <x:c r="K11" s="37" t="str">
        <x:v>same as B until an AI candidate is human-approved</x:v>
      </x:c>
      <x:c r="L11" s="37" t="str">
        <x:v>OSM centerline proxy; not a surveyed crossing edge</x:v>
      </x:c>
      <x:c r="M11" s="109" t="str">
        <x:v>XW_CW05</x:v>
      </x:c>
      <x:c r="N11" s="109" t="str">
        <x:v>wheelchair / visual</x:v>
      </x:c>
      <x:c r="O11" s="109" t="str">
        <x:v>검수된 프로필 상태만 접근부 A-B 횡단엣지에 적용</x:v>
      </x:c>
      <x:c r="P11" s="207" t="str">
        <x:v>N</x:v>
      </x:c>
      <x:c r="Q11" s="207" t="str">
        <x:v>N</x:v>
      </x:c>
      <x:c r="R11" s="109" t="str">
        <x:v>보도·횡단 그래프 구축 대기</x:v>
      </x:c>
    </x:row>
    <x:row r="12" ht="38" customHeight="1">
      <x:c r="A12" s="37" t="str">
        <x:v>CW06</x:v>
      </x:c>
      <x:c r="B12" s="37" t="str">
        <x:v>2024121072</x:v>
      </x:c>
      <x:c r="C12" s="37" t="str">
        <x:v>W837321098_S0</x:v>
      </x:c>
      <x:c r="D12" s="37" t="str">
        <x:v>837321098</x:v>
      </x:c>
      <x:c r="E12" s="37" t="str">
        <x:v>residential</x:v>
      </x:c>
      <x:c r="F12" s="37" t="str">
        <x:v>만안로</x:v>
      </x:c>
      <x:c r="G12" s="42" t="n">
        <x:v>1.4</x:v>
      </x:c>
      <x:c r="H12" s="37" t="str">
        <x:v>unknown</x:v>
      </x:c>
      <x:c r="I12" s="37" t="str">
        <x:v>base distance</x:v>
      </x:c>
      <x:c r="J12" s="37" t="str">
        <x:v>x1.15</x:v>
      </x:c>
      <x:c r="K12" s="37" t="str">
        <x:v>same as B until an AI candidate is human-approved</x:v>
      </x:c>
      <x:c r="L12" s="37" t="str">
        <x:v>OSM centerline proxy; not a surveyed crossing edge</x:v>
      </x:c>
      <x:c r="M12" s="109" t="str">
        <x:v>XW_CW06</x:v>
      </x:c>
      <x:c r="N12" s="109" t="str">
        <x:v>wheelchair / visual</x:v>
      </x:c>
      <x:c r="O12" s="109" t="str">
        <x:v>검수된 프로필 상태만 접근부 A-B 횡단엣지에 적용</x:v>
      </x:c>
      <x:c r="P12" s="207" t="str">
        <x:v>N</x:v>
      </x:c>
      <x:c r="Q12" s="207" t="str">
        <x:v>N</x:v>
      </x:c>
      <x:c r="R12" s="109" t="str">
        <x:v>보도·횡단 그래프 구축 대기</x:v>
      </x:c>
    </x:row>
    <x:row r="13" ht="38" customHeight="1">
      <x:c r="A13" s="37" t="str">
        <x:v>CW07</x:v>
      </x:c>
      <x:c r="B13" s="37" t="str">
        <x:v>2024121209</x:v>
      </x:c>
      <x:c r="C13" s="37" t="str">
        <x:v>W318729249_S0</x:v>
      </x:c>
      <x:c r="D13" s="37" t="str">
        <x:v>318729249</x:v>
      </x:c>
      <x:c r="E13" s="37" t="str">
        <x:v>tertiary</x:v>
      </x:c>
      <x:c r="F13" s="37" t="str">
        <x:v>만안로223번길</x:v>
      </x:c>
      <x:c r="G13" s="42" t="n">
        <x:v>3.53</x:v>
      </x:c>
      <x:c r="H13" s="37" t="str">
        <x:v>unknown</x:v>
      </x:c>
      <x:c r="I13" s="37" t="str">
        <x:v>base distance</x:v>
      </x:c>
      <x:c r="J13" s="37" t="str">
        <x:v>x1.15</x:v>
      </x:c>
      <x:c r="K13" s="37" t="str">
        <x:v>same as B until an AI candidate is human-approved</x:v>
      </x:c>
      <x:c r="L13" s="37" t="str">
        <x:v>OSM centerline proxy; not a surveyed crossing edge</x:v>
      </x:c>
      <x:c r="M13" s="109" t="str">
        <x:v>XW_CW07</x:v>
      </x:c>
      <x:c r="N13" s="109" t="str">
        <x:v>wheelchair / visual</x:v>
      </x:c>
      <x:c r="O13" s="109" t="str">
        <x:v>검수된 프로필 상태만 접근부 A-B 횡단엣지에 적용</x:v>
      </x:c>
      <x:c r="P13" s="207" t="str">
        <x:v>N</x:v>
      </x:c>
      <x:c r="Q13" s="207" t="str">
        <x:v>N</x:v>
      </x:c>
      <x:c r="R13" s="109" t="str">
        <x:v>보도·횡단 그래프 구축 대기</x:v>
      </x:c>
    </x:row>
    <x:row r="14" ht="38" customHeight="1">
      <x:c r="A14" s="37" t="str">
        <x:v>CW08</x:v>
      </x:c>
      <x:c r="B14" s="37" t="str">
        <x:v>2024121206</x:v>
      </x:c>
      <x:c r="C14" s="37" t="str">
        <x:v>W589960556_S6</x:v>
      </x:c>
      <x:c r="D14" s="37" t="str">
        <x:v>589960556</x:v>
      </x:c>
      <x:c r="E14" s="37" t="str">
        <x:v>residential</x:v>
      </x:c>
      <x:c r="F14" s="37" t="str">
        <x:v>태평로</x:v>
      </x:c>
      <x:c r="G14" s="42" t="n">
        <x:v>0.44</x:v>
      </x:c>
      <x:c r="H14" s="37" t="str">
        <x:v>unknown</x:v>
      </x:c>
      <x:c r="I14" s="37" t="str">
        <x:v>base distance</x:v>
      </x:c>
      <x:c r="J14" s="37" t="str">
        <x:v>x1.15</x:v>
      </x:c>
      <x:c r="K14" s="37" t="str">
        <x:v>same as B until an AI candidate is human-approved</x:v>
      </x:c>
      <x:c r="L14" s="37" t="str">
        <x:v>OSM centerline proxy; not a surveyed crossing edge</x:v>
      </x:c>
      <x:c r="M14" s="109" t="str">
        <x:v>XW_CW08</x:v>
      </x:c>
      <x:c r="N14" s="109" t="str">
        <x:v>wheelchair / visual</x:v>
      </x:c>
      <x:c r="O14" s="109" t="str">
        <x:v>검수된 프로필 상태만 접근부 A-B 횡단엣지에 적용</x:v>
      </x:c>
      <x:c r="P14" s="207" t="str">
        <x:v>N</x:v>
      </x:c>
      <x:c r="Q14" s="207" t="str">
        <x:v>N</x:v>
      </x:c>
      <x:c r="R14" s="109" t="str">
        <x:v>보도·횡단 그래프 구축 대기</x:v>
      </x:c>
    </x:row>
    <x:row r="15" ht="38" customHeight="1">
      <x:c r="A15" s="37" t="str">
        <x:v>CW09</x:v>
      </x:c>
      <x:c r="B15" s="37" t="str">
        <x:v>2024121203</x:v>
      </x:c>
      <x:c r="C15" s="37" t="str">
        <x:v>W554922640_S1</x:v>
      </x:c>
      <x:c r="D15" s="37" t="str">
        <x:v>554922640</x:v>
      </x:c>
      <x:c r="E15" s="37" t="str">
        <x:v>tertiary</x:v>
      </x:c>
      <x:c r="F15" s="37" t="str">
        <x:v>만안로</x:v>
      </x:c>
      <x:c r="G15" s="42" t="n">
        <x:v>0.58</x:v>
      </x:c>
      <x:c r="H15" s="37" t="str">
        <x:v>unknown</x:v>
      </x:c>
      <x:c r="I15" s="37" t="str">
        <x:v>base distance</x:v>
      </x:c>
      <x:c r="J15" s="37" t="str">
        <x:v>x1.15</x:v>
      </x:c>
      <x:c r="K15" s="37" t="str">
        <x:v>same as B until an AI candidate is human-approved</x:v>
      </x:c>
      <x:c r="L15" s="37" t="str">
        <x:v>OSM centerline proxy; not a surveyed crossing edge</x:v>
      </x:c>
      <x:c r="M15" s="109" t="str">
        <x:v>XW_CW09</x:v>
      </x:c>
      <x:c r="N15" s="109" t="str">
        <x:v>wheelchair / visual</x:v>
      </x:c>
      <x:c r="O15" s="109" t="str">
        <x:v>검수된 프로필 상태만 접근부 A-B 횡단엣지에 적용</x:v>
      </x:c>
      <x:c r="P15" s="207" t="str">
        <x:v>N</x:v>
      </x:c>
      <x:c r="Q15" s="207" t="str">
        <x:v>N</x:v>
      </x:c>
      <x:c r="R15" s="109" t="str">
        <x:v>보도·횡단 그래프 구축 대기</x:v>
      </x:c>
    </x:row>
    <x:row r="16" ht="38" customHeight="1">
      <x:c r="A16" s="37" t="str">
        <x:v>CW10</x:v>
      </x:c>
      <x:c r="B16" s="37" t="str">
        <x:v>2024121208</x:v>
      </x:c>
      <x:c r="C16" s="37" t="str">
        <x:v>W589960556_S5</x:v>
      </x:c>
      <x:c r="D16" s="37" t="str">
        <x:v>589960556</x:v>
      </x:c>
      <x:c r="E16" s="37" t="str">
        <x:v>residential</x:v>
      </x:c>
      <x:c r="F16" s="37" t="str">
        <x:v>태평로</x:v>
      </x:c>
      <x:c r="G16" s="42" t="n">
        <x:v>1.35</x:v>
      </x:c>
      <x:c r="H16" s="37" t="str">
        <x:v>unknown</x:v>
      </x:c>
      <x:c r="I16" s="37" t="str">
        <x:v>base distance</x:v>
      </x:c>
      <x:c r="J16" s="37" t="str">
        <x:v>x1.15</x:v>
      </x:c>
      <x:c r="K16" s="37" t="str">
        <x:v>same as B until an AI candidate is human-approved</x:v>
      </x:c>
      <x:c r="L16" s="37" t="str">
        <x:v>OSM centerline proxy; not a surveyed crossing edge</x:v>
      </x:c>
      <x:c r="M16" s="109" t="str">
        <x:v>XW_CW10</x:v>
      </x:c>
      <x:c r="N16" s="109" t="str">
        <x:v>wheelchair / visual</x:v>
      </x:c>
      <x:c r="O16" s="109" t="str">
        <x:v>검수된 프로필 상태만 접근부 A-B 횡단엣지에 적용</x:v>
      </x:c>
      <x:c r="P16" s="207" t="str">
        <x:v>N</x:v>
      </x:c>
      <x:c r="Q16" s="207" t="str">
        <x:v>N</x:v>
      </x:c>
      <x:c r="R16" s="109" t="str">
        <x:v>보도·횡단 그래프 구축 대기</x:v>
      </x:c>
    </x:row>
    <x:row r="17" ht="38" customHeight="1">
      <x:c r="A17" s="37" t="str">
        <x:v>CW11</x:v>
      </x:c>
      <x:c r="B17" s="37" t="str">
        <x:v>2024121196</x:v>
      </x:c>
      <x:c r="C17" s="37" t="str">
        <x:v>W837321092_S6</x:v>
      </x:c>
      <x:c r="D17" s="37" t="str">
        <x:v>837321092</x:v>
      </x:c>
      <x:c r="E17" s="37" t="str">
        <x:v>service</x:v>
      </x:c>
      <x:c r="F17" s="37" t="str"/>
      <x:c r="G17" s="42" t="n">
        <x:v>4.77</x:v>
      </x:c>
      <x:c r="H17" s="37" t="str">
        <x:v>unknown</x:v>
      </x:c>
      <x:c r="I17" s="37" t="str">
        <x:v>base distance</x:v>
      </x:c>
      <x:c r="J17" s="37" t="str">
        <x:v>x1.15</x:v>
      </x:c>
      <x:c r="K17" s="37" t="str">
        <x:v>same as B until an AI candidate is human-approved</x:v>
      </x:c>
      <x:c r="L17" s="37" t="str">
        <x:v>OSM centerline proxy; not a surveyed crossing edge</x:v>
      </x:c>
      <x:c r="M17" s="109" t="str">
        <x:v>XW_CW11</x:v>
      </x:c>
      <x:c r="N17" s="109" t="str">
        <x:v>wheelchair / visual</x:v>
      </x:c>
      <x:c r="O17" s="109" t="str">
        <x:v>검수된 프로필 상태만 접근부 A-B 횡단엣지에 적용</x:v>
      </x:c>
      <x:c r="P17" s="207" t="str">
        <x:v>N</x:v>
      </x:c>
      <x:c r="Q17" s="207" t="str">
        <x:v>N</x:v>
      </x:c>
      <x:c r="R17" s="109" t="str">
        <x:v>보도·횡단 그래프 구축 대기</x:v>
      </x:c>
    </x:row>
    <x:row r="18" ht="38" customHeight="1">
      <x:c r="A18" s="37" t="str">
        <x:v>CW12</x:v>
      </x:c>
      <x:c r="B18" s="37" t="str">
        <x:v>2024121197</x:v>
      </x:c>
      <x:c r="C18" s="37" t="str">
        <x:v>W837321092_S6</x:v>
      </x:c>
      <x:c r="D18" s="37" t="str">
        <x:v>837321092</x:v>
      </x:c>
      <x:c r="E18" s="37" t="str">
        <x:v>service</x:v>
      </x:c>
      <x:c r="F18" s="37" t="str"/>
      <x:c r="G18" s="42" t="n">
        <x:v>0.96</x:v>
      </x:c>
      <x:c r="H18" s="37" t="str">
        <x:v>unknown</x:v>
      </x:c>
      <x:c r="I18" s="37" t="str">
        <x:v>base distance</x:v>
      </x:c>
      <x:c r="J18" s="37" t="str">
        <x:v>x1.15</x:v>
      </x:c>
      <x:c r="K18" s="37" t="str">
        <x:v>same as B until an AI candidate is human-approved</x:v>
      </x:c>
      <x:c r="L18" s="37" t="str">
        <x:v>OSM centerline proxy; not a surveyed crossing edge</x:v>
      </x:c>
      <x:c r="M18" s="109" t="str">
        <x:v>XW_CW12</x:v>
      </x:c>
      <x:c r="N18" s="109" t="str">
        <x:v>wheelchair / visual</x:v>
      </x:c>
      <x:c r="O18" s="109" t="str">
        <x:v>검수된 프로필 상태만 접근부 A-B 횡단엣지에 적용</x:v>
      </x:c>
      <x:c r="P18" s="207" t="str">
        <x:v>N</x:v>
      </x:c>
      <x:c r="Q18" s="207" t="str">
        <x:v>N</x:v>
      </x:c>
      <x:c r="R18" s="109" t="str">
        <x:v>보도·횡단 그래프 구축 대기</x:v>
      </x:c>
    </x:row>
    <x:row r="19" ht="38" customHeight="1">
      <x:c r="A19" s="37" t="str">
        <x:v>CW13</x:v>
      </x:c>
      <x:c r="B19" s="37" t="str">
        <x:v>2024121190</x:v>
      </x:c>
      <x:c r="C19" s="37" t="str">
        <x:v>W318729204_S2</x:v>
      </x:c>
      <x:c r="D19" s="37" t="str">
        <x:v>318729204</x:v>
      </x:c>
      <x:c r="E19" s="37" t="str">
        <x:v>tertiary</x:v>
      </x:c>
      <x:c r="F19" s="37" t="str"/>
      <x:c r="G19" s="42" t="n">
        <x:v>1.68</x:v>
      </x:c>
      <x:c r="H19" s="37" t="str">
        <x:v>unknown</x:v>
      </x:c>
      <x:c r="I19" s="37" t="str">
        <x:v>base distance</x:v>
      </x:c>
      <x:c r="J19" s="37" t="str">
        <x:v>x1.15</x:v>
      </x:c>
      <x:c r="K19" s="37" t="str">
        <x:v>same as B until an AI candidate is human-approved</x:v>
      </x:c>
      <x:c r="L19" s="37" t="str">
        <x:v>OSM centerline proxy; not a surveyed crossing edge</x:v>
      </x:c>
      <x:c r="M19" s="109" t="str">
        <x:v>XW_CW13</x:v>
      </x:c>
      <x:c r="N19" s="109" t="str">
        <x:v>wheelchair / visual</x:v>
      </x:c>
      <x:c r="O19" s="109" t="str">
        <x:v>검수된 프로필 상태만 접근부 A-B 횡단엣지에 적용</x:v>
      </x:c>
      <x:c r="P19" s="207" t="str">
        <x:v>N</x:v>
      </x:c>
      <x:c r="Q19" s="207" t="str">
        <x:v>N</x:v>
      </x:c>
      <x:c r="R19" s="109" t="str">
        <x:v>보도·횡단 그래프 구축 대기</x:v>
      </x:c>
    </x:row>
    <x:row r="20" ht="38" customHeight="1">
      <x:c r="A20" s="37" t="str">
        <x:v>CW14</x:v>
      </x:c>
      <x:c r="B20" s="37" t="str">
        <x:v>2024120086</x:v>
      </x:c>
      <x:c r="C20" s="37" t="str">
        <x:v>W318729248_S38</x:v>
      </x:c>
      <x:c r="D20" s="37" t="str">
        <x:v>318729248</x:v>
      </x:c>
      <x:c r="E20" s="37" t="str">
        <x:v>tertiary</x:v>
      </x:c>
      <x:c r="F20" s="37" t="str">
        <x:v>만안로</x:v>
      </x:c>
      <x:c r="G20" s="42" t="n">
        <x:v>0.47</x:v>
      </x:c>
      <x:c r="H20" s="37" t="str">
        <x:v>unknown</x:v>
      </x:c>
      <x:c r="I20" s="37" t="str">
        <x:v>base distance</x:v>
      </x:c>
      <x:c r="J20" s="37" t="str">
        <x:v>x1.15</x:v>
      </x:c>
      <x:c r="K20" s="37" t="str">
        <x:v>same as B until an AI candidate is human-approved</x:v>
      </x:c>
      <x:c r="L20" s="37" t="str">
        <x:v>OSM centerline proxy; not a surveyed crossing edge</x:v>
      </x:c>
      <x:c r="M20" s="109" t="str">
        <x:v>XW_CW14</x:v>
      </x:c>
      <x:c r="N20" s="109" t="str">
        <x:v>wheelchair / visual</x:v>
      </x:c>
      <x:c r="O20" s="109" t="str">
        <x:v>검수된 프로필 상태만 접근부 A-B 횡단엣지에 적용</x:v>
      </x:c>
      <x:c r="P20" s="207" t="str">
        <x:v>N</x:v>
      </x:c>
      <x:c r="Q20" s="207" t="str">
        <x:v>N</x:v>
      </x:c>
      <x:c r="R20" s="109" t="str">
        <x:v>보도·횡단 그래프 구축 대기</x:v>
      </x:c>
    </x:row>
    <x:row r="21" ht="38" customHeight="1">
      <x:c r="A21" s="37" t="str">
        <x:v>CW15</x:v>
      </x:c>
      <x:c r="B21" s="37" t="str">
        <x:v>2024122521</x:v>
      </x:c>
      <x:c r="C21" s="37" t="str">
        <x:v>W380073444_S0</x:v>
      </x:c>
      <x:c r="D21" s="37" t="str">
        <x:v>380073444</x:v>
      </x:c>
      <x:c r="E21" s="37" t="str">
        <x:v>tertiary</x:v>
      </x:c>
      <x:c r="F21" s="37" t="str">
        <x:v>일번가지하차도</x:v>
      </x:c>
      <x:c r="G21" s="42" t="n">
        <x:v>0.73</x:v>
      </x:c>
      <x:c r="H21" s="37" t="str">
        <x:v>unknown</x:v>
      </x:c>
      <x:c r="I21" s="37" t="str">
        <x:v>base distance</x:v>
      </x:c>
      <x:c r="J21" s="37" t="str">
        <x:v>x1.15</x:v>
      </x:c>
      <x:c r="K21" s="37" t="str">
        <x:v>same as B until an AI candidate is human-approved</x:v>
      </x:c>
      <x:c r="L21" s="37" t="str">
        <x:v>OSM centerline proxy; not a surveyed crossing edge</x:v>
      </x:c>
      <x:c r="M21" s="109" t="str">
        <x:v>XW_CW15</x:v>
      </x:c>
      <x:c r="N21" s="109" t="str">
        <x:v>wheelchair / visual</x:v>
      </x:c>
      <x:c r="O21" s="109" t="str">
        <x:v>검수된 프로필 상태만 접근부 A-B 횡단엣지에 적용</x:v>
      </x:c>
      <x:c r="P21" s="207" t="str">
        <x:v>N</x:v>
      </x:c>
      <x:c r="Q21" s="207" t="str">
        <x:v>N</x:v>
      </x:c>
      <x:c r="R21" s="109" t="str">
        <x:v>보도·횡단 그래프 구축 대기</x:v>
      </x:c>
    </x:row>
    <x:row r="22" ht="38" customHeight="1">
      <x:c r="A22" s="37" t="str">
        <x:v>CW16</x:v>
      </x:c>
      <x:c r="B22" s="37" t="str">
        <x:v>2024122517</x:v>
      </x:c>
      <x:c r="C22" s="37" t="str">
        <x:v>W863717799_S8</x:v>
      </x:c>
      <x:c r="D22" s="37" t="str">
        <x:v>863717799</x:v>
      </x:c>
      <x:c r="E22" s="37" t="str">
        <x:v>tertiary</x:v>
      </x:c>
      <x:c r="F22" s="37" t="str">
        <x:v>장내로</x:v>
      </x:c>
      <x:c r="G22" s="42" t="n">
        <x:v>1.36</x:v>
      </x:c>
      <x:c r="H22" s="37" t="str">
        <x:v>unknown</x:v>
      </x:c>
      <x:c r="I22" s="37" t="str">
        <x:v>base distance</x:v>
      </x:c>
      <x:c r="J22" s="37" t="str">
        <x:v>x1.15</x:v>
      </x:c>
      <x:c r="K22" s="37" t="str">
        <x:v>same as B until an AI candidate is human-approved</x:v>
      </x:c>
      <x:c r="L22" s="37" t="str">
        <x:v>OSM centerline proxy; not a surveyed crossing edge</x:v>
      </x:c>
      <x:c r="M22" s="109" t="str">
        <x:v>XW_CW16</x:v>
      </x:c>
      <x:c r="N22" s="109" t="str">
        <x:v>wheelchair / visual</x:v>
      </x:c>
      <x:c r="O22" s="109" t="str">
        <x:v>검수된 프로필 상태만 접근부 A-B 횡단엣지에 적용</x:v>
      </x:c>
      <x:c r="P22" s="207" t="str">
        <x:v>N</x:v>
      </x:c>
      <x:c r="Q22" s="207" t="str">
        <x:v>N</x:v>
      </x:c>
      <x:c r="R22" s="109" t="str">
        <x:v>보도·횡단 그래프 구축 대기</x:v>
      </x:c>
    </x:row>
    <x:row r="23" ht="38" customHeight="1">
      <x:c r="A23" s="37" t="str">
        <x:v>CW17</x:v>
      </x:c>
      <x:c r="B23" s="37" t="str">
        <x:v>2024122512</x:v>
      </x:c>
      <x:c r="C23" s="37" t="str">
        <x:v>W380063841_S0</x:v>
      </x:c>
      <x:c r="D23" s="37" t="str">
        <x:v>380063841</x:v>
      </x:c>
      <x:c r="E23" s="37" t="str">
        <x:v>residential</x:v>
      </x:c>
      <x:c r="F23" s="37" t="str">
        <x:v>안양로268번길</x:v>
      </x:c>
      <x:c r="G23" s="42" t="n">
        <x:v>0.19</x:v>
      </x:c>
      <x:c r="H23" s="37" t="str">
        <x:v>unknown</x:v>
      </x:c>
      <x:c r="I23" s="37" t="str">
        <x:v>base distance</x:v>
      </x:c>
      <x:c r="J23" s="37" t="str">
        <x:v>x1.15</x:v>
      </x:c>
      <x:c r="K23" s="37" t="str">
        <x:v>same as B until an AI candidate is human-approved</x:v>
      </x:c>
      <x:c r="L23" s="37" t="str">
        <x:v>OSM centerline proxy; not a surveyed crossing edge</x:v>
      </x:c>
      <x:c r="M23" s="109" t="str">
        <x:v>XW_CW17</x:v>
      </x:c>
      <x:c r="N23" s="109" t="str">
        <x:v>wheelchair / visual</x:v>
      </x:c>
      <x:c r="O23" s="109" t="str">
        <x:v>검수된 프로필 상태만 접근부 A-B 횡단엣지에 적용</x:v>
      </x:c>
      <x:c r="P23" s="207" t="str">
        <x:v>N</x:v>
      </x:c>
      <x:c r="Q23" s="207" t="str">
        <x:v>N</x:v>
      </x:c>
      <x:c r="R23" s="109" t="str">
        <x:v>보도·횡단 그래프 구축 대기</x:v>
      </x:c>
    </x:row>
    <x:row r="24" ht="38" customHeight="1">
      <x:c r="A24" s="37" t="str">
        <x:v>CW18</x:v>
      </x:c>
      <x:c r="B24" s="37" t="str">
        <x:v>2024122514</x:v>
      </x:c>
      <x:c r="C24" s="37" t="str">
        <x:v>W38609253_S0</x:v>
      </x:c>
      <x:c r="D24" s="37" t="str">
        <x:v>38609253</x:v>
      </x:c>
      <x:c r="E24" s="37" t="str">
        <x:v>residential</x:v>
      </x:c>
      <x:c r="F24" s="37" t="str">
        <x:v>안양로258번길</x:v>
      </x:c>
      <x:c r="G24" s="42" t="n">
        <x:v>0.86</x:v>
      </x:c>
      <x:c r="H24" s="37" t="str">
        <x:v>unknown</x:v>
      </x:c>
      <x:c r="I24" s="37" t="str">
        <x:v>base distance</x:v>
      </x:c>
      <x:c r="J24" s="37" t="str">
        <x:v>x1.15</x:v>
      </x:c>
      <x:c r="K24" s="37" t="str">
        <x:v>same as B until an AI candidate is human-approved</x:v>
      </x:c>
      <x:c r="L24" s="37" t="str">
        <x:v>OSM centerline proxy; not a surveyed crossing edge</x:v>
      </x:c>
      <x:c r="M24" s="109" t="str">
        <x:v>XW_CW18</x:v>
      </x:c>
      <x:c r="N24" s="109" t="str">
        <x:v>wheelchair / visual</x:v>
      </x:c>
      <x:c r="O24" s="109" t="str">
        <x:v>검수된 프로필 상태만 접근부 A-B 횡단엣지에 적용</x:v>
      </x:c>
      <x:c r="P24" s="207" t="str">
        <x:v>N</x:v>
      </x:c>
      <x:c r="Q24" s="207" t="str">
        <x:v>N</x:v>
      </x:c>
      <x:c r="R24" s="109" t="str">
        <x:v>보도·횡단 그래프 구축 대기</x:v>
      </x:c>
    </x:row>
    <x:row r="25" ht="38" customHeight="1">
      <x:c r="A25" s="37" t="str">
        <x:v>CW19</x:v>
      </x:c>
      <x:c r="B25" s="37" t="str">
        <x:v>2024120083</x:v>
      </x:c>
      <x:c r="C25" s="37" t="str">
        <x:v>W38609408_S8</x:v>
      </x:c>
      <x:c r="D25" s="37" t="str">
        <x:v>38609408</x:v>
      </x:c>
      <x:c r="E25" s="37" t="str">
        <x:v>tertiary</x:v>
      </x:c>
      <x:c r="F25" s="37" t="str">
        <x:v>안양로</x:v>
      </x:c>
      <x:c r="G25" s="42" t="n">
        <x:v>0.55</x:v>
      </x:c>
      <x:c r="H25" s="37" t="str">
        <x:v>unknown</x:v>
      </x:c>
      <x:c r="I25" s="37" t="str">
        <x:v>base distance</x:v>
      </x:c>
      <x:c r="J25" s="37" t="str">
        <x:v>x1.15</x:v>
      </x:c>
      <x:c r="K25" s="37" t="str">
        <x:v>same as B until an AI candidate is human-approved</x:v>
      </x:c>
      <x:c r="L25" s="37" t="str">
        <x:v>OSM centerline proxy; not a surveyed crossing edge</x:v>
      </x:c>
      <x:c r="M25" s="109" t="str">
        <x:v>XW_CW19</x:v>
      </x:c>
      <x:c r="N25" s="109" t="str">
        <x:v>wheelchair / visual</x:v>
      </x:c>
      <x:c r="O25" s="109" t="str">
        <x:v>검수된 프로필 상태만 접근부 A-B 횡단엣지에 적용</x:v>
      </x:c>
      <x:c r="P25" s="207" t="str">
        <x:v>N</x:v>
      </x:c>
      <x:c r="Q25" s="207" t="str">
        <x:v>N</x:v>
      </x:c>
      <x:c r="R25" s="109" t="str">
        <x:v>보도·횡단 그래프 구축 대기</x:v>
      </x:c>
    </x:row>
    <x:row r="26" ht="38" customHeight="1">
      <x:c r="A26" s="37" t="str">
        <x:v>CW20</x:v>
      </x:c>
      <x:c r="B26" s="37" t="str">
        <x:v>2024120362</x:v>
      </x:c>
      <x:c r="C26" s="37" t="str">
        <x:v>W38609408_S9</x:v>
      </x:c>
      <x:c r="D26" s="37" t="str">
        <x:v>38609408</x:v>
      </x:c>
      <x:c r="E26" s="37" t="str">
        <x:v>tertiary</x:v>
      </x:c>
      <x:c r="F26" s="37" t="str">
        <x:v>안양로</x:v>
      </x:c>
      <x:c r="G26" s="42" t="n">
        <x:v>2.18</x:v>
      </x:c>
      <x:c r="H26" s="37" t="str">
        <x:v>unknown</x:v>
      </x:c>
      <x:c r="I26" s="37" t="str">
        <x:v>base distance</x:v>
      </x:c>
      <x:c r="J26" s="37" t="str">
        <x:v>x1.15</x:v>
      </x:c>
      <x:c r="K26" s="37" t="str">
        <x:v>same as B until an AI candidate is human-approved</x:v>
      </x:c>
      <x:c r="L26" s="37" t="str">
        <x:v>OSM centerline proxy; not a surveyed crossing edge</x:v>
      </x:c>
      <x:c r="M26" s="109" t="str">
        <x:v>XW_CW20</x:v>
      </x:c>
      <x:c r="N26" s="109" t="str">
        <x:v>wheelchair / visual</x:v>
      </x:c>
      <x:c r="O26" s="109" t="str">
        <x:v>검수된 프로필 상태만 접근부 A-B 횡단엣지에 적용</x:v>
      </x:c>
      <x:c r="P26" s="207" t="str">
        <x:v>N</x:v>
      </x:c>
      <x:c r="Q26" s="207" t="str">
        <x:v>N</x:v>
      </x:c>
      <x:c r="R26" s="109" t="str">
        <x:v>보도·횡단 그래프 구축 대기</x:v>
      </x:c>
    </x:row>
    <x:row r="27" ht="38" customHeight="1">
      <x:c r="A27" s="37" t="str">
        <x:v>CW21</x:v>
      </x:c>
      <x:c r="B27" s="37" t="str">
        <x:v>2025085034</x:v>
      </x:c>
      <x:c r="C27" s="37" t="str">
        <x:v>W38609292_S2</x:v>
      </x:c>
      <x:c r="D27" s="37" t="str">
        <x:v>38609292</x:v>
      </x:c>
      <x:c r="E27" s="37" t="str">
        <x:v>tertiary</x:v>
      </x:c>
      <x:c r="F27" s="37" t="str">
        <x:v>삼덕로</x:v>
      </x:c>
      <x:c r="G27" s="42" t="n">
        <x:v>0.34</x:v>
      </x:c>
      <x:c r="H27" s="37" t="str">
        <x:v>public_explicit_present</x:v>
      </x:c>
      <x:c r="I27" s="37" t="str">
        <x:v>base distance</x:v>
      </x:c>
      <x:c r="J27" s="37" t="str">
        <x:v>x1.00</x:v>
      </x:c>
      <x:c r="K27" s="37" t="str">
        <x:v>same as B until an AI candidate is human-approved</x:v>
      </x:c>
      <x:c r="L27" s="37" t="str">
        <x:v>OSM centerline proxy; not a surveyed crossing edge</x:v>
      </x:c>
      <x:c r="M27" s="109" t="str">
        <x:v>XW_CW21</x:v>
      </x:c>
      <x:c r="N27" s="109" t="str">
        <x:v>wheelchair / visual</x:v>
      </x:c>
      <x:c r="O27" s="109" t="str">
        <x:v>검수된 프로필 상태만 접근부 A-B 횡단엣지에 적용</x:v>
      </x:c>
      <x:c r="P27" s="207" t="str">
        <x:v>N</x:v>
      </x:c>
      <x:c r="Q27" s="207" t="str">
        <x:v>N</x:v>
      </x:c>
      <x:c r="R27" s="109" t="str">
        <x:v>보도·횡단 그래프 구축 대기</x:v>
      </x:c>
    </x:row>
    <x:row r="28" ht="38" customHeight="1">
      <x:c r="A28" s="37" t="str">
        <x:v>CW22</x:v>
      </x:c>
      <x:c r="B28" s="37" t="str">
        <x:v>2025085029</x:v>
      </x:c>
      <x:c r="C28" s="37" t="str">
        <x:v>W38609097_S14</x:v>
      </x:c>
      <x:c r="D28" s="37" t="str">
        <x:v>38609097</x:v>
      </x:c>
      <x:c r="E28" s="37" t="str">
        <x:v>tertiary</x:v>
      </x:c>
      <x:c r="F28" s="37" t="str">
        <x:v>냉천로</x:v>
      </x:c>
      <x:c r="G28" s="42" t="n">
        <x:v>4.12</x:v>
      </x:c>
      <x:c r="H28" s="37" t="str">
        <x:v>public_explicit_present</x:v>
      </x:c>
      <x:c r="I28" s="37" t="str">
        <x:v>base distance</x:v>
      </x:c>
      <x:c r="J28" s="37" t="str">
        <x:v>x1.00</x:v>
      </x:c>
      <x:c r="K28" s="37" t="str">
        <x:v>same as B until an AI candidate is human-approved</x:v>
      </x:c>
      <x:c r="L28" s="37" t="str">
        <x:v>OSM centerline proxy; not a surveyed crossing edge</x:v>
      </x:c>
      <x:c r="M28" s="109" t="str">
        <x:v>XW_CW22</x:v>
      </x:c>
      <x:c r="N28" s="109" t="str">
        <x:v>wheelchair / visual</x:v>
      </x:c>
      <x:c r="O28" s="109" t="str">
        <x:v>검수된 프로필 상태만 접근부 A-B 횡단엣지에 적용</x:v>
      </x:c>
      <x:c r="P28" s="207" t="str">
        <x:v>N</x:v>
      </x:c>
      <x:c r="Q28" s="207" t="str">
        <x:v>N</x:v>
      </x:c>
      <x:c r="R28" s="109" t="str">
        <x:v>보도·횡단 그래프 구축 대기</x:v>
      </x:c>
    </x:row>
    <x:row r="29" ht="38" customHeight="1">
      <x:c r="A29" s="37" t="str">
        <x:v>CW23</x:v>
      </x:c>
      <x:c r="B29" s="37" t="str">
        <x:v>2025085023</x:v>
      </x:c>
      <x:c r="C29" s="37" t="str">
        <x:v>W379904072_S3</x:v>
      </x:c>
      <x:c r="D29" s="37" t="str">
        <x:v>379904072</x:v>
      </x:c>
      <x:c r="E29" s="37" t="str">
        <x:v>residential</x:v>
      </x:c>
      <x:c r="F29" s="37" t="str">
        <x:v>안양로223번길</x:v>
      </x:c>
      <x:c r="G29" s="42" t="n">
        <x:v>0.55</x:v>
      </x:c>
      <x:c r="H29" s="37" t="str">
        <x:v>public_explicit_present</x:v>
      </x:c>
      <x:c r="I29" s="37" t="str">
        <x:v>base distance</x:v>
      </x:c>
      <x:c r="J29" s="37" t="str">
        <x:v>x1.00</x:v>
      </x:c>
      <x:c r="K29" s="37" t="str">
        <x:v>same as B until an AI candidate is human-approved</x:v>
      </x:c>
      <x:c r="L29" s="37" t="str">
        <x:v>OSM centerline proxy; not a surveyed crossing edge</x:v>
      </x:c>
      <x:c r="M29" s="109" t="str">
        <x:v>XW_CW23</x:v>
      </x:c>
      <x:c r="N29" s="109" t="str">
        <x:v>wheelchair / visual</x:v>
      </x:c>
      <x:c r="O29" s="109" t="str">
        <x:v>검수된 프로필 상태만 접근부 A-B 횡단엣지에 적용</x:v>
      </x:c>
      <x:c r="P29" s="207" t="str">
        <x:v>N</x:v>
      </x:c>
      <x:c r="Q29" s="207" t="str">
        <x:v>N</x:v>
      </x:c>
      <x:c r="R29" s="109" t="str">
        <x:v>보도·횡단 그래프 구축 대기</x:v>
      </x:c>
    </x:row>
    <x:row r="30" ht="38" customHeight="1">
      <x:c r="A30" s="37" t="str">
        <x:v>CW24</x:v>
      </x:c>
      <x:c r="B30" s="37" t="str">
        <x:v>2025085028</x:v>
      </x:c>
      <x:c r="C30" s="37" t="str">
        <x:v>W38609097_S14</x:v>
      </x:c>
      <x:c r="D30" s="37" t="str">
        <x:v>38609097</x:v>
      </x:c>
      <x:c r="E30" s="37" t="str">
        <x:v>tertiary</x:v>
      </x:c>
      <x:c r="F30" s="37" t="str">
        <x:v>냉천로</x:v>
      </x:c>
      <x:c r="G30" s="42" t="n">
        <x:v>14.39</x:v>
      </x:c>
      <x:c r="H30" s="37" t="str">
        <x:v>public_explicit_present</x:v>
      </x:c>
      <x:c r="I30" s="37" t="str">
        <x:v>base distance</x:v>
      </x:c>
      <x:c r="J30" s="37" t="str">
        <x:v>x1.00</x:v>
      </x:c>
      <x:c r="K30" s="37" t="str">
        <x:v>same as B until an AI candidate is human-approved</x:v>
      </x:c>
      <x:c r="L30" s="37" t="str">
        <x:v>OSM centerline proxy; not a surveyed crossing edge</x:v>
      </x:c>
      <x:c r="M30" s="109" t="str">
        <x:v>XW_CW24</x:v>
      </x:c>
      <x:c r="N30" s="109" t="str">
        <x:v>wheelchair / visual</x:v>
      </x:c>
      <x:c r="O30" s="109" t="str">
        <x:v>검수된 프로필 상태만 접근부 A-B 횡단엣지에 적용</x:v>
      </x:c>
      <x:c r="P30" s="207" t="str">
        <x:v>N</x:v>
      </x:c>
      <x:c r="Q30" s="207" t="str">
        <x:v>N</x:v>
      </x:c>
      <x:c r="R30" s="109" t="str">
        <x:v>보도·횡단 그래프 구축 대기</x:v>
      </x:c>
    </x:row>
    <x:row r="31" ht="38" customHeight="1">
      <x:c r="A31" s="37" t="str">
        <x:v>CW25</x:v>
      </x:c>
      <x:c r="B31" s="37" t="str">
        <x:v>2025085030</x:v>
      </x:c>
      <x:c r="C31" s="37" t="str">
        <x:v>W38609097_S13</x:v>
      </x:c>
      <x:c r="D31" s="37" t="str">
        <x:v>38609097</x:v>
      </x:c>
      <x:c r="E31" s="37" t="str">
        <x:v>tertiary</x:v>
      </x:c>
      <x:c r="F31" s="37" t="str">
        <x:v>냉천로</x:v>
      </x:c>
      <x:c r="G31" s="42" t="n">
        <x:v>4.39</x:v>
      </x:c>
      <x:c r="H31" s="37" t="str">
        <x:v>public_explicit_present</x:v>
      </x:c>
      <x:c r="I31" s="37" t="str">
        <x:v>base distance</x:v>
      </x:c>
      <x:c r="J31" s="37" t="str">
        <x:v>x1.00</x:v>
      </x:c>
      <x:c r="K31" s="37" t="str">
        <x:v>same as B until an AI candidate is human-approved</x:v>
      </x:c>
      <x:c r="L31" s="37" t="str">
        <x:v>OSM centerline proxy; not a surveyed crossing edge</x:v>
      </x:c>
      <x:c r="M31" s="109" t="str">
        <x:v>XW_CW25</x:v>
      </x:c>
      <x:c r="N31" s="109" t="str">
        <x:v>wheelchair / visual</x:v>
      </x:c>
      <x:c r="O31" s="109" t="str">
        <x:v>검수된 프로필 상태만 접근부 A-B 횡단엣지에 적용</x:v>
      </x:c>
      <x:c r="P31" s="207" t="str">
        <x:v>N</x:v>
      </x:c>
      <x:c r="Q31" s="207" t="str">
        <x:v>N</x:v>
      </x:c>
      <x:c r="R31" s="109" t="str">
        <x:v>보도·횡단 그래프 구축 대기</x:v>
      </x:c>
    </x:row>
    <x:row r="32" ht="38" customHeight="1">
      <x:c r="A32" s="37" t="str">
        <x:v>CW26</x:v>
      </x:c>
      <x:c r="B32" s="37" t="str">
        <x:v>2025085031</x:v>
      </x:c>
      <x:c r="C32" s="37" t="str">
        <x:v>W38609097_S10</x:v>
      </x:c>
      <x:c r="D32" s="37" t="str">
        <x:v>38609097</x:v>
      </x:c>
      <x:c r="E32" s="37" t="str">
        <x:v>tertiary</x:v>
      </x:c>
      <x:c r="F32" s="37" t="str">
        <x:v>냉천로</x:v>
      </x:c>
      <x:c r="G32" s="42" t="n">
        <x:v>3.09</x:v>
      </x:c>
      <x:c r="H32" s="37" t="str">
        <x:v>public_explicit_present</x:v>
      </x:c>
      <x:c r="I32" s="37" t="str">
        <x:v>base distance</x:v>
      </x:c>
      <x:c r="J32" s="37" t="str">
        <x:v>x1.00</x:v>
      </x:c>
      <x:c r="K32" s="37" t="str">
        <x:v>same as B until an AI candidate is human-approved</x:v>
      </x:c>
      <x:c r="L32" s="37" t="str">
        <x:v>OSM centerline proxy; not a surveyed crossing edge</x:v>
      </x:c>
      <x:c r="M32" s="109" t="str">
        <x:v>XW_CW26</x:v>
      </x:c>
      <x:c r="N32" s="109" t="str">
        <x:v>wheelchair / visual</x:v>
      </x:c>
      <x:c r="O32" s="109" t="str">
        <x:v>검수된 프로필 상태만 접근부 A-B 횡단엣지에 적용</x:v>
      </x:c>
      <x:c r="P32" s="207" t="str">
        <x:v>N</x:v>
      </x:c>
      <x:c r="Q32" s="207" t="str">
        <x:v>N</x:v>
      </x:c>
      <x:c r="R32" s="109" t="str">
        <x:v>보도·횡단 그래프 구축 대기</x:v>
      </x:c>
    </x:row>
    <x:row r="33" ht="38" customHeight="1">
      <x:c r="A33" s="37" t="str">
        <x:v>CW27</x:v>
      </x:c>
      <x:c r="B33" s="37" t="str">
        <x:v>2025085009</x:v>
      </x:c>
      <x:c r="C33" s="37" t="str">
        <x:v>W38609097_S7</x:v>
      </x:c>
      <x:c r="D33" s="37" t="str">
        <x:v>38609097</x:v>
      </x:c>
      <x:c r="E33" s="37" t="str">
        <x:v>tertiary</x:v>
      </x:c>
      <x:c r="F33" s="37" t="str">
        <x:v>냉천로</x:v>
      </x:c>
      <x:c r="G33" s="42" t="n">
        <x:v>2.77</x:v>
      </x:c>
      <x:c r="H33" s="37" t="str">
        <x:v>public_explicit_present</x:v>
      </x:c>
      <x:c r="I33" s="37" t="str">
        <x:v>base distance</x:v>
      </x:c>
      <x:c r="J33" s="37" t="str">
        <x:v>x1.00</x:v>
      </x:c>
      <x:c r="K33" s="37" t="str">
        <x:v>same as B until an AI candidate is human-approved</x:v>
      </x:c>
      <x:c r="L33" s="37" t="str">
        <x:v>OSM centerline proxy; not a surveyed crossing edge</x:v>
      </x:c>
      <x:c r="M33" s="109" t="str">
        <x:v>XW_CW27</x:v>
      </x:c>
      <x:c r="N33" s="109" t="str">
        <x:v>wheelchair / visual</x:v>
      </x:c>
      <x:c r="O33" s="109" t="str">
        <x:v>검수된 프로필 상태만 접근부 A-B 횡단엣지에 적용</x:v>
      </x:c>
      <x:c r="P33" s="207" t="str">
        <x:v>N</x:v>
      </x:c>
      <x:c r="Q33" s="207" t="str">
        <x:v>N</x:v>
      </x:c>
      <x:c r="R33" s="109" t="str">
        <x:v>보도·횡단 그래프 구축 대기</x:v>
      </x:c>
    </x:row>
    <x:row r="34" ht="38" customHeight="1">
      <x:c r="A34" s="37" t="str">
        <x:v>CW28</x:v>
      </x:c>
      <x:c r="B34" s="37" t="str">
        <x:v>2025085010</x:v>
      </x:c>
      <x:c r="C34" s="37" t="str">
        <x:v>W38609193_S10</x:v>
      </x:c>
      <x:c r="D34" s="37" t="str">
        <x:v>38609193</x:v>
      </x:c>
      <x:c r="E34" s="37" t="str">
        <x:v>tertiary</x:v>
      </x:c>
      <x:c r="F34" s="37" t="str">
        <x:v>현충로</x:v>
      </x:c>
      <x:c r="G34" s="42" t="n">
        <x:v>1.26</x:v>
      </x:c>
      <x:c r="H34" s="37" t="str">
        <x:v>public_explicit_present</x:v>
      </x:c>
      <x:c r="I34" s="37" t="str">
        <x:v>base distance</x:v>
      </x:c>
      <x:c r="J34" s="37" t="str">
        <x:v>x1.00</x:v>
      </x:c>
      <x:c r="K34" s="37" t="str">
        <x:v>same as B until an AI candidate is human-approved</x:v>
      </x:c>
      <x:c r="L34" s="37" t="str">
        <x:v>OSM centerline proxy; not a surveyed crossing edge</x:v>
      </x:c>
      <x:c r="M34" s="109" t="str">
        <x:v>XW_CW28</x:v>
      </x:c>
      <x:c r="N34" s="109" t="str">
        <x:v>wheelchair / visual</x:v>
      </x:c>
      <x:c r="O34" s="109" t="str">
        <x:v>검수된 프로필 상태만 접근부 A-B 횡단엣지에 적용</x:v>
      </x:c>
      <x:c r="P34" s="207" t="str">
        <x:v>N</x:v>
      </x:c>
      <x:c r="Q34" s="207" t="str">
        <x:v>N</x:v>
      </x:c>
      <x:c r="R34" s="109" t="str">
        <x:v>보도·횡단 그래프 구축 대기</x:v>
      </x:c>
    </x:row>
    <x:row r="35" ht="38" customHeight="1">
      <x:c r="A35" s="37" t="str">
        <x:v>CW29</x:v>
      </x:c>
      <x:c r="B35" s="37" t="str">
        <x:v>2025085011</x:v>
      </x:c>
      <x:c r="C35" s="37" t="str">
        <x:v>W82908648_S0</x:v>
      </x:c>
      <x:c r="D35" s="37" t="str">
        <x:v>82908648</x:v>
      </x:c>
      <x:c r="E35" s="37" t="str">
        <x:v>service</x:v>
      </x:c>
      <x:c r="F35" s="37" t="str">
        <x:v>현충로</x:v>
      </x:c>
      <x:c r="G35" s="42" t="n">
        <x:v>0.67</x:v>
      </x:c>
      <x:c r="H35" s="37" t="str">
        <x:v>public_explicit_present</x:v>
      </x:c>
      <x:c r="I35" s="37" t="str">
        <x:v>base distance</x:v>
      </x:c>
      <x:c r="J35" s="37" t="str">
        <x:v>x1.00</x:v>
      </x:c>
      <x:c r="K35" s="37" t="str">
        <x:v>same as B until an AI candidate is human-approved</x:v>
      </x:c>
      <x:c r="L35" s="37" t="str">
        <x:v>OSM centerline proxy; not a surveyed crossing edge</x:v>
      </x:c>
      <x:c r="M35" s="109" t="str">
        <x:v>XW_CW29</x:v>
      </x:c>
      <x:c r="N35" s="109" t="str">
        <x:v>wheelchair / visual</x:v>
      </x:c>
      <x:c r="O35" s="109" t="str">
        <x:v>검수된 프로필 상태만 접근부 A-B 횡단엣지에 적용</x:v>
      </x:c>
      <x:c r="P35" s="207" t="str">
        <x:v>N</x:v>
      </x:c>
      <x:c r="Q35" s="207" t="str">
        <x:v>N</x:v>
      </x:c>
      <x:c r="R35" s="109" t="str">
        <x:v>보도·횡단 그래프 구축 대기</x:v>
      </x:c>
    </x:row>
    <x:row r="36" ht="38" customHeight="1">
      <x:c r="A36" s="37" t="str">
        <x:v>CW30</x:v>
      </x:c>
      <x:c r="B36" s="37" t="str">
        <x:v>2025085027</x:v>
      </x:c>
      <x:c r="C36" s="37" t="str">
        <x:v>W82908648_S1</x:v>
      </x:c>
      <x:c r="D36" s="37" t="str">
        <x:v>82908648</x:v>
      </x:c>
      <x:c r="E36" s="37" t="str">
        <x:v>service</x:v>
      </x:c>
      <x:c r="F36" s="37" t="str">
        <x:v>현충로</x:v>
      </x:c>
      <x:c r="G36" s="42" t="n">
        <x:v>8.75</x:v>
      </x:c>
      <x:c r="H36" s="37" t="str">
        <x:v>public_explicit_present</x:v>
      </x:c>
      <x:c r="I36" s="37" t="str">
        <x:v>base distance</x:v>
      </x:c>
      <x:c r="J36" s="37" t="str">
        <x:v>x1.00</x:v>
      </x:c>
      <x:c r="K36" s="37" t="str">
        <x:v>same as B until an AI candidate is human-approved</x:v>
      </x:c>
      <x:c r="L36" s="37" t="str">
        <x:v>OSM centerline proxy; not a surveyed crossing edge</x:v>
      </x:c>
      <x:c r="M36" s="109" t="str">
        <x:v>XW_CW30</x:v>
      </x:c>
      <x:c r="N36" s="109" t="str">
        <x:v>wheelchair / visual</x:v>
      </x:c>
      <x:c r="O36" s="109" t="str">
        <x:v>검수된 프로필 상태만 접근부 A-B 횡단엣지에 적용</x:v>
      </x:c>
      <x:c r="P36" s="207" t="str">
        <x:v>N</x:v>
      </x:c>
      <x:c r="Q36" s="207" t="str">
        <x:v>N</x:v>
      </x:c>
      <x:c r="R36" s="109" t="str">
        <x:v>보도·횡단 그래프 구축 대기</x:v>
      </x:c>
    </x:row>
    <x:row r="37" ht="38" customHeight="1">
      <x:c r="A37" s="37" t="str">
        <x:v>CW31</x:v>
      </x:c>
      <x:c r="B37" s="37" t="str">
        <x:v>2025085012</x:v>
      </x:c>
      <x:c r="C37" s="37" t="str">
        <x:v>W38609097_S6</x:v>
      </x:c>
      <x:c r="D37" s="37" t="str">
        <x:v>38609097</x:v>
      </x:c>
      <x:c r="E37" s="37" t="str">
        <x:v>tertiary</x:v>
      </x:c>
      <x:c r="F37" s="37" t="str">
        <x:v>냉천로</x:v>
      </x:c>
      <x:c r="G37" s="42" t="n">
        <x:v>1.34</x:v>
      </x:c>
      <x:c r="H37" s="37" t="str">
        <x:v>public_explicit_present</x:v>
      </x:c>
      <x:c r="I37" s="37" t="str">
        <x:v>base distance</x:v>
      </x:c>
      <x:c r="J37" s="37" t="str">
        <x:v>x1.00</x:v>
      </x:c>
      <x:c r="K37" s="37" t="str">
        <x:v>same as B until an AI candidate is human-approved</x:v>
      </x:c>
      <x:c r="L37" s="37" t="str">
        <x:v>OSM centerline proxy; not a surveyed crossing edge</x:v>
      </x:c>
      <x:c r="M37" s="109" t="str">
        <x:v>XW_CW31</x:v>
      </x:c>
      <x:c r="N37" s="109" t="str">
        <x:v>wheelchair / visual</x:v>
      </x:c>
      <x:c r="O37" s="109" t="str">
        <x:v>검수된 프로필 상태만 접근부 A-B 횡단엣지에 적용</x:v>
      </x:c>
      <x:c r="P37" s="207" t="str">
        <x:v>N</x:v>
      </x:c>
      <x:c r="Q37" s="207" t="str">
        <x:v>N</x:v>
      </x:c>
      <x:c r="R37" s="109" t="str">
        <x:v>보도·횡단 그래프 구축 대기</x:v>
      </x:c>
    </x:row>
    <x:row r="38" ht="38" customHeight="1">
      <x:c r="A38" s="37" t="str">
        <x:v>CW32</x:v>
      </x:c>
      <x:c r="B38" s="37" t="str">
        <x:v>2025085025</x:v>
      </x:c>
      <x:c r="C38" s="37" t="str">
        <x:v>W82908648_S0</x:v>
      </x:c>
      <x:c r="D38" s="37" t="str">
        <x:v>82908648</x:v>
      </x:c>
      <x:c r="E38" s="37" t="str">
        <x:v>service</x:v>
      </x:c>
      <x:c r="F38" s="37" t="str">
        <x:v>현충로</x:v>
      </x:c>
      <x:c r="G38" s="42" t="n">
        <x:v>1.42</x:v>
      </x:c>
      <x:c r="H38" s="37" t="str">
        <x:v>public_explicit_present</x:v>
      </x:c>
      <x:c r="I38" s="37" t="str">
        <x:v>base distance</x:v>
      </x:c>
      <x:c r="J38" s="37" t="str">
        <x:v>x1.00</x:v>
      </x:c>
      <x:c r="K38" s="37" t="str">
        <x:v>same as B until an AI candidate is human-approved</x:v>
      </x:c>
      <x:c r="L38" s="37" t="str">
        <x:v>OSM centerline proxy; not a surveyed crossing edge</x:v>
      </x:c>
      <x:c r="M38" s="109" t="str">
        <x:v>XW_CW32</x:v>
      </x:c>
      <x:c r="N38" s="109" t="str">
        <x:v>wheelchair / visual</x:v>
      </x:c>
      <x:c r="O38" s="109" t="str">
        <x:v>검수된 프로필 상태만 접근부 A-B 횡단엣지에 적용</x:v>
      </x:c>
      <x:c r="P38" s="207" t="str">
        <x:v>N</x:v>
      </x:c>
      <x:c r="Q38" s="207" t="str">
        <x:v>N</x:v>
      </x:c>
      <x:c r="R38" s="109" t="str">
        <x:v>보도·횡단 그래프 구축 대기</x:v>
      </x:c>
    </x:row>
    <x:row r="39" ht="38" customHeight="1">
      <x:c r="A39" s="37" t="str">
        <x:v>CW33</x:v>
      </x:c>
      <x:c r="B39" s="37" t="str">
        <x:v>2025085001</x:v>
      </x:c>
      <x:c r="C39" s="37" t="str">
        <x:v>W379904040_S0</x:v>
      </x:c>
      <x:c r="D39" s="37" t="str">
        <x:v>379904040</x:v>
      </x:c>
      <x:c r="E39" s="37" t="str">
        <x:v>residential</x:v>
      </x:c>
      <x:c r="F39" s="37" t="str">
        <x:v>냉천로98번길</x:v>
      </x:c>
      <x:c r="G39" s="42" t="n">
        <x:v>0.67</x:v>
      </x:c>
      <x:c r="H39" s="37" t="str">
        <x:v>public_explicit_risk</x:v>
      </x:c>
      <x:c r="I39" s="37" t="str">
        <x:v>base distance</x:v>
      </x:c>
      <x:c r="J39" s="37" t="str">
        <x:v>block</x:v>
      </x:c>
      <x:c r="K39" s="37" t="str">
        <x:v>same as B until an AI candidate is human-approved</x:v>
      </x:c>
      <x:c r="L39" s="37" t="str">
        <x:v>OSM centerline proxy; not a surveyed crossing edge</x:v>
      </x:c>
      <x:c r="M39" s="109" t="str">
        <x:v>XW_CW33</x:v>
      </x:c>
      <x:c r="N39" s="109" t="str">
        <x:v>wheelchair / visual</x:v>
      </x:c>
      <x:c r="O39" s="109" t="str">
        <x:v>검수된 프로필 상태만 접근부 A-B 횡단엣지에 적용</x:v>
      </x:c>
      <x:c r="P39" s="207" t="str">
        <x:v>N</x:v>
      </x:c>
      <x:c r="Q39" s="207" t="str">
        <x:v>N</x:v>
      </x:c>
      <x:c r="R39" s="109" t="str">
        <x:v>보도·횡단 그래프 구축 대기</x:v>
      </x:c>
    </x:row>
    <x:row r="40" ht="38" customHeight="1">
      <x:c r="A40" s="37" t="str">
        <x:v>CW34</x:v>
      </x:c>
      <x:c r="B40" s="37" t="str">
        <x:v>2025085002</x:v>
      </x:c>
      <x:c r="C40" s="37" t="str">
        <x:v>W38609097_S2</x:v>
      </x:c>
      <x:c r="D40" s="37" t="str">
        <x:v>38609097</x:v>
      </x:c>
      <x:c r="E40" s="37" t="str">
        <x:v>tertiary</x:v>
      </x:c>
      <x:c r="F40" s="37" t="str">
        <x:v>냉천로</x:v>
      </x:c>
      <x:c r="G40" s="42" t="n">
        <x:v>1.29</x:v>
      </x:c>
      <x:c r="H40" s="37" t="str">
        <x:v>public_explicit_present</x:v>
      </x:c>
      <x:c r="I40" s="37" t="str">
        <x:v>base distance</x:v>
      </x:c>
      <x:c r="J40" s="37" t="str">
        <x:v>x1.00</x:v>
      </x:c>
      <x:c r="K40" s="37" t="str">
        <x:v>same as B until an AI candidate is human-approved</x:v>
      </x:c>
      <x:c r="L40" s="37" t="str">
        <x:v>OSM centerline proxy; not a surveyed crossing edge</x:v>
      </x:c>
      <x:c r="M40" s="109" t="str">
        <x:v>XW_CW34</x:v>
      </x:c>
      <x:c r="N40" s="109" t="str">
        <x:v>wheelchair / visual</x:v>
      </x:c>
      <x:c r="O40" s="109" t="str">
        <x:v>검수된 프로필 상태만 접근부 A-B 횡단엣지에 적용</x:v>
      </x:c>
      <x:c r="P40" s="207" t="str">
        <x:v>N</x:v>
      </x:c>
      <x:c r="Q40" s="207" t="str">
        <x:v>N</x:v>
      </x:c>
      <x:c r="R40" s="109" t="str">
        <x:v>보도·횡단 그래프 구축 대기</x:v>
      </x:c>
    </x:row>
    <x:row r="41" ht="38" customHeight="1">
      <x:c r="A41" s="37" t="str">
        <x:v>CW35</x:v>
      </x:c>
      <x:c r="B41" s="37" t="str">
        <x:v>2025085003</x:v>
      </x:c>
      <x:c r="C41" s="37" t="str">
        <x:v>W38609212_S6</x:v>
      </x:c>
      <x:c r="D41" s="37" t="str">
        <x:v>38609212</x:v>
      </x:c>
      <x:c r="E41" s="37" t="str">
        <x:v>tertiary</x:v>
      </x:c>
      <x:c r="F41" s="37" t="str">
        <x:v>소곡로</x:v>
      </x:c>
      <x:c r="G41" s="42" t="n">
        <x:v>1.14</x:v>
      </x:c>
      <x:c r="H41" s="37" t="str">
        <x:v>public_explicit_present</x:v>
      </x:c>
      <x:c r="I41" s="37" t="str">
        <x:v>base distance</x:v>
      </x:c>
      <x:c r="J41" s="37" t="str">
        <x:v>x1.00</x:v>
      </x:c>
      <x:c r="K41" s="37" t="str">
        <x:v>same as B until an AI candidate is human-approved</x:v>
      </x:c>
      <x:c r="L41" s="37" t="str">
        <x:v>OSM centerline proxy; not a surveyed crossing edge</x:v>
      </x:c>
      <x:c r="M41" s="109" t="str">
        <x:v>XW_CW35</x:v>
      </x:c>
      <x:c r="N41" s="109" t="str">
        <x:v>wheelchair / visual</x:v>
      </x:c>
      <x:c r="O41" s="109" t="str">
        <x:v>검수된 프로필 상태만 접근부 A-B 횡단엣지에 적용</x:v>
      </x:c>
      <x:c r="P41" s="207" t="str">
        <x:v>N</x:v>
      </x:c>
      <x:c r="Q41" s="207" t="str">
        <x:v>N</x:v>
      </x:c>
      <x:c r="R41" s="109" t="str">
        <x:v>보도·횡단 그래프 구축 대기</x:v>
      </x:c>
    </x:row>
    <x:row r="42" ht="38" customHeight="1">
      <x:c r="A42" s="37" t="str">
        <x:v>CW36</x:v>
      </x:c>
      <x:c r="B42" s="37" t="str">
        <x:v>2025085005</x:v>
      </x:c>
      <x:c r="C42" s="37" t="str">
        <x:v>W814055256_S6</x:v>
      </x:c>
      <x:c r="D42" s="37" t="str">
        <x:v>814055256</x:v>
      </x:c>
      <x:c r="E42" s="37" t="str">
        <x:v>residential</x:v>
      </x:c>
      <x:c r="F42" s="37" t="str">
        <x:v>소곡로</x:v>
      </x:c>
      <x:c r="G42" s="42" t="n">
        <x:v>0.6</x:v>
      </x:c>
      <x:c r="H42" s="37" t="str">
        <x:v>public_explicit_present</x:v>
      </x:c>
      <x:c r="I42" s="37" t="str">
        <x:v>base distance</x:v>
      </x:c>
      <x:c r="J42" s="37" t="str">
        <x:v>x1.00</x:v>
      </x:c>
      <x:c r="K42" s="37" t="str">
        <x:v>same as B until an AI candidate is human-approved</x:v>
      </x:c>
      <x:c r="L42" s="37" t="str">
        <x:v>OSM centerline proxy; not a surveyed crossing edge</x:v>
      </x:c>
      <x:c r="M42" s="109" t="str">
        <x:v>XW_CW36</x:v>
      </x:c>
      <x:c r="N42" s="109" t="str">
        <x:v>wheelchair / visual</x:v>
      </x:c>
      <x:c r="O42" s="109" t="str">
        <x:v>검수된 프로필 상태만 접근부 A-B 횡단엣지에 적용</x:v>
      </x:c>
      <x:c r="P42" s="207" t="str">
        <x:v>N</x:v>
      </x:c>
      <x:c r="Q42" s="207" t="str">
        <x:v>N</x:v>
      </x:c>
      <x:c r="R42" s="109" t="str">
        <x:v>보도·횡단 그래프 구축 대기</x:v>
      </x:c>
    </x:row>
    <x:row r="43" ht="38" customHeight="1">
      <x:c r="A43" s="37" t="str">
        <x:v>CW37</x:v>
      </x:c>
      <x:c r="B43" s="37" t="str">
        <x:v>2025085004</x:v>
      </x:c>
      <x:c r="C43" s="37" t="str">
        <x:v>W38609097_S1</x:v>
      </x:c>
      <x:c r="D43" s="37" t="str">
        <x:v>38609097</x:v>
      </x:c>
      <x:c r="E43" s="37" t="str">
        <x:v>tertiary</x:v>
      </x:c>
      <x:c r="F43" s="37" t="str">
        <x:v>냉천로</x:v>
      </x:c>
      <x:c r="G43" s="42" t="n">
        <x:v>0.45</x:v>
      </x:c>
      <x:c r="H43" s="37" t="str">
        <x:v>public_explicit_present</x:v>
      </x:c>
      <x:c r="I43" s="37" t="str">
        <x:v>base distance</x:v>
      </x:c>
      <x:c r="J43" s="37" t="str">
        <x:v>x1.00</x:v>
      </x:c>
      <x:c r="K43" s="37" t="str">
        <x:v>same as B until an AI candidate is human-approved</x:v>
      </x:c>
      <x:c r="L43" s="37" t="str">
        <x:v>OSM centerline proxy; not a surveyed crossing edge</x:v>
      </x:c>
      <x:c r="M43" s="109" t="str">
        <x:v>XW_CW37</x:v>
      </x:c>
      <x:c r="N43" s="109" t="str">
        <x:v>wheelchair / visual</x:v>
      </x:c>
      <x:c r="O43" s="109" t="str">
        <x:v>검수된 프로필 상태만 접근부 A-B 횡단엣지에 적용</x:v>
      </x:c>
      <x:c r="P43" s="207" t="str">
        <x:v>N</x:v>
      </x:c>
      <x:c r="Q43" s="207" t="str">
        <x:v>N</x:v>
      </x:c>
      <x:c r="R43" s="109" t="str">
        <x:v>보도·횡단 그래프 구축 대기</x:v>
      </x:c>
    </x:row>
    <x:row r="44" ht="38" customHeight="1">
      <x:c r="A44" s="37" t="str">
        <x:v>CW38</x:v>
      </x:c>
      <x:c r="B44" s="37" t="str">
        <x:v>2025085007</x:v>
      </x:c>
      <x:c r="C44" s="37" t="str">
        <x:v>W814055256_S6</x:v>
      </x:c>
      <x:c r="D44" s="37" t="str">
        <x:v>814055256</x:v>
      </x:c>
      <x:c r="E44" s="37" t="str">
        <x:v>residential</x:v>
      </x:c>
      <x:c r="F44" s="37" t="str">
        <x:v>소곡로</x:v>
      </x:c>
      <x:c r="G44" s="42" t="n">
        <x:v>3.15</x:v>
      </x:c>
      <x:c r="H44" s="37" t="str">
        <x:v>public_explicit_present</x:v>
      </x:c>
      <x:c r="I44" s="37" t="str">
        <x:v>base distance</x:v>
      </x:c>
      <x:c r="J44" s="37" t="str">
        <x:v>x1.00</x:v>
      </x:c>
      <x:c r="K44" s="37" t="str">
        <x:v>same as B until an AI candidate is human-approved</x:v>
      </x:c>
      <x:c r="L44" s="37" t="str">
        <x:v>OSM centerline proxy; not a surveyed crossing edge</x:v>
      </x:c>
      <x:c r="M44" s="109" t="str">
        <x:v>XW_CW38</x:v>
      </x:c>
      <x:c r="N44" s="109" t="str">
        <x:v>wheelchair / visual</x:v>
      </x:c>
      <x:c r="O44" s="109" t="str">
        <x:v>검수된 프로필 상태만 접근부 A-B 횡단엣지에 적용</x:v>
      </x:c>
      <x:c r="P44" s="207" t="str">
        <x:v>N</x:v>
      </x:c>
      <x:c r="Q44" s="207" t="str">
        <x:v>N</x:v>
      </x:c>
      <x:c r="R44" s="109" t="str">
        <x:v>보도·횡단 그래프 구축 대기</x:v>
      </x:c>
    </x:row>
    <x:row r="45" ht="38" customHeight="1">
      <x:c r="A45" s="37" t="str">
        <x:v>CW39</x:v>
      </x:c>
      <x:c r="B45" s="37" t="str">
        <x:v>2025085006</x:v>
      </x:c>
      <x:c r="C45" s="37" t="str">
        <x:v>W814055256_S6</x:v>
      </x:c>
      <x:c r="D45" s="37" t="str">
        <x:v>814055256</x:v>
      </x:c>
      <x:c r="E45" s="37" t="str">
        <x:v>residential</x:v>
      </x:c>
      <x:c r="F45" s="37" t="str">
        <x:v>소곡로</x:v>
      </x:c>
      <x:c r="G45" s="42" t="n">
        <x:v>9.52</x:v>
      </x:c>
      <x:c r="H45" s="37" t="str">
        <x:v>public_explicit_present</x:v>
      </x:c>
      <x:c r="I45" s="37" t="str">
        <x:v>base distance</x:v>
      </x:c>
      <x:c r="J45" s="37" t="str">
        <x:v>x1.00</x:v>
      </x:c>
      <x:c r="K45" s="37" t="str">
        <x:v>same as B until an AI candidate is human-approved</x:v>
      </x:c>
      <x:c r="L45" s="37" t="str">
        <x:v>OSM centerline proxy; not a surveyed crossing edge</x:v>
      </x:c>
      <x:c r="M45" s="109" t="str">
        <x:v>XW_CW39</x:v>
      </x:c>
      <x:c r="N45" s="109" t="str">
        <x:v>wheelchair / visual</x:v>
      </x:c>
      <x:c r="O45" s="109" t="str">
        <x:v>검수된 프로필 상태만 접근부 A-B 횡단엣지에 적용</x:v>
      </x:c>
      <x:c r="P45" s="207" t="str">
        <x:v>N</x:v>
      </x:c>
      <x:c r="Q45" s="207" t="str">
        <x:v>N</x:v>
      </x:c>
      <x:c r="R45" s="109" t="str">
        <x:v>보도·횡단 그래프 구축 대기</x:v>
      </x:c>
    </x:row>
    <x:row r="46" ht="38" customHeight="1">
      <x:c r="A46" s="37" t="str">
        <x:v>CW40</x:v>
      </x:c>
      <x:c r="B46" s="37" t="str">
        <x:v>2025085008</x:v>
      </x:c>
      <x:c r="C46" s="37" t="str">
        <x:v>W814055256_S6</x:v>
      </x:c>
      <x:c r="D46" s="37" t="str">
        <x:v>814055256</x:v>
      </x:c>
      <x:c r="E46" s="37" t="str">
        <x:v>residential</x:v>
      </x:c>
      <x:c r="F46" s="37" t="str">
        <x:v>소곡로</x:v>
      </x:c>
      <x:c r="G46" s="42" t="n">
        <x:v>3.56</x:v>
      </x:c>
      <x:c r="H46" s="37" t="str">
        <x:v>public_explicit_present</x:v>
      </x:c>
      <x:c r="I46" s="37" t="str">
        <x:v>base distance</x:v>
      </x:c>
      <x:c r="J46" s="37" t="str">
        <x:v>x1.00</x:v>
      </x:c>
      <x:c r="K46" s="37" t="str">
        <x:v>same as B until an AI candidate is human-approved</x:v>
      </x:c>
      <x:c r="L46" s="37" t="str">
        <x:v>OSM centerline proxy; not a surveyed crossing edge</x:v>
      </x:c>
      <x:c r="M46" s="109" t="str">
        <x:v>XW_CW40</x:v>
      </x:c>
      <x:c r="N46" s="109" t="str">
        <x:v>wheelchair / visual</x:v>
      </x:c>
      <x:c r="O46" s="109" t="str">
        <x:v>검수된 프로필 상태만 접근부 A-B 횡단엣지에 적용</x:v>
      </x:c>
      <x:c r="P46" s="207" t="str">
        <x:v>N</x:v>
      </x:c>
      <x:c r="Q46" s="207" t="str">
        <x:v>N</x:v>
      </x:c>
      <x:c r="R46" s="109" t="str">
        <x:v>보도·횡단 그래프 구축 대기</x:v>
      </x:c>
    </x:row>
  </x:sheetData>
  <x:conditionalFormatting sqref="H7:H46">
    <x:cfRule type="containsText" dxfId="26" priority="1" operator="containsText" text="risk"/>
    <x:cfRule type="containsText" dxfId="27" priority="2" operator="containsText" text="unknown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667085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2" max="2" width="52" hidden="0" customWidth="1"/>
    <x:col min="1" max="1" width="24" hidden="0" customWidth="1"/>
    <x:col min="3" max="3" width="30" hidden="0" customWidth="1"/>
    <x:col min="4" max="4" width="46" hidden="0" customWidth="1"/>
  </x:cols>
  <x:sheetData>
    <x:row r="1">
      <x:c r="A1" s="264"/>
      <x:c r="B1" s="264"/>
      <x:c r="C1" s="264"/>
      <x:c r="D1" s="264"/>
      <x:c r="E1" s="264"/>
      <x:c r="F1" s="264"/>
      <x:c r="G1" s="264"/>
      <x:c r="H1" s="264"/>
    </x:row>
    <x:row r="2" ht="28" customHeight="1">
      <x:c r="A2" s="277" t="str">
        <x:v>방법·출처·표현 한계 v3</x:v>
      </x:c>
      <x:c r="B2" s="277"/>
      <x:c r="C2" s="277"/>
      <x:c r="D2" s="277"/>
      <x:c r="E2" s="277"/>
      <x:c r="F2" s="277"/>
      <x:c r="G2" s="277"/>
      <x:c r="H2" s="277"/>
    </x:row>
    <x:row r="3" ht="22" customHeight="1">
      <x:c r="A3" s="278" t="str">
        <x:v>관찰값, 후보 상태, 검증 상태와 경로정책을 분리합니다.</x:v>
      </x:c>
      <x:c r="B3" s="278"/>
      <x:c r="C3" s="278"/>
      <x:c r="D3" s="278"/>
      <x:c r="E3" s="278"/>
      <x:c r="F3" s="278"/>
      <x:c r="G3" s="278"/>
      <x:c r="H3" s="278"/>
    </x:row>
    <x:row r="4">
      <x:c r="A4" s="279"/>
      <x:c r="B4" s="279"/>
      <x:c r="C4" s="279"/>
      <x:c r="D4" s="279"/>
      <x:c r="E4" s="279"/>
      <x:c r="F4" s="279"/>
      <x:c r="G4" s="279"/>
      <x:c r="H4" s="279"/>
    </x:row>
    <x:row r="5">
      <x:c r="A5" s="264"/>
      <x:c r="B5" s="264"/>
      <x:c r="C5" s="264"/>
      <x:c r="D5" s="264"/>
      <x:c r="E5" s="264"/>
      <x:c r="F5" s="264"/>
      <x:c r="G5" s="264"/>
      <x:c r="H5" s="264"/>
    </x:row>
    <x:row r="6" ht="24" customHeight="1">
      <x:c r="A6" s="274" t="str">
        <x:v>핵심 정의</x:v>
      </x:c>
      <x:c r="B6" s="274"/>
      <x:c r="C6" s="274"/>
      <x:c r="D6" s="274"/>
      <x:c r="E6" s="274"/>
      <x:c r="F6" s="274"/>
      <x:c r="G6" s="274"/>
      <x:c r="H6" s="274"/>
    </x:row>
    <x:row r="7" ht="32" customHeight="1">
      <x:c r="A7" s="261" t="str">
        <x:v>항목</x:v>
      </x:c>
      <x:c r="B7" s="262" t="str">
        <x:v>v3 정의</x:v>
      </x:c>
      <x:c r="C7" s="262" t="str">
        <x:v>현재 상태</x:v>
      </x:c>
      <x:c r="D7" s="262" t="str">
        <x:v>제출 표현</x:v>
      </x:c>
      <x:c r="E7" s="264"/>
      <x:c r="F7" s="264"/>
      <x:c r="G7" s="264"/>
      <x:c r="H7" s="264"/>
    </x:row>
    <x:row r="8" ht="42" customHeight="1">
      <x:c r="A8" s="252" t="str">
        <x:v>접근부</x:v>
      </x:c>
      <x:c r="B8" s="252" t="str">
        <x:v>횡단보도 중심·길이·OSM 방향으로 생성한 추정점</x:v>
      </x:c>
      <x:c r="C8" s="252" t="str">
        <x:v>26건 위치보정 필요</x:v>
      </x:c>
      <x:c r="D8" s="254" t="str">
        <x:v>미검수 추정 접근부</x:v>
      </x:c>
      <x:c r="E8" s="264"/>
      <x:c r="F8" s="264"/>
      <x:c r="G8" s="264"/>
      <x:c r="H8" s="264"/>
    </x:row>
    <x:row r="9" ht="42" customHeight="1">
      <x:c r="A9" s="253" t="str">
        <x:v>AI 사전판독</x:v>
      </x:c>
      <x:c r="B9" s="253" t="str">
        <x:v>후보 생성·검수 우선순위</x:v>
      </x:c>
      <x:c r="C9" s="253" t="str">
        <x:v>모델·프롬프트 원시로그 미기록</x:v>
      </x:c>
      <x:c r="D9" s="254" t="str">
        <x:v>AI 후보 생성 절차</x:v>
      </x:c>
      <x:c r="E9" s="264"/>
      <x:c r="F9" s="264"/>
      <x:c r="G9" s="264"/>
      <x:c r="H9" s="264"/>
    </x:row>
    <x:row r="10" ht="42" customHeight="1">
      <x:c r="A10" s="253" t="str">
        <x:v>규칙 점수</x:v>
      </x:c>
      <x:c r="B10" s="253" t="str">
        <x:v>라벨별 0.52~0.82 고정값</x:v>
      </x:c>
      <x:c r="C10" s="253" t="str">
        <x:v>확률 아님</x:v>
      </x:c>
      <x:c r="D10" s="254" t="str">
        <x:v>검수 우선순위 점수</x:v>
      </x:c>
      <x:c r="E10" s="264"/>
      <x:c r="F10" s="264"/>
      <x:c r="G10" s="264"/>
      <x:c r="H10" s="264"/>
    </x:row>
    <x:row r="11" ht="42" customHeight="1">
      <x:c r="A11" s="253" t="str">
        <x:v>κ 0.9065</x:v>
      </x:c>
      <x:c r="B11" s="253" t="str">
        <x:v>동일 AI 절차 2회 결과의 일관성</x:v>
      </x:c>
      <x:c r="C11" s="253" t="str">
        <x:v>정확도 아님</x:v>
      </x:c>
      <x:c r="D11" s="254" t="str">
        <x:v>AI 재판독 일관성</x:v>
      </x:c>
      <x:c r="E11" s="264"/>
      <x:c r="F11" s="264"/>
      <x:c r="G11" s="264"/>
      <x:c r="H11" s="264"/>
    </x:row>
    <x:row r="12" ht="42" customHeight="1">
      <x:c r="A12" s="253" t="str">
        <x:v>B0</x:v>
      </x:c>
      <x:c r="B12" s="253" t="str">
        <x:v>검증된 프로필별 명시 제약만 고유 횡단엣지에 적용</x:v>
      </x:c>
      <x:c r="C12" s="253" t="str">
        <x:v>미계산</x:v>
      </x:c>
      <x:c r="D12" s="254" t="str">
        <x:v>재계산 설계</x:v>
      </x:c>
      <x:c r="E12" s="264"/>
      <x:c r="F12" s="264"/>
      <x:c r="G12" s="264"/>
      <x:c r="H12" s="264"/>
    </x:row>
    <x:row r="13" ht="42" customHeight="1">
      <x:c r="A13" s="253" t="str">
        <x:v>Bλ</x:v>
      </x:c>
      <x:c r="B13" s="253" t="str">
        <x:v>공란 가중치 민감도</x:v>
      </x:c>
      <x:c r="C13" s="253" t="str">
        <x:v>1.00~1.15 재계산 대기</x:v>
      </x:c>
      <x:c r="D13" s="254" t="str">
        <x:v>보조 민감도</x:v>
      </x:c>
      <x:c r="E13" s="264"/>
      <x:c r="F13" s="264"/>
      <x:c r="G13" s="264"/>
      <x:c r="H13" s="264"/>
    </x:row>
    <x:row r="14" ht="42" customHeight="1">
      <x:c r="A14" s="253" t="str">
        <x:v>C</x:v>
      </x:c>
      <x:c r="B14" s="253" t="str">
        <x:v>B0 + 사람 승인 후보</x:v>
      </x:c>
      <x:c r="C14" s="253" t="str">
        <x:v>미계산</x:v>
      </x:c>
      <x:c r="D14" s="254" t="str">
        <x:v>사람 승인 후 계산</x:v>
      </x:c>
      <x:c r="E14" s="264"/>
      <x:c r="F14" s="264"/>
      <x:c r="G14" s="264"/>
      <x:c r="H14" s="264"/>
    </x:row>
    <x:row r="15" ht="42" customHeight="1">
      <x:c r="A15" s="253" t="str">
        <x:v>구 B/C*</x:v>
      </x:c>
      <x:c r="B15" s="253" t="str">
        <x:v>중심선 proxy와 혼합 판정의 진단 기록</x:v>
      </x:c>
      <x:c r="C15" s="253" t="str">
        <x:v>사용중지</x:v>
      </x:c>
      <x:c r="D15" s="254" t="str">
        <x:v>제출·경로안내 금지</x:v>
      </x:c>
      <x:c r="E15" s="264"/>
      <x:c r="F15" s="264"/>
      <x:c r="G15" s="264"/>
      <x:c r="H15" s="264"/>
    </x:row>
    <x:row r="16" ht="42" customHeight="1">
      <x:c r="A16" s="266" t="str">
        <x:v>현장 확인</x:v>
      </x:c>
      <x:c r="B16" s="254" t="str">
        <x:v>층화 표본의 현재 상태 확인</x:v>
      </x:c>
      <x:c r="C16" s="254" t="str">
        <x:v>0건</x:v>
      </x:c>
      <x:c r="D16" s="254" t="str">
        <x:v>미실시</x:v>
      </x:c>
      <x:c r="E16" s="264"/>
      <x:c r="F16" s="264"/>
      <x:c r="G16" s="264"/>
      <x:c r="H16" s="264"/>
    </x:row>
    <x:row r="17" ht="32" customHeight="1">
      <x:c r="A17" s="249"/>
      <x:c r="B17" s="250"/>
      <x:c r="C17" s="250"/>
      <x:c r="D17" s="251"/>
      <x:c r="E17" s="264"/>
      <x:c r="F17" s="264"/>
      <x:c r="G17" s="264"/>
      <x:c r="H17" s="264"/>
    </x:row>
    <x:row r="18" ht="24" customHeight="1">
      <x:c r="A18" s="268" t="str">
        <x:v>재현성·권리 점검</x:v>
      </x:c>
      <x:c r="B18" s="268"/>
      <x:c r="C18" s="268"/>
      <x:c r="D18" s="268"/>
      <x:c r="E18" s="274"/>
      <x:c r="F18" s="274"/>
      <x:c r="G18" s="274"/>
      <x:c r="H18" s="274"/>
    </x:row>
    <x:row r="19" ht="32" customHeight="1">
      <x:c r="A19" s="176" t="str">
        <x:v>점검 항목</x:v>
      </x:c>
      <x:c r="B19" s="178" t="str">
        <x:v>확인 결과</x:v>
      </x:c>
      <x:c r="C19" s="178" t="str">
        <x:v>판정</x:v>
      </x:c>
      <x:c r="D19" s="179" t="str">
        <x:v>조치</x:v>
      </x:c>
      <x:c r="E19" s="264"/>
      <x:c r="F19" s="264"/>
      <x:c r="G19" s="264"/>
      <x:c r="H19" s="264"/>
    </x:row>
    <x:row r="20" ht="44" customHeight="1">
      <x:c r="A20" s="253" t="str">
        <x:v>모델명·버전</x:v>
      </x:c>
      <x:c r="B20" s="253" t="str">
        <x:v>기존 산출물에 Codex_AI_precheck만 기록</x:v>
      </x:c>
      <x:c r="C20" s="193" t="str">
        <x:v>미충족</x:v>
      </x:c>
      <x:c r="D20" s="253" t="str">
        <x:v>정확 모델·버전 기록 후 재실행</x:v>
      </x:c>
      <x:c r="E20" s="264"/>
      <x:c r="F20" s="264"/>
      <x:c r="G20" s="264"/>
      <x:c r="H20" s="264"/>
    </x:row>
    <x:row r="21" ht="44" customHeight="1">
      <x:c r="A21" s="253" t="str">
        <x:v>프롬프트·원시응답</x:v>
      </x:c>
      <x:c r="B21" s="253" t="str">
        <x:v>미기록</x:v>
      </x:c>
      <x:c r="C21" s="193" t="str">
        <x:v>미충족</x:v>
      </x:c>
      <x:c r="D21" s="253" t="str">
        <x:v>프롬프트 ID·원시 출력 보존</x:v>
      </x:c>
      <x:c r="E21" s="264"/>
      <x:c r="F21" s="264"/>
      <x:c r="G21" s="264"/>
      <x:c r="H21" s="264"/>
    </x:row>
    <x:row r="22" ht="44" customHeight="1">
      <x:c r="A22" s="253" t="str">
        <x:v>입력 이미지 이력</x:v>
      </x:c>
      <x:c r="B22" s="253" t="str">
        <x:v>카카오 큐브 이미지 자동 저장 코드 확인</x:v>
      </x:c>
      <x:c r="C22" s="193" t="str">
        <x:v>권리 검토 필요</x:v>
      </x:c>
      <x:c r="D22" s="253" t="str">
        <x:v>이용조건 확인 전 학습·재배포 금지</x:v>
      </x:c>
      <x:c r="E22" s="264"/>
      <x:c r="F22" s="264"/>
      <x:c r="G22" s="264"/>
      <x:c r="H22" s="264"/>
    </x:row>
    <x:row r="23" ht="44" customHeight="1">
      <x:c r="A23" s="254" t="str">
        <x:v>판독 생성 방식</x:v>
      </x:c>
      <x:c r="B23" s="254" t="str">
        <x:v>판정값이 결과 스크립트에 하드코딩됨</x:v>
      </x:c>
      <x:c r="C23" s="207" t="str">
        <x:v>재현 불가</x:v>
      </x:c>
      <x:c r="D23" s="254" t="str">
        <x:v>이미지→모델→원시출력→규칙변환 로그 구축</x:v>
      </x:c>
      <x:c r="E23" s="264"/>
      <x:c r="F23" s="264"/>
      <x:c r="G23" s="264"/>
      <x:c r="H23" s="264"/>
    </x:row>
    <x:row r="24" ht="44" customHeight="1">
      <x:c r="A24" s="266" t="str">
        <x:v>경로 실행 코드</x:v>
      </x:c>
      <x:c r="B24" s="254" t="str">
        <x:v>배포 ZIP에서 build_onway_corridor.py 누락</x:v>
      </x:c>
      <x:c r="C24" s="207" t="str">
        <x:v>불완전</x:v>
      </x:c>
      <x:c r="D24" s="254" t="str">
        <x:v>의존 코드·OSM snapshot·해시 포함</x:v>
      </x:c>
      <x:c r="E24" s="264"/>
      <x:c r="F24" s="264"/>
      <x:c r="G24" s="264"/>
      <x:c r="H24" s="264"/>
    </x:row>
    <x:row r="25" ht="44" customHeight="1">
      <x:c r="A25" s="249" t="str">
        <x:v>네이버 영상</x:v>
      </x:c>
      <x:c r="B25" s="251" t="str">
        <x:v>좌표 링크 80개, 확정 파노라마 0개</x:v>
      </x:c>
      <x:c r="C25" s="207" t="str">
        <x:v>미충족</x:v>
      </x:c>
      <x:c r="D25" s="254" t="str">
        <x:v>직접 선택 URL·촬영일 기록</x:v>
      </x:c>
      <x:c r="E25" s="264"/>
      <x:c r="F25" s="264"/>
      <x:c r="G25" s="264"/>
      <x:c r="H25" s="264"/>
    </x:row>
    <x:row r="26" ht="44" customHeight="1">
      <x:c r="A26" s="252" t="str">
        <x:v>현장 정답</x:v>
      </x:c>
      <x:c r="B26" s="252" t="str">
        <x:v>0건</x:v>
      </x:c>
      <x:c r="C26" s="207" t="str">
        <x:v>미충족</x:v>
      </x:c>
      <x:c r="D26" s="254" t="str">
        <x:v>층화 10건 파일럿; 정확도 주장은 별도 확대 표본</x:v>
      </x:c>
      <x:c r="E26" s="264"/>
      <x:c r="F26" s="264"/>
      <x:c r="G26" s="264"/>
      <x:c r="H26" s="264"/>
    </x:row>
    <x:row r="27" ht="32" customHeight="1">
      <x:c r="A27" s="253"/>
      <x:c r="B27" s="253"/>
      <x:c r="C27" s="264"/>
      <x:c r="D27" s="264"/>
      <x:c r="E27" s="264"/>
      <x:c r="F27" s="264"/>
      <x:c r="G27" s="264"/>
      <x:c r="H27" s="264"/>
    </x:row>
    <x:row r="28" ht="24" customHeight="1">
      <x:c r="A28" s="270" t="str">
        <x:v>출처</x:v>
      </x:c>
      <x:c r="B28" s="270"/>
      <x:c r="C28" s="274"/>
      <x:c r="D28" s="274"/>
      <x:c r="E28" s="274"/>
      <x:c r="F28" s="274"/>
      <x:c r="G28" s="274"/>
      <x:c r="H28" s="274"/>
    </x:row>
    <x:row r="29" ht="32" customHeight="1">
      <x:c r="A29" s="176" t="str">
        <x:v>자료</x:v>
      </x:c>
      <x:c r="B29" s="178" t="str">
        <x:v>기준일</x:v>
      </x:c>
      <x:c r="C29" s="178" t="str">
        <x:v>출처</x:v>
      </x:c>
      <x:c r="D29" s="179" t="str">
        <x:v>비고</x:v>
      </x:c>
      <x:c r="E29" s="264"/>
      <x:c r="F29" s="264"/>
      <x:c r="G29" s="264"/>
      <x:c r="H29" s="264"/>
    </x:row>
    <x:row r="30" ht="42" customHeight="1">
      <x:c r="A30" s="253" t="str">
        <x:v>안양시 횡단보도 CSV</x:v>
      </x:c>
      <x:c r="B30" s="253" t="str">
        <x:v>2026-09-15 확보</x:v>
      </x:c>
      <x:c r="C30" s="254" t="str">
        <x:v>https://www.data.go.kr/data/15042415/fileData.do</x:v>
      </x:c>
      <x:c r="D30" s="254" t="str">
        <x:v>원본 해시 기존 기록 유지</x:v>
      </x:c>
      <x:c r="E30" s="264"/>
      <x:c r="F30" s="264"/>
      <x:c r="G30" s="264"/>
      <x:c r="H30" s="264"/>
    </x:row>
    <x:row r="31" ht="42" customHeight="1">
      <x:c r="A31" s="253" t="str">
        <x:v>OpenStreetMap bbox 추출</x:v>
      </x:c>
      <x:c r="B31" s="253" t="str">
        <x:v>2026-09-15</x:v>
      </x:c>
      <x:c r="C31" s="254" t="str">
        <x:v>https://www.openstreetmap.org/copyright</x:v>
      </x:c>
      <x:c r="D31" s="254" t="str">
        <x:v>중심선 proxy는 실제 보도 그래프 아님</x:v>
      </x:c>
      <x:c r="E31" s="264"/>
      <x:c r="F31" s="264"/>
      <x:c r="G31" s="264"/>
      <x:c r="H31" s="264"/>
    </x:row>
    <x:row r="32" ht="42" customHeight="1">
      <x:c r="A32" s="254" t="str">
        <x:v>카카오 로드뷰</x:v>
      </x:c>
      <x:c r="B32" s="254" t="str">
        <x:v>촬영 2025-11~12</x:v>
      </x:c>
      <x:c r="C32" s="254" t="str">
        <x:v>https://apis.map.kakao.com/web/documentation/</x:v>
      </x:c>
      <x:c r="D32" s="254" t="str">
        <x:v>이용범위 별도 확인</x:v>
      </x:c>
      <x:c r="E32" s="264"/>
      <x:c r="F32" s="264"/>
      <x:c r="G32" s="264"/>
      <x:c r="H32" s="264"/>
    </x:row>
    <x:row r="33" ht="42" customHeight="1">
      <x:c r="A33" s="266" t="str">
        <x:v>네이버 지도</x:v>
      </x:c>
      <x:c r="B33" s="254" t="str">
        <x:v>좌표 링크 2026-09-16 추가</x:v>
      </x:c>
      <x:c r="C33" s="254" t="str">
        <x:v>https://map.naver.com/</x:v>
      </x:c>
      <x:c r="D33" s="254" t="str">
        <x:v>파노라마·촬영일 미확정</x:v>
      </x:c>
      <x:c r="E33" s="264"/>
      <x:c r="F33" s="264"/>
      <x:c r="G33" s="264"/>
      <x:c r="H33" s="264"/>
    </x:row>
    <x:row r="34" ht="42" customHeight="1">
      <x:c r="A34" s="249" t="str">
        <x:v>내부 데이터 설계표</x:v>
      </x:c>
      <x:c r="B34" s="250" t="str">
        <x:v>2026-09-15</x:v>
      </x:c>
      <x:c r="C34" s="250" t="str">
        <x:v>ONWAY_안양_데이터설계표_20260915.xlsx</x:v>
      </x:c>
      <x:c r="D34" s="251" t="str">
        <x:v>2,728행 및 품질 규칙</x:v>
      </x:c>
      <x:c r="E34" s="264"/>
      <x:c r="F34" s="264"/>
      <x:c r="G34" s="264"/>
      <x:c r="H34" s="264"/>
    </x:row>
    <x:row r="35" ht="32" customHeight="1">
      <x:c r="A35" s="252"/>
      <x:c r="B35" s="252"/>
      <x:c r="C35" s="252"/>
      <x:c r="D35" s="252"/>
      <x:c r="E35" s="264"/>
      <x:c r="F35" s="264"/>
      <x:c r="G35" s="264"/>
      <x:c r="H35" s="264"/>
    </x:row>
    <x:row r="36" ht="24" customHeight="1">
      <x:c r="A36" s="270" t="str">
        <x:v>권장 실행 순서</x:v>
      </x:c>
      <x:c r="B36" s="270"/>
      <x:c r="C36" s="270"/>
      <x:c r="D36" s="270"/>
      <x:c r="E36" s="274"/>
      <x:c r="F36" s="274"/>
      <x:c r="G36" s="274"/>
      <x:c r="H36" s="274"/>
    </x:row>
    <x:row r="37" ht="32" customHeight="1">
      <x:c r="A37" s="176" t="str">
        <x:v>순서</x:v>
      </x:c>
      <x:c r="B37" s="178" t="str">
        <x:v>작업</x:v>
      </x:c>
      <x:c r="C37" s="178" t="str">
        <x:v>완료 기준</x:v>
      </x:c>
      <x:c r="D37" s="179" t="str">
        <x:v>다음 단계 차단 조건</x:v>
      </x:c>
      <x:c r="E37" s="264"/>
      <x:c r="F37" s="264"/>
      <x:c r="G37" s="264"/>
      <x:c r="H37" s="264"/>
    </x:row>
    <x:row r="38" ht="42" customHeight="1">
      <x:c r="A38" s="253" t="n">
        <x:v>1</x:v>
      </x:c>
      <x:c r="B38" s="253" t="str">
        <x:v>위치보정 큐 26건 수정</x:v>
      </x:c>
      <x:c r="C38" s="253" t="str">
        <x:v>26/26 완료</x:v>
      </x:c>
      <x:c r="D38" s="253" t="str">
        <x:v>미완료 시 사람검수 시작 금지</x:v>
      </x:c>
      <x:c r="E38" s="264"/>
      <x:c r="F38" s="264"/>
      <x:c r="G38" s="264"/>
      <x:c r="H38" s="264"/>
    </x:row>
    <x:row r="39" ht="42" customHeight="1">
      <x:c r="A39" s="253" t="n">
        <x:v>2</x:v>
      </x:c>
      <x:c r="B39" s="253" t="str">
        <x:v>네이버·카카오 확정 영상 기록</x:v>
      </x:c>
      <x:c r="C39" s="253" t="str">
        <x:v>URL·촬영일·가시성 기록</x:v>
      </x:c>
      <x:c r="D39" s="253" t="str">
        <x:v>미확정 영상은 근거로 집계 금지</x:v>
      </x:c>
      <x:c r="E39" s="264"/>
      <x:c r="F39" s="264"/>
      <x:c r="G39" s="264"/>
      <x:c r="H39" s="264"/>
    </x:row>
    <x:row r="40" ht="42" customHeight="1">
      <x:c r="A40" s="254" t="n">
        <x:v>3</x:v>
      </x:c>
      <x:c r="B40" s="254" t="str">
        <x:v>검수자1 80건 독립 판독</x:v>
      </x:c>
      <x:c r="C40" s="254" t="str">
        <x:v>80/80</x:v>
      </x:c>
      <x:c r="D40" s="254" t="str">
        <x:v>AI 시트와 분리 배포</x:v>
      </x:c>
      <x:c r="E40" s="264"/>
      <x:c r="F40" s="264"/>
      <x:c r="G40" s="264"/>
      <x:c r="H40" s="264"/>
    </x:row>
    <x:row r="41" ht="42" customHeight="1">
      <x:c r="A41" s="254" t="n">
        <x:v>4</x:v>
      </x:c>
      <x:c r="B41" s="254" t="str">
        <x:v>검수자2 지정 40건 독립 판독</x:v>
      </x:c>
      <x:c r="C41" s="254" t="str">
        <x:v>40/40</x:v>
      </x:c>
      <x:c r="D41" s="254" t="str">
        <x:v>검수자1·AI 결과 비공개</x:v>
      </x:c>
      <x:c r="E41" s="264"/>
      <x:c r="F41" s="264"/>
      <x:c r="G41" s="264"/>
      <x:c r="H41" s="264"/>
    </x:row>
    <x:row r="42" ht="42" customHeight="1">
      <x:c r="A42" s="266" t="n">
        <x:v>5</x:v>
      </x:c>
      <x:c r="B42" s="266" t="str">
        <x:v>불일치 조정·후보 승인</x:v>
      </x:c>
      <x:c r="C42" s="266" t="str">
        <x:v>미조정 0건</x:v>
      </x:c>
      <x:c r="D42" s="266" t="str">
        <x:v>승인 전 C 반영 금지</x:v>
      </x:c>
      <x:c r="E42" s="264"/>
      <x:c r="F42" s="264"/>
      <x:c r="G42" s="264"/>
      <x:c r="H42" s="264"/>
    </x:row>
    <x:row r="43" ht="42" customHeight="1">
      <x:c r="A43" s="266" t="n">
        <x:v>6</x:v>
      </x:c>
      <x:c r="B43" s="266" t="str">
        <x:v>고유 횡단엣지·보도 그래프 구축</x:v>
      </x:c>
      <x:c r="C43" s="266" t="str">
        <x:v>대표 회랑 routable</x:v>
      </x:c>
      <x:c r="D43" s="266" t="str">
        <x:v>중심선 proxy 성과 사용 금지</x:v>
      </x:c>
      <x:c r="E43" s="264"/>
      <x:c r="F43" s="264"/>
      <x:c r="G43" s="264"/>
      <x:c r="H43" s="264"/>
    </x:row>
    <x:row r="44" ht="42" customHeight="1">
      <x:c r="A44" s="254" t="n">
        <x:v>7</x:v>
      </x:c>
      <x:c r="B44" s="254" t="str">
        <x:v>A0/B0/Bλ/C 재계산</x:v>
      </x:c>
      <x:c r="C44" s="254" t="str">
        <x:v>코드·데이터·해시 보존</x:v>
      </x:c>
      <x:c r="D44" s="254" t="str">
        <x:v>Gate 미충족 시 수치 공란 유지</x:v>
      </x:c>
      <x:c r="E44" s="264"/>
      <x:c r="F44" s="264"/>
      <x:c r="G44" s="264"/>
      <x:c r="H44" s="264"/>
    </x:row>
    <x:row r="45" ht="42" customHeight="1">
      <x:c r="A45" s="254"/>
      <x:c r="B45" s="254"/>
      <x:c r="C45" s="254"/>
      <x:c r="D45" s="254"/>
      <x:c r="E45" s="264"/>
      <x:c r="F45" s="264"/>
      <x:c r="G45" s="264"/>
      <x:c r="H45" s="264"/>
    </x:row>
    <x:row r="46" ht="42" customHeight="1">
      <x:c r="A46" s="254"/>
      <x:c r="B46" s="254"/>
      <x:c r="C46" s="254"/>
      <x:c r="D46" s="254"/>
      <x:c r="E46" s="264"/>
      <x:c r="F46" s="264"/>
      <x:c r="G46" s="264"/>
      <x:c r="H46" s="264"/>
    </x:row>
    <x:row r="47" ht="42" customHeight="1">
      <x:c r="A47" s="254"/>
      <x:c r="B47" s="254"/>
      <x:c r="C47" s="254"/>
      <x:c r="D47" s="254"/>
      <x:c r="E47" s="264"/>
      <x:c r="F47" s="264"/>
      <x:c r="G47" s="264"/>
      <x:c r="H47" s="264"/>
    </x:row>
    <x:row r="48" ht="42" customHeight="1">
      <x:c r="A48" s="254"/>
      <x:c r="B48" s="254"/>
      <x:c r="C48" s="254"/>
      <x:c r="D48" s="254"/>
      <x:c r="E48" s="264"/>
      <x:c r="F48" s="264"/>
      <x:c r="G48" s="264"/>
      <x:c r="H48" s="264"/>
    </x:row>
    <x:row r="49" ht="42" customHeight="1">
      <x:c r="A49" s="254"/>
      <x:c r="B49" s="254"/>
      <x:c r="C49" s="254"/>
      <x:c r="D49" s="254"/>
      <x:c r="E49" s="264"/>
      <x:c r="F49" s="264"/>
      <x:c r="G49" s="264"/>
      <x:c r="H49" s="264"/>
    </x:row>
    <x:row r="50" ht="42" customHeight="1">
      <x:c r="A50" s="254"/>
      <x:c r="B50" s="254"/>
      <x:c r="C50" s="254"/>
      <x:c r="D50" s="254"/>
      <x:c r="E50" s="264"/>
      <x:c r="F50" s="264"/>
      <x:c r="G50" s="264"/>
      <x:c r="H50" s="264"/>
    </x:row>
    <x:row r="51" ht="42" customHeight="1">
      <x:c r="A51" s="254"/>
      <x:c r="B51" s="254"/>
      <x:c r="C51" s="254"/>
      <x:c r="D51" s="254"/>
      <x:c r="E51" s="264"/>
      <x:c r="F51" s="264"/>
      <x:c r="G51" s="264"/>
      <x:c r="H51" s="264"/>
    </x:row>
    <x:row r="52" ht="42" customHeight="1">
      <x:c r="A52" s="254"/>
      <x:c r="B52" s="254"/>
      <x:c r="C52" s="254"/>
      <x:c r="D52" s="254"/>
      <x:c r="E52" s="264"/>
      <x:c r="F52" s="264"/>
      <x:c r="G52" s="264"/>
      <x:c r="H52" s="264"/>
    </x:row>
    <x:row r="53" ht="42" customHeight="1">
      <x:c r="A53" s="254"/>
      <x:c r="B53" s="254"/>
      <x:c r="C53" s="254"/>
      <x:c r="D53" s="254"/>
      <x:c r="E53" s="264"/>
      <x:c r="F53" s="264"/>
      <x:c r="G53" s="264"/>
      <x:c r="H53" s="264"/>
    </x:row>
    <x:row r="54">
      <x:c r="A54" s="264"/>
      <x:c r="B54" s="264"/>
      <x:c r="C54" s="264"/>
      <x:c r="D54" s="264"/>
      <x:c r="E54" s="264"/>
      <x:c r="F54" s="264"/>
      <x:c r="G54" s="264"/>
      <x:c r="H54" s="264"/>
    </x:row>
    <x:row r="55">
      <x:c r="A55" s="264"/>
      <x:c r="B55" s="264"/>
      <x:c r="C55" s="264"/>
      <x:c r="D55" s="264"/>
      <x:c r="E55" s="264"/>
      <x:c r="F55" s="264"/>
      <x:c r="G55" s="264"/>
      <x:c r="H55" s="264"/>
    </x:row>
    <x:row r="56">
      <x:c r="A56" s="264"/>
      <x:c r="B56" s="264"/>
      <x:c r="C56" s="264"/>
      <x:c r="D56" s="264"/>
      <x:c r="E56" s="264"/>
      <x:c r="F56" s="264"/>
      <x:c r="G56" s="264"/>
      <x:c r="H56" s="264"/>
    </x:row>
    <x:row r="57">
      <x:c r="A57" s="264"/>
      <x:c r="B57" s="264"/>
      <x:c r="C57" s="264"/>
      <x:c r="D57" s="264"/>
      <x:c r="E57" s="264"/>
      <x:c r="F57" s="264"/>
      <x:c r="G57" s="264"/>
      <x:c r="H57" s="264"/>
    </x:row>
    <x:row r="58">
      <x:c r="A58" s="264"/>
      <x:c r="B58" s="264"/>
      <x:c r="C58" s="264"/>
      <x:c r="D58" s="264"/>
      <x:c r="E58" s="264"/>
      <x:c r="F58" s="264"/>
      <x:c r="G58" s="264"/>
      <x:c r="H58" s="264"/>
    </x:row>
    <x:row r="59">
      <x:c r="A59" s="264"/>
      <x:c r="B59" s="264"/>
      <x:c r="C59" s="264"/>
      <x:c r="D59" s="264"/>
      <x:c r="E59" s="264"/>
      <x:c r="F59" s="264"/>
      <x:c r="G59" s="264"/>
      <x:c r="H59" s="264"/>
    </x:row>
    <x:row r="60">
      <x:c r="A60" s="264"/>
      <x:c r="B60" s="264"/>
      <x:c r="C60" s="264"/>
      <x:c r="D60" s="264"/>
      <x:c r="E60" s="264"/>
      <x:c r="F60" s="264"/>
      <x:c r="G60" s="264"/>
      <x:c r="H60" s="264"/>
    </x:row>
    <x:row r="61">
      <x:c r="A61" s="264"/>
      <x:c r="B61" s="264"/>
      <x:c r="C61" s="264"/>
      <x:c r="D61" s="264"/>
      <x:c r="E61" s="264"/>
      <x:c r="F61" s="264"/>
      <x:c r="G61" s="264"/>
      <x:c r="H61" s="264"/>
    </x:row>
    <x:row r="62">
      <x:c r="A62" s="264"/>
      <x:c r="B62" s="264"/>
      <x:c r="C62" s="264"/>
      <x:c r="D62" s="264"/>
      <x:c r="E62" s="264"/>
      <x:c r="F62" s="264"/>
      <x:c r="G62" s="264"/>
      <x:c r="H62" s="264"/>
    </x:row>
    <x:row r="63">
      <x:c r="A63" s="264"/>
      <x:c r="B63" s="264"/>
      <x:c r="C63" s="264"/>
      <x:c r="D63" s="264"/>
      <x:c r="E63" s="264"/>
      <x:c r="F63" s="264"/>
      <x:c r="G63" s="264"/>
      <x:c r="H63" s="264"/>
    </x:row>
    <x:row r="64">
      <x:c r="A64" s="264"/>
      <x:c r="B64" s="264"/>
      <x:c r="C64" s="264"/>
      <x:c r="D64" s="264"/>
      <x:c r="E64" s="264"/>
      <x:c r="F64" s="264"/>
      <x:c r="G64" s="264"/>
      <x:c r="H64" s="264"/>
    </x:row>
    <x:row r="65">
      <x:c r="A65" s="264"/>
      <x:c r="B65" s="264"/>
      <x:c r="C65" s="264"/>
      <x:c r="D65" s="264"/>
      <x:c r="E65" s="264"/>
      <x:c r="F65" s="264"/>
      <x:c r="G65" s="264"/>
      <x:c r="H65" s="264"/>
    </x:row>
    <x:row r="66">
      <x:c r="A66" s="264"/>
      <x:c r="B66" s="264"/>
      <x:c r="C66" s="264"/>
      <x:c r="D66" s="264"/>
      <x:c r="E66" s="264"/>
      <x:c r="F66" s="264"/>
      <x:c r="G66" s="264"/>
      <x:c r="H66" s="264"/>
    </x:row>
    <x:row r="67">
      <x:c r="A67" s="264"/>
      <x:c r="B67" s="264"/>
      <x:c r="C67" s="264"/>
      <x:c r="D67" s="264"/>
      <x:c r="E67" s="264"/>
      <x:c r="F67" s="264"/>
      <x:c r="G67" s="264"/>
      <x:c r="H67" s="264"/>
    </x:row>
    <x:row r="68">
      <x:c r="A68" s="264"/>
      <x:c r="B68" s="264"/>
      <x:c r="C68" s="264"/>
      <x:c r="D68" s="264"/>
      <x:c r="E68" s="264"/>
      <x:c r="F68" s="264"/>
      <x:c r="G68" s="264"/>
      <x:c r="H68" s="264"/>
    </x:row>
    <x:row r="69">
      <x:c r="A69" s="264"/>
      <x:c r="B69" s="264"/>
      <x:c r="C69" s="264"/>
      <x:c r="D69" s="264"/>
      <x:c r="E69" s="264"/>
      <x:c r="F69" s="264"/>
      <x:c r="G69" s="264"/>
      <x:c r="H69" s="264"/>
    </x:row>
    <x:row r="70">
      <x:c r="A70" s="264"/>
      <x:c r="B70" s="264"/>
      <x:c r="C70" s="264"/>
      <x:c r="D70" s="264"/>
      <x:c r="E70" s="264"/>
      <x:c r="F70" s="264"/>
      <x:c r="G70" s="264"/>
      <x:c r="H70" s="264"/>
    </x:row>
    <x:row r="71">
      <x:c r="A71" s="264"/>
      <x:c r="B71" s="264"/>
      <x:c r="C71" s="264"/>
      <x:c r="D71" s="264"/>
      <x:c r="E71" s="264"/>
      <x:c r="F71" s="264"/>
      <x:c r="G71" s="264"/>
      <x:c r="H71" s="264"/>
    </x:row>
    <x:row r="72">
      <x:c r="A72" s="264"/>
      <x:c r="B72" s="264"/>
      <x:c r="C72" s="264"/>
      <x:c r="D72" s="264"/>
      <x:c r="E72" s="264"/>
      <x:c r="F72" s="264"/>
      <x:c r="G72" s="264"/>
      <x:c r="H72" s="264"/>
    </x:row>
    <x:row r="73">
      <x:c r="A73" s="264"/>
      <x:c r="B73" s="264"/>
      <x:c r="C73" s="264"/>
      <x:c r="D73" s="264"/>
      <x:c r="E73" s="264"/>
      <x:c r="F73" s="264"/>
      <x:c r="G73" s="264"/>
      <x:c r="H73" s="264"/>
    </x:row>
    <x:row r="74">
      <x:c r="A74" s="264"/>
      <x:c r="B74" s="264"/>
      <x:c r="C74" s="264"/>
      <x:c r="D74" s="264"/>
      <x:c r="E74" s="264"/>
      <x:c r="F74" s="264"/>
      <x:c r="G74" s="264"/>
      <x:c r="H74" s="264"/>
    </x:row>
    <x:row r="75">
      <x:c r="A75" s="264"/>
      <x:c r="B75" s="264"/>
      <x:c r="C75" s="264"/>
      <x:c r="D75" s="264"/>
      <x:c r="E75" s="264"/>
      <x:c r="F75" s="264"/>
      <x:c r="G75" s="264"/>
      <x:c r="H75" s="264"/>
    </x:row>
    <x:row r="76">
      <x:c r="A76" s="264"/>
      <x:c r="B76" s="264"/>
      <x:c r="C76" s="264"/>
      <x:c r="D76" s="264"/>
      <x:c r="E76" s="264"/>
      <x:c r="F76" s="264"/>
      <x:c r="G76" s="264"/>
      <x:c r="H76" s="264"/>
    </x:row>
    <x:row r="77">
      <x:c r="A77" s="264"/>
      <x:c r="B77" s="264"/>
      <x:c r="C77" s="264"/>
      <x:c r="D77" s="264"/>
      <x:c r="E77" s="264"/>
      <x:c r="F77" s="264"/>
      <x:c r="G77" s="264"/>
      <x:c r="H77" s="264"/>
    </x:row>
    <x:row r="78">
      <x:c r="A78" s="264"/>
      <x:c r="B78" s="264"/>
      <x:c r="C78" s="264"/>
      <x:c r="D78" s="264"/>
      <x:c r="E78" s="264"/>
      <x:c r="F78" s="264"/>
      <x:c r="G78" s="264"/>
      <x:c r="H78" s="264"/>
    </x:row>
    <x:row r="79">
      <x:c r="A79" s="264"/>
      <x:c r="B79" s="264"/>
      <x:c r="C79" s="264"/>
      <x:c r="D79" s="264"/>
      <x:c r="E79" s="264"/>
      <x:c r="F79" s="264"/>
      <x:c r="G79" s="264"/>
      <x:c r="H79" s="264"/>
    </x:row>
    <x:row r="80">
      <x:c r="A80" s="264"/>
      <x:c r="B80" s="264"/>
      <x:c r="C80" s="264"/>
      <x:c r="D80" s="264"/>
      <x:c r="E80" s="264"/>
      <x:c r="F80" s="264"/>
      <x:c r="G80" s="264"/>
      <x:c r="H80" s="264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2F6B8A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5" hidden="0" customWidth="1"/>
    <x:col min="2" max="2" width="14" hidden="0" customWidth="1"/>
    <x:col min="3" max="3" width="10" hidden="0" customWidth="1"/>
    <x:col min="4" max="4" width="17" hidden="0" customWidth="1"/>
    <x:col min="5" max="5" width="14" hidden="0" customWidth="1"/>
    <x:col min="6" max="6" width="38" hidden="0" customWidth="1"/>
    <x:col min="7" max="7" width="14" hidden="0" customWidth="1"/>
    <x:col min="8" max="8" width="14" hidden="0" customWidth="1"/>
    <x:col min="9" max="9" width="46" hidden="0" customWidth="1"/>
    <x:col min="10" max="10" width="14" hidden="0" customWidth="1"/>
    <x:col min="11" max="11" width="14" hidden="0" customWidth="1"/>
    <x:col min="12" max="12" width="46" hidden="0" customWidth="1"/>
    <x:col min="13" max="13" width="12" hidden="0" customWidth="1"/>
    <x:col min="14" max="14" width="17" hidden="0" customWidth="1"/>
    <x:col min="15" max="15" width="17" hidden="0" customWidth="1"/>
    <x:col min="16" max="16" width="17" hidden="0" customWidth="1"/>
    <x:col min="17" max="17" width="42" hidden="0" customWidth="1"/>
    <x:col min="18" max="18" width="20" hidden="0" customWidth="1"/>
    <x:col min="19" max="19" width="37" hidden="0" customWidth="1"/>
  </x:cols>
  <x:sheetData>
    <x:row r="1">
      <x:c r="A1" s="67"/>
      <x:c r="B1" s="67"/>
      <x:c r="C1" s="67"/>
      <x:c r="D1" s="67"/>
      <x:c r="E1" s="67"/>
      <x:c r="F1" s="67"/>
      <x:c r="G1" s="67"/>
      <x:c r="H1" s="67"/>
      <x:c r="I1" s="67"/>
      <x:c r="J1" s="67"/>
      <x:c r="K1" s="67"/>
      <x:c r="L1" s="67"/>
      <x:c r="M1" s="67"/>
      <x:c r="N1" s="67"/>
      <x:c r="O1" s="67"/>
      <x:c r="P1" s="67"/>
      <x:c r="Q1" s="67"/>
      <x:c r="R1" s="67"/>
      <x:c r="S1" s="67"/>
    </x:row>
    <x:row r="2" ht="28" customHeight="1">
      <x:c r="A2" s="68" t="str">
        <x:v>네이버·카카오 영상 근거</x:v>
      </x:c>
      <x:c r="B2" s="68"/>
      <x:c r="C2" s="68"/>
      <x:c r="D2" s="68"/>
      <x:c r="E2" s="68"/>
      <x:c r="F2" s="68"/>
      <x:c r="G2" s="68"/>
      <x:c r="H2" s="68"/>
      <x:c r="I2" s="68"/>
      <x:c r="J2" s="68"/>
      <x:c r="K2" s="68"/>
      <x:c r="L2" s="68"/>
      <x:c r="M2" s="68"/>
      <x:c r="N2" s="68"/>
      <x:c r="O2" s="68"/>
      <x:c r="P2" s="68"/>
      <x:c r="Q2" s="68"/>
      <x:c r="R2" s="68"/>
      <x:c r="S2" s="68"/>
    </x:row>
    <x:row r="3" ht="22" customHeight="1">
      <x:c r="A3" s="69" t="str">
        <x:v>80개 접근부 × 2개 영상원. 네이버는 좌표 링크만 80개이며 확정 거리뷰 URL·촬영일·사람 판독은 현재 0개입니다.</x:v>
      </x:c>
      <x:c r="B3" s="69"/>
      <x:c r="C3" s="69"/>
      <x:c r="D3" s="69"/>
      <x:c r="E3" s="69"/>
      <x:c r="F3" s="69"/>
      <x:c r="G3" s="69"/>
      <x:c r="H3" s="69"/>
      <x:c r="I3" s="69"/>
      <x:c r="J3" s="69"/>
      <x:c r="K3" s="69"/>
      <x:c r="L3" s="69"/>
      <x:c r="M3" s="69"/>
      <x:c r="N3" s="69"/>
      <x:c r="O3" s="69"/>
      <x:c r="P3" s="69"/>
      <x:c r="Q3" s="69"/>
      <x:c r="R3" s="69"/>
      <x:c r="S3" s="69"/>
    </x:row>
    <x:row r="4" ht="22" customHeight="1">
      <x:c r="A4" s="69" t="str">
        <x:v>최신 영상이라는 이유만으로 자동 우선하지 않습니다. 출처별 위치·시점·가시성을 기록하고, 불일치는 사람 조정 대상으로 남깁니다.</x:v>
      </x:c>
      <x:c r="B4" s="69"/>
      <x:c r="C4" s="69"/>
      <x:c r="D4" s="69"/>
      <x:c r="E4" s="69"/>
      <x:c r="F4" s="69"/>
      <x:c r="G4" s="69"/>
      <x:c r="H4" s="69"/>
      <x:c r="I4" s="69"/>
      <x:c r="J4" s="69"/>
      <x:c r="K4" s="69"/>
      <x:c r="L4" s="69"/>
      <x:c r="M4" s="69"/>
      <x:c r="N4" s="69"/>
      <x:c r="O4" s="69"/>
      <x:c r="P4" s="69"/>
      <x:c r="Q4" s="69"/>
      <x:c r="R4" s="69"/>
      <x:c r="S4" s="69"/>
    </x:row>
    <x:row r="5" ht="22" customHeight="1">
      <x:c r="A5" s="69" t="str">
        <x:v>검수자 2는 G:I열과 AI 결과를 가린 뒤 지정된 40개를 독립 판독합니다. 촬영일과 보이는 범위가 다른 영상은 별도로 기록합니다.</x:v>
      </x:c>
      <x:c r="B5" s="69"/>
      <x:c r="C5" s="69"/>
      <x:c r="D5" s="69"/>
      <x:c r="E5" s="69"/>
      <x:c r="F5" s="69"/>
      <x:c r="G5" s="69"/>
      <x:c r="H5" s="69"/>
      <x:c r="I5" s="69"/>
      <x:c r="J5" s="69"/>
      <x:c r="K5" s="69"/>
      <x:c r="L5" s="69"/>
      <x:c r="M5" s="69"/>
      <x:c r="N5" s="69"/>
      <x:c r="O5" s="69"/>
      <x:c r="P5" s="69"/>
      <x:c r="Q5" s="69"/>
      <x:c r="R5" s="69"/>
      <x:c r="S5" s="69"/>
    </x:row>
    <x:row r="6" ht="32" customHeight="1">
      <x:c r="A6" s="78" t="str">
        <x:v>근거 ID</x:v>
      </x:c>
      <x:c r="B6" s="79" t="str">
        <x:v>접근부 ID</x:v>
      </x:c>
      <x:c r="C6" s="79" t="str">
        <x:v>영상원</x:v>
      </x:c>
      <x:c r="D6" s="79" t="str">
        <x:v>영상 열기</x:v>
      </x:c>
      <x:c r="E6" s="79" t="str">
        <x:v>촬영일</x:v>
      </x:c>
      <x:c r="F6" s="79" t="str">
        <x:v>확정 거리뷰 URL</x:v>
      </x:c>
      <x:c r="G6" s="79" t="str">
        <x:v>식별 가능 1</x:v>
      </x:c>
      <x:c r="H6" s="79" t="str">
        <x:v>영상 판정 1</x:v>
      </x:c>
      <x:c r="I6" s="79" t="str">
        <x:v>관찰 메모 1</x:v>
      </x:c>
      <x:c r="J6" s="79" t="str">
        <x:v>식별 가능 2</x:v>
      </x:c>
      <x:c r="K6" s="79" t="str">
        <x:v>영상 판정 2</x:v>
      </x:c>
      <x:c r="L6" s="79" t="str">
        <x:v>관찰 메모 2</x:v>
      </x:c>
      <x:c r="M6" s="79" t="str">
        <x:v>2인 검수</x:v>
      </x:c>
      <x:c r="N6" s="79" t="str">
        <x:v>촬영점 거리(m)</x:v>
      </x:c>
      <x:c r="O6" s="79" t="str">
        <x:v>접근부 위도</x:v>
      </x:c>
      <x:c r="P6" s="79" t="str">
        <x:v>접근부 경도</x:v>
      </x:c>
      <x:c r="Q6" s="79" t="str">
        <x:v>기본 위치 URL</x:v>
      </x:c>
      <x:c r="R6" s="79" t="str">
        <x:v>파노라마 ID</x:v>
      </x:c>
      <x:c r="S6" s="80" t="str">
        <x:v>기록 출처</x:v>
      </x:c>
    </x:row>
    <x:row r="7" ht="32" customHeight="1">
      <x:c r="A7" s="81" t="str">
        <x:v>CW01-A-N</x:v>
      </x:c>
      <x:c r="B7" s="81" t="str">
        <x:v>CW01-A</x:v>
      </x:c>
      <x:c r="C7" s="81" t="str">
        <x:v>네이버</x:v>
      </x:c>
      <x:c r="D7" s="84" t="e">
        <x:f>IF(F7&lt;&gt;"",HYPERLINK(F7,"거리뷰 열기"),HYPERLINK(Q7,IF(C7="네이버","네이버 위치","카카오 위치")))</x:f>
        <x:v>HYPERLINK is not implemented. linkLocation=https://map.naver.com/p/entry/coordinates/3zfl93,2AFa5V?c=15.00,0,0,0,dh, friendlyName=네이버 위치</x:v>
      </x:c>
      <x:c r="E7" s="239"/>
      <x:c r="F7" s="87"/>
      <x:c r="G7" s="83"/>
      <x:c r="H7" s="83"/>
      <x:c r="I7" s="93"/>
      <x:c r="J7" s="83"/>
      <x:c r="K7" s="83"/>
      <x:c r="L7" s="93"/>
      <x:c r="M7" s="82" t="str">
        <x:v>Y</x:v>
      </x:c>
      <x:c r="N7" s="89"/>
      <x:c r="O7" s="91" t="n">
        <x:v>37.40240149538004</x:v>
      </x:c>
      <x:c r="P7" s="91" t="n">
        <x:v>126.92264614190194</x:v>
      </x:c>
      <x:c r="Q7" s="81" t="str">
        <x:v>https://map.naver.com/p/entry/coordinates/3zfl93,2AFa5V?c=15.00,0,0,0,dh</x:v>
      </x:c>
      <x:c r="R7" s="81"/>
      <x:c r="S7" s="81" t="str">
        <x:v>좌표 링크 추가 / 영상 미확정</x:v>
      </x:c>
    </x:row>
    <x:row r="8" ht="80" customHeight="1">
      <x:c r="A8" s="81" t="str">
        <x:v>CW01-A-K</x:v>
      </x:c>
      <x:c r="B8" s="81" t="str">
        <x:v>CW01-A</x:v>
      </x:c>
      <x:c r="C8" s="81" t="str">
        <x:v>카카오</x:v>
      </x:c>
      <x:c r="D8" s="84" t="e">
        <x:f>IF(F8&lt;&gt;"",HYPERLINK(F8,"거리뷰 열기"),HYPERLINK(Q8,IF(C8="네이버","네이버 위치","카카오 위치")))</x:f>
        <x:v>HYPERLINK is not implemented. linkLocation=https://map.kakao.com/?panoid=1202971200&amp;pan=327.8&amp;zoom=0&amp;map_type=TYPE_MAP&amp;map_attribute=ROADVIEW&amp;urlX=482904.0&amp;urlY=1084204.0, friendlyName=거리뷰 열기</x:v>
      </x:c>
      <x:c r="E8" s="239" t="n">
        <x:v>45978.603055555555</x:v>
      </x:c>
      <x:c r="F8" s="87" t="str">
        <x:v>https://map.kakao.com/?panoid=1202971200&amp;pan=327.8&amp;zoom=0&amp;map_type=TYPE_MAP&amp;map_attribute=ROADVIEW&amp;urlX=482904.0&amp;urlY=1084204.0</x:v>
      </x:c>
      <x:c r="G8" s="83"/>
      <x:c r="H8" s="83"/>
      <x:c r="I8" s="93"/>
      <x:c r="J8" s="83"/>
      <x:c r="K8" s="83"/>
      <x:c r="L8" s="93"/>
      <x:c r="M8" s="82" t="str">
        <x:v>Y</x:v>
      </x:c>
      <x:c r="N8" s="89" t="n">
        <x:v>12.5</x:v>
      </x:c>
      <x:c r="O8" s="91" t="n">
        <x:v>37.40240149538004</x:v>
      </x:c>
      <x:c r="P8" s="91" t="n">
        <x:v>126.92264614190194</x:v>
      </x:c>
      <x:c r="Q8" s="81" t="str">
        <x:v>https://map.kakao.com/link/roadview/37.4024015,126.9226461</x:v>
      </x:c>
      <x:c r="R8" s="81" t="str">
        <x:v>1202971200</x:v>
      </x:c>
      <x:c r="S8" s="81" t="str">
        <x:v>기존 파일의 촬영정보·URL</x:v>
      </x:c>
    </x:row>
    <x:row r="9" ht="32" customHeight="1">
      <x:c r="A9" s="82" t="str">
        <x:v>CW01-B-N</x:v>
      </x:c>
      <x:c r="B9" s="82" t="str">
        <x:v>CW01-B</x:v>
      </x:c>
      <x:c r="C9" s="82" t="str">
        <x:v>네이버</x:v>
      </x:c>
      <x:c r="D9" s="85" t="e">
        <x:f>IF(F9&lt;&gt;"",HYPERLINK(F9,"거리뷰 열기"),HYPERLINK(Q9,IF(C9="네이버","네이버 위치","카카오 위치")))</x:f>
        <x:v>HYPERLINK is not implemented. linkLocation=https://map.naver.com/p/entry/coordinates/3zflmF,2AFadu?c=15.00,0,0,0,dh, friendlyName=네이버 위치</x:v>
      </x:c>
      <x:c r="E9" s="239"/>
      <x:c r="F9" s="87"/>
      <x:c r="G9" s="83"/>
      <x:c r="H9" s="83"/>
      <x:c r="I9" s="93"/>
      <x:c r="J9" s="83"/>
      <x:c r="K9" s="83"/>
      <x:c r="L9" s="93"/>
      <x:c r="M9" s="82" t="str">
        <x:v>Y</x:v>
      </x:c>
      <x:c r="N9" s="90"/>
      <x:c r="O9" s="92" t="n">
        <x:v>37.40244836461997</x:v>
      </x:c>
      <x:c r="P9" s="92" t="n">
        <x:v>126.92273045809807</x:v>
      </x:c>
      <x:c r="Q9" s="82" t="str">
        <x:v>https://map.naver.com/p/entry/coordinates/3zflmF,2AFadu?c=15.00,0,0,0,dh</x:v>
      </x:c>
      <x:c r="R9" s="82"/>
      <x:c r="S9" s="82" t="str">
        <x:v>좌표 링크 추가 / 영상 미확정</x:v>
      </x:c>
    </x:row>
    <x:row r="10" ht="80" customHeight="1">
      <x:c r="A10" s="82" t="str">
        <x:v>CW01-B-K</x:v>
      </x:c>
      <x:c r="B10" s="82" t="str">
        <x:v>CW01-B</x:v>
      </x:c>
      <x:c r="C10" s="82" t="str">
        <x:v>카카오</x:v>
      </x:c>
      <x:c r="D10" s="85" t="e">
        <x:f>IF(F10&lt;&gt;"",HYPERLINK(F10,"거리뷰 열기"),HYPERLINK(Q10,IF(C10="네이버","네이버 위치","카카오 위치")))</x:f>
        <x:v>HYPERLINK is not implemented. linkLocation=https://map.kakao.com/?panoid=1202971200&amp;pan=327.8&amp;zoom=0&amp;map_type=TYPE_MAP&amp;map_attribute=ROADVIEW&amp;urlX=482904.0&amp;urlY=1084204.0, friendlyName=거리뷰 열기</x:v>
      </x:c>
      <x:c r="E10" s="239" t="n">
        <x:v>45978.603055555555</x:v>
      </x:c>
      <x:c r="F10" s="87" t="str">
        <x:v>https://map.kakao.com/?panoid=1202971200&amp;pan=327.8&amp;zoom=0&amp;map_type=TYPE_MAP&amp;map_attribute=ROADVIEW&amp;urlX=482904.0&amp;urlY=1084204.0</x:v>
      </x:c>
      <x:c r="G10" s="83"/>
      <x:c r="H10" s="83"/>
      <x:c r="I10" s="93"/>
      <x:c r="J10" s="83"/>
      <x:c r="K10" s="83"/>
      <x:c r="L10" s="93"/>
      <x:c r="M10" s="82" t="str">
        <x:v>Y</x:v>
      </x:c>
      <x:c r="N10" s="90" t="n">
        <x:v>3.44</x:v>
      </x:c>
      <x:c r="O10" s="92" t="n">
        <x:v>37.40244836461997</x:v>
      </x:c>
      <x:c r="P10" s="92" t="n">
        <x:v>126.92273045809807</x:v>
      </x:c>
      <x:c r="Q10" s="82" t="str">
        <x:v>https://map.kakao.com/link/roadview/37.4024484,126.9227305</x:v>
      </x:c>
      <x:c r="R10" s="82" t="str">
        <x:v>1202971200</x:v>
      </x:c>
      <x:c r="S10" s="82" t="str">
        <x:v>기존 파일의 촬영정보·URL</x:v>
      </x:c>
    </x:row>
    <x:row r="11" ht="32" customHeight="1">
      <x:c r="A11" s="81" t="str">
        <x:v>CW02-A-N</x:v>
      </x:c>
      <x:c r="B11" s="81" t="str">
        <x:v>CW02-A</x:v>
      </x:c>
      <x:c r="C11" s="81" t="str">
        <x:v>네이버</x:v>
      </x:c>
      <x:c r="D11" s="84" t="e">
        <x:f>IF(F11&lt;&gt;"",HYPERLINK(F11,"거리뷰 열기"),HYPERLINK(Q11,IF(C11="네이버","네이버 위치","카카오 위치")))</x:f>
        <x:v>HYPERLINK is not implemented. linkLocation=https://map.naver.com/p/entry/coordinates/3zfiyV,2AF9G3?c=15.00,0,0,0,dh, friendlyName=네이버 위치</x:v>
      </x:c>
      <x:c r="E11" s="239"/>
      <x:c r="F11" s="87"/>
      <x:c r="G11" s="83"/>
      <x:c r="H11" s="83"/>
      <x:c r="I11" s="93"/>
      <x:c r="J11" s="83"/>
      <x:c r="K11" s="83"/>
      <x:c r="L11" s="93"/>
      <x:c r="M11" s="82" t="str">
        <x:v>N</x:v>
      </x:c>
      <x:c r="N11" s="89"/>
      <x:c r="O11" s="91" t="n">
        <x:v>37.402241089845866</x:v>
      </x:c>
      <x:c r="P11" s="91" t="n">
        <x:v>126.9216533145511</x:v>
      </x:c>
      <x:c r="Q11" s="81" t="str">
        <x:v>https://map.naver.com/p/entry/coordinates/3zfiyV,2AF9G3?c=15.00,0,0,0,dh</x:v>
      </x:c>
      <x:c r="R11" s="81"/>
      <x:c r="S11" s="81" t="str">
        <x:v>좌표 링크 추가 / 영상 미확정</x:v>
      </x:c>
    </x:row>
    <x:row r="12" ht="80" customHeight="1">
      <x:c r="A12" s="81" t="str">
        <x:v>CW02-A-K</x:v>
      </x:c>
      <x:c r="B12" s="81" t="str">
        <x:v>CW02-A</x:v>
      </x:c>
      <x:c r="C12" s="81" t="str">
        <x:v>카카오</x:v>
      </x:c>
      <x:c r="D12" s="84" t="e">
        <x:f>IF(F12&lt;&gt;"",HYPERLINK(F12,"거리뷰 열기"),HYPERLINK(Q12,IF(C12="네이버","네이버 위치","카카오 위치")))</x:f>
        <x:v>HYPERLINK is not implemented. linkLocation=https://map.kakao.com/?panoid=1203476225&amp;pan=326.4&amp;zoom=0&amp;map_type=TYPE_MAP&amp;map_attribute=ROADVIEW&amp;urlX=482616.0&amp;urlY=1084126.0, friendlyName=거리뷰 열기</x:v>
      </x:c>
      <x:c r="E12" s="239" t="n">
        <x:v>45992.548263888886</x:v>
      </x:c>
      <x:c r="F12" s="87" t="str">
        <x:v>https://map.kakao.com/?panoid=1203476225&amp;pan=326.4&amp;zoom=0&amp;map_type=TYPE_MAP&amp;map_attribute=ROADVIEW&amp;urlX=482616.0&amp;urlY=1084126.0</x:v>
      </x:c>
      <x:c r="G12" s="83"/>
      <x:c r="H12" s="83"/>
      <x:c r="I12" s="93"/>
      <x:c r="J12" s="83"/>
      <x:c r="K12" s="83"/>
      <x:c r="L12" s="93"/>
      <x:c r="M12" s="82" t="str">
        <x:v>N</x:v>
      </x:c>
      <x:c r="N12" s="89" t="n">
        <x:v>18.01</x:v>
      </x:c>
      <x:c r="O12" s="91" t="n">
        <x:v>37.402241089845866</x:v>
      </x:c>
      <x:c r="P12" s="91" t="n">
        <x:v>126.9216533145511</x:v>
      </x:c>
      <x:c r="Q12" s="81" t="str">
        <x:v>https://map.kakao.com/link/roadview/37.4022411,126.9216533</x:v>
      </x:c>
      <x:c r="R12" s="81" t="str">
        <x:v>1203476225</x:v>
      </x:c>
      <x:c r="S12" s="81" t="str">
        <x:v>기존 파일의 촬영정보·URL</x:v>
      </x:c>
    </x:row>
    <x:row r="13" ht="32" customHeight="1">
      <x:c r="A13" s="82" t="str">
        <x:v>CW02-B-N</x:v>
      </x:c>
      <x:c r="B13" s="82" t="str">
        <x:v>CW02-B</x:v>
      </x:c>
      <x:c r="C13" s="82" t="str">
        <x:v>네이버</x:v>
      </x:c>
      <x:c r="D13" s="85" t="e">
        <x:f>IF(F13&lt;&gt;"",HYPERLINK(F13,"거리뷰 열기"),HYPERLINK(Q13,IF(C13="네이버","네이버 위치","카카오 위치")))</x:f>
        <x:v>HYPERLINK is not implemented. linkLocation=https://map.naver.com/p/entry/coordinates/3zfin1,2AF9Kl?c=15.00,0,0,0,dh, friendlyName=네이버 위치</x:v>
      </x:c>
      <x:c r="E13" s="239"/>
      <x:c r="F13" s="87"/>
      <x:c r="G13" s="83"/>
      <x:c r="H13" s="83"/>
      <x:c r="I13" s="93"/>
      <x:c r="J13" s="83"/>
      <x:c r="K13" s="83"/>
      <x:c r="L13" s="93"/>
      <x:c r="M13" s="82" t="str">
        <x:v>N</x:v>
      </x:c>
      <x:c r="N13" s="90"/>
      <x:c r="O13" s="92" t="n">
        <x:v>37.40226767015414</x:v>
      </x:c>
      <x:c r="P13" s="92" t="n">
        <x:v>126.92157948544892</x:v>
      </x:c>
      <x:c r="Q13" s="82" t="str">
        <x:v>https://map.naver.com/p/entry/coordinates/3zfin1,2AF9Kl?c=15.00,0,0,0,dh</x:v>
      </x:c>
      <x:c r="R13" s="82"/>
      <x:c r="S13" s="82" t="str">
        <x:v>좌표 링크 추가 / 영상 미확정</x:v>
      </x:c>
    </x:row>
    <x:row r="14" ht="80" customHeight="1">
      <x:c r="A14" s="82" t="str">
        <x:v>CW02-B-K</x:v>
      </x:c>
      <x:c r="B14" s="82" t="str">
        <x:v>CW02-B</x:v>
      </x:c>
      <x:c r="C14" s="82" t="str">
        <x:v>카카오</x:v>
      </x:c>
      <x:c r="D14" s="85" t="e">
        <x:f>IF(F14&lt;&gt;"",HYPERLINK(F14,"거리뷰 열기"),HYPERLINK(Q14,IF(C14="네이버","네이버 위치","카카오 위치")))</x:f>
        <x:v>HYPERLINK is not implemented. linkLocation=https://map.kakao.com/?panoid=1203476225&amp;pan=326.4&amp;zoom=0&amp;map_type=TYPE_MAP&amp;map_attribute=ROADVIEW&amp;urlX=482616.0&amp;urlY=1084126.0, friendlyName=거리뷰 열기</x:v>
      </x:c>
      <x:c r="E14" s="239" t="n">
        <x:v>45992.548263888886</x:v>
      </x:c>
      <x:c r="F14" s="87" t="str">
        <x:v>https://map.kakao.com/?panoid=1203476225&amp;pan=326.4&amp;zoom=0&amp;map_type=TYPE_MAP&amp;map_attribute=ROADVIEW&amp;urlX=482616.0&amp;urlY=1084126.0</x:v>
      </x:c>
      <x:c r="G14" s="83"/>
      <x:c r="H14" s="83"/>
      <x:c r="I14" s="93"/>
      <x:c r="J14" s="83"/>
      <x:c r="K14" s="83"/>
      <x:c r="L14" s="93"/>
      <x:c r="M14" s="82" t="str">
        <x:v>N</x:v>
      </x:c>
      <x:c r="N14" s="90" t="n">
        <x:v>14.06</x:v>
      </x:c>
      <x:c r="O14" s="92" t="n">
        <x:v>37.40226767015414</x:v>
      </x:c>
      <x:c r="P14" s="92" t="n">
        <x:v>126.92157948544892</x:v>
      </x:c>
      <x:c r="Q14" s="82" t="str">
        <x:v>https://map.kakao.com/link/roadview/37.4022677,126.9215795</x:v>
      </x:c>
      <x:c r="R14" s="82" t="str">
        <x:v>1203476225</x:v>
      </x:c>
      <x:c r="S14" s="82" t="str">
        <x:v>기존 파일의 촬영정보·URL</x:v>
      </x:c>
    </x:row>
    <x:row r="15" ht="32" customHeight="1">
      <x:c r="A15" s="81" t="str">
        <x:v>CW03-A-N</x:v>
      </x:c>
      <x:c r="B15" s="81" t="str">
        <x:v>CW03-A</x:v>
      </x:c>
      <x:c r="C15" s="81" t="str">
        <x:v>네이버</x:v>
      </x:c>
      <x:c r="D15" s="84" t="e">
        <x:f>IF(F15&lt;&gt;"",HYPERLINK(F15,"거리뷰 열기"),HYPERLINK(Q15,IF(C15="네이버","네이버 위치","카카오 위치")))</x:f>
        <x:v>HYPERLINK is not implemented. linkLocation=https://map.naver.com/p/entry/coordinates/3zfk8C,2AFbEP?c=15.00,0,0,0,dh, friendlyName=네이버 위치</x:v>
      </x:c>
      <x:c r="E15" s="239"/>
      <x:c r="F15" s="87"/>
      <x:c r="G15" s="83"/>
      <x:c r="H15" s="83"/>
      <x:c r="I15" s="93"/>
      <x:c r="J15" s="83"/>
      <x:c r="K15" s="83"/>
      <x:c r="L15" s="93"/>
      <x:c r="M15" s="82" t="str">
        <x:v>Y</x:v>
      </x:c>
      <x:c r="N15" s="89"/>
      <x:c r="O15" s="91" t="n">
        <x:v>37.40300229204492</x:v>
      </x:c>
      <x:c r="P15" s="91" t="n">
        <x:v>126.92225900640435</x:v>
      </x:c>
      <x:c r="Q15" s="81" t="str">
        <x:v>https://map.naver.com/p/entry/coordinates/3zfk8C,2AFbEP?c=15.00,0,0,0,dh</x:v>
      </x:c>
      <x:c r="R15" s="81"/>
      <x:c r="S15" s="81" t="str">
        <x:v>좌표 링크 추가 / 영상 미확정</x:v>
      </x:c>
    </x:row>
    <x:row r="16" ht="80" customHeight="1">
      <x:c r="A16" s="81" t="str">
        <x:v>CW03-A-K</x:v>
      </x:c>
      <x:c r="B16" s="81" t="str">
        <x:v>CW03-A</x:v>
      </x:c>
      <x:c r="C16" s="81" t="str">
        <x:v>카카오</x:v>
      </x:c>
      <x:c r="D16" s="84" t="e">
        <x:f>IF(F16&lt;&gt;"",HYPERLINK(F16,"거리뷰 열기"),HYPERLINK(Q16,IF(C16="네이버","네이버 위치","카카오 위치")))</x:f>
        <x:v>HYPERLINK is not implemented. linkLocation=https://map.kakao.com/?panoid=1202971207&amp;pan=327.3&amp;zoom=0&amp;map_type=TYPE_MAP&amp;map_attribute=ROADVIEW&amp;urlX=482811.0&amp;urlY=1084352.0, friendlyName=거리뷰 열기</x:v>
      </x:c>
      <x:c r="E16" s="239" t="n">
        <x:v>45978.603171296294</x:v>
      </x:c>
      <x:c r="F16" s="87" t="str">
        <x:v>https://map.kakao.com/?panoid=1202971207&amp;pan=327.3&amp;zoom=0&amp;map_type=TYPE_MAP&amp;map_attribute=ROADVIEW&amp;urlX=482811.0&amp;urlY=1084352.0</x:v>
      </x:c>
      <x:c r="G16" s="83"/>
      <x:c r="H16" s="83"/>
      <x:c r="I16" s="93"/>
      <x:c r="J16" s="83"/>
      <x:c r="K16" s="83"/>
      <x:c r="L16" s="93"/>
      <x:c r="M16" s="82" t="str">
        <x:v>Y</x:v>
      </x:c>
      <x:c r="N16" s="89" t="n">
        <x:v>7.59</x:v>
      </x:c>
      <x:c r="O16" s="91" t="n">
        <x:v>37.40300229204492</x:v>
      </x:c>
      <x:c r="P16" s="91" t="n">
        <x:v>126.92225900640435</x:v>
      </x:c>
      <x:c r="Q16" s="81" t="str">
        <x:v>https://map.kakao.com/link/roadview/37.4030023,126.9222590</x:v>
      </x:c>
      <x:c r="R16" s="81" t="str">
        <x:v>1202971207</x:v>
      </x:c>
      <x:c r="S16" s="81" t="str">
        <x:v>기존 파일의 촬영정보·URL</x:v>
      </x:c>
    </x:row>
    <x:row r="17" ht="32" customHeight="1">
      <x:c r="A17" s="82" t="str">
        <x:v>CW03-B-N</x:v>
      </x:c>
      <x:c r="B17" s="82" t="str">
        <x:v>CW03-B</x:v>
      </x:c>
      <x:c r="C17" s="82" t="str">
        <x:v>네이버</x:v>
      </x:c>
      <x:c r="D17" s="85" t="e">
        <x:f>IF(F17&lt;&gt;"",HYPERLINK(F17,"거리뷰 열기"),HYPERLINK(Q17,IF(C17="네이버","네이버 위치","카카오 위치")))</x:f>
        <x:v>HYPERLINK is not implemented. linkLocation=https://map.naver.com/p/entry/coordinates/3zfkj8,2AFbKF?c=15.00,0,0,0,dh, friendlyName=네이버 위치</x:v>
      </x:c>
      <x:c r="E17" s="239"/>
      <x:c r="F17" s="87"/>
      <x:c r="G17" s="83"/>
      <x:c r="H17" s="83"/>
      <x:c r="I17" s="93"/>
      <x:c r="J17" s="83"/>
      <x:c r="K17" s="83"/>
      <x:c r="L17" s="93"/>
      <x:c r="M17" s="82" t="str">
        <x:v>Y</x:v>
      </x:c>
      <x:c r="N17" s="90"/>
      <x:c r="O17" s="92" t="n">
        <x:v>37.40303852795509</x:v>
      </x:c>
      <x:c r="P17" s="92" t="n">
        <x:v>126.92232419359563</x:v>
      </x:c>
      <x:c r="Q17" s="82" t="str">
        <x:v>https://map.naver.com/p/entry/coordinates/3zfkj8,2AFbKF?c=15.00,0,0,0,dh</x:v>
      </x:c>
      <x:c r="R17" s="82"/>
      <x:c r="S17" s="82" t="str">
        <x:v>좌표 링크 추가 / 영상 미확정</x:v>
      </x:c>
    </x:row>
    <x:row r="18" ht="80" customHeight="1">
      <x:c r="A18" s="82" t="str">
        <x:v>CW03-B-K</x:v>
      </x:c>
      <x:c r="B18" s="82" t="str">
        <x:v>CW03-B</x:v>
      </x:c>
      <x:c r="C18" s="82" t="str">
        <x:v>카카오</x:v>
      </x:c>
      <x:c r="D18" s="85" t="e">
        <x:f>IF(F18&lt;&gt;"",HYPERLINK(F18,"거리뷰 열기"),HYPERLINK(Q18,IF(C18="네이버","네이버 위치","카카오 위치")))</x:f>
        <x:v>HYPERLINK is not implemented. linkLocation=https://map.kakao.com/?panoid=1202971207&amp;pan=327.3&amp;zoom=0&amp;map_type=TYPE_MAP&amp;map_attribute=ROADVIEW&amp;urlX=482811.0&amp;urlY=1084352.0, friendlyName=거리뷰 열기</x:v>
      </x:c>
      <x:c r="E18" s="239" t="n">
        <x:v>45978.603171296294</x:v>
      </x:c>
      <x:c r="F18" s="87" t="str">
        <x:v>https://map.kakao.com/?panoid=1202971207&amp;pan=327.3&amp;zoom=0&amp;map_type=TYPE_MAP&amp;map_attribute=ROADVIEW&amp;urlX=482811.0&amp;urlY=1084352.0</x:v>
      </x:c>
      <x:c r="G18" s="83"/>
      <x:c r="H18" s="83"/>
      <x:c r="I18" s="93"/>
      <x:c r="J18" s="83"/>
      <x:c r="K18" s="83"/>
      <x:c r="L18" s="93"/>
      <x:c r="M18" s="82" t="str">
        <x:v>Y</x:v>
      </x:c>
      <x:c r="N18" s="90" t="n">
        <x:v>5.11</x:v>
      </x:c>
      <x:c r="O18" s="92" t="n">
        <x:v>37.40303852795509</x:v>
      </x:c>
      <x:c r="P18" s="92" t="n">
        <x:v>126.92232419359563</x:v>
      </x:c>
      <x:c r="Q18" s="82" t="str">
        <x:v>https://map.kakao.com/link/roadview/37.4030385,126.9223242</x:v>
      </x:c>
      <x:c r="R18" s="82" t="str">
        <x:v>1202971207</x:v>
      </x:c>
      <x:c r="S18" s="82" t="str">
        <x:v>기존 파일의 촬영정보·URL</x:v>
      </x:c>
    </x:row>
    <x:row r="19" ht="32" customHeight="1">
      <x:c r="A19" s="81" t="str">
        <x:v>CW04-A-N</x:v>
      </x:c>
      <x:c r="B19" s="81" t="str">
        <x:v>CW04-A</x:v>
      </x:c>
      <x:c r="C19" s="81" t="str">
        <x:v>네이버</x:v>
      </x:c>
      <x:c r="D19" s="84" t="e">
        <x:f>IF(F19&lt;&gt;"",HYPERLINK(F19,"거리뷰 열기"),HYPERLINK(Q19,IF(C19="네이버","네이버 위치","카카오 위치")))</x:f>
        <x:v>HYPERLINK is not implemented. linkLocation=https://map.naver.com/p/entry/coordinates/3zfhL4,2AF9CB?c=15.00,0,0,0,dh, friendlyName=네이버 위치</x:v>
      </x:c>
      <x:c r="E19" s="239"/>
      <x:c r="F19" s="87"/>
      <x:c r="G19" s="83"/>
      <x:c r="H19" s="83"/>
      <x:c r="I19" s="93"/>
      <x:c r="J19" s="83"/>
      <x:c r="K19" s="83"/>
      <x:c r="L19" s="93"/>
      <x:c r="M19" s="82" t="str">
        <x:v>N</x:v>
      </x:c>
      <x:c r="N19" s="89"/>
      <x:c r="O19" s="91" t="n">
        <x:v>37.402219732308936</x:v>
      </x:c>
      <x:c r="P19" s="91" t="n">
        <x:v>126.92134421014717</x:v>
      </x:c>
      <x:c r="Q19" s="81" t="str">
        <x:v>https://map.naver.com/p/entry/coordinates/3zfhL4,2AF9CB?c=15.00,0,0,0,dh</x:v>
      </x:c>
      <x:c r="R19" s="81"/>
      <x:c r="S19" s="81" t="str">
        <x:v>좌표 링크 추가 / 영상 미확정</x:v>
      </x:c>
    </x:row>
    <x:row r="20" ht="80" customHeight="1">
      <x:c r="A20" s="81" t="str">
        <x:v>CW04-A-K</x:v>
      </x:c>
      <x:c r="B20" s="81" t="str">
        <x:v>CW04-A</x:v>
      </x:c>
      <x:c r="C20" s="81" t="str">
        <x:v>카카오</x:v>
      </x:c>
      <x:c r="D20" s="84" t="e">
        <x:f>IF(F20&lt;&gt;"",HYPERLINK(F20,"거리뷰 열기"),HYPERLINK(Q20,IF(C20="네이버","네이버 위치","카카오 위치")))</x:f>
        <x:v>HYPERLINK is not implemented. linkLocation=https://map.kakao.com/?panoid=1203476229&amp;pan=326.3&amp;zoom=0&amp;map_type=TYPE_MAP&amp;map_attribute=ROADVIEW&amp;urlX=482602.0&amp;urlY=1084147.0, friendlyName=거리뷰 열기</x:v>
      </x:c>
      <x:c r="E20" s="239" t="n">
        <x:v>45992.54827546296</x:v>
      </x:c>
      <x:c r="F20" s="87" t="str">
        <x:v>https://map.kakao.com/?panoid=1203476229&amp;pan=326.3&amp;zoom=0&amp;map_type=TYPE_MAP&amp;map_attribute=ROADVIEW&amp;urlX=482602.0&amp;urlY=1084147.0</x:v>
      </x:c>
      <x:c r="G20" s="83"/>
      <x:c r="H20" s="83"/>
      <x:c r="I20" s="93"/>
      <x:c r="J20" s="83"/>
      <x:c r="K20" s="83"/>
      <x:c r="L20" s="93"/>
      <x:c r="M20" s="82" t="str">
        <x:v>N</x:v>
      </x:c>
      <x:c r="N20" s="89" t="n">
        <x:v>6.44</x:v>
      </x:c>
      <x:c r="O20" s="91" t="n">
        <x:v>37.402219732308936</x:v>
      </x:c>
      <x:c r="P20" s="91" t="n">
        <x:v>126.92134421014717</x:v>
      </x:c>
      <x:c r="Q20" s="81" t="str">
        <x:v>https://map.kakao.com/link/roadview/37.4022197,126.9213442</x:v>
      </x:c>
      <x:c r="R20" s="81" t="str">
        <x:v>1203476229</x:v>
      </x:c>
      <x:c r="S20" s="81" t="str">
        <x:v>기존 파일의 촬영정보·URL</x:v>
      </x:c>
    </x:row>
    <x:row r="21" ht="32" customHeight="1">
      <x:c r="A21" s="82" t="str">
        <x:v>CW04-B-N</x:v>
      </x:c>
      <x:c r="B21" s="82" t="str">
        <x:v>CW04-B</x:v>
      </x:c>
      <x:c r="C21" s="82" t="str">
        <x:v>네이버</x:v>
      </x:c>
      <x:c r="D21" s="85" t="e">
        <x:f>IF(F21&lt;&gt;"",HYPERLINK(F21,"거리뷰 열기"),HYPERLINK(Q21,IF(C21="네이버","네이버 위치","카카오 위치")))</x:f>
        <x:v>HYPERLINK is not implemented. linkLocation=https://map.naver.com/p/entry/coordinates/3zfi7q,2AF9P1?c=15.00,0,0,0,dh, friendlyName=네이버 위치</x:v>
      </x:c>
      <x:c r="E21" s="239"/>
      <x:c r="F21" s="87"/>
      <x:c r="G21" s="83"/>
      <x:c r="H21" s="83"/>
      <x:c r="I21" s="93"/>
      <x:c r="J21" s="83"/>
      <x:c r="K21" s="83"/>
      <x:c r="L21" s="93"/>
      <x:c r="M21" s="82" t="str">
        <x:v>N</x:v>
      </x:c>
      <x:c r="N21" s="90"/>
      <x:c r="O21" s="92" t="n">
        <x:v>37.402296707691065</x:v>
      </x:c>
      <x:c r="P21" s="92" t="n">
        <x:v>126.92148278985283</x:v>
      </x:c>
      <x:c r="Q21" s="82" t="str">
        <x:v>https://map.naver.com/p/entry/coordinates/3zfi7q,2AF9P1?c=15.00,0,0,0,dh</x:v>
      </x:c>
      <x:c r="R21" s="82"/>
      <x:c r="S21" s="82" t="str">
        <x:v>좌표 링크 추가 / 영상 미확정</x:v>
      </x:c>
    </x:row>
    <x:row r="22" ht="80" customHeight="1">
      <x:c r="A22" s="82" t="str">
        <x:v>CW04-B-K</x:v>
      </x:c>
      <x:c r="B22" s="82" t="str">
        <x:v>CW04-B</x:v>
      </x:c>
      <x:c r="C22" s="82" t="str">
        <x:v>카카오</x:v>
      </x:c>
      <x:c r="D22" s="85" t="e">
        <x:f>IF(F22&lt;&gt;"",HYPERLINK(F22,"거리뷰 열기"),HYPERLINK(Q22,IF(C22="네이버","네이버 위치","카카오 위치")))</x:f>
        <x:v>HYPERLINK is not implemented. linkLocation=https://map.kakao.com/?panoid=1203476229&amp;pan=326.3&amp;zoom=0&amp;map_type=TYPE_MAP&amp;map_attribute=ROADVIEW&amp;urlX=482602.0&amp;urlY=1084147.0, friendlyName=거리뷰 열기</x:v>
      </x:c>
      <x:c r="E22" s="239" t="n">
        <x:v>45992.54827546296</x:v>
      </x:c>
      <x:c r="F22" s="87" t="str">
        <x:v>https://map.kakao.com/?panoid=1203476229&amp;pan=326.3&amp;zoom=0&amp;map_type=TYPE_MAP&amp;map_attribute=ROADVIEW&amp;urlX=482602.0&amp;urlY=1084147.0</x:v>
      </x:c>
      <x:c r="G22" s="83"/>
      <x:c r="H22" s="83"/>
      <x:c r="I22" s="93"/>
      <x:c r="J22" s="83"/>
      <x:c r="K22" s="83"/>
      <x:c r="L22" s="93"/>
      <x:c r="M22" s="82" t="str">
        <x:v>N</x:v>
      </x:c>
      <x:c r="N22" s="90" t="n">
        <x:v>8.52</x:v>
      </x:c>
      <x:c r="O22" s="92" t="n">
        <x:v>37.402296707691065</x:v>
      </x:c>
      <x:c r="P22" s="92" t="n">
        <x:v>126.92148278985283</x:v>
      </x:c>
      <x:c r="Q22" s="82" t="str">
        <x:v>https://map.kakao.com/link/roadview/37.4022967,126.9214828</x:v>
      </x:c>
      <x:c r="R22" s="82" t="str">
        <x:v>1203476229</x:v>
      </x:c>
      <x:c r="S22" s="82" t="str">
        <x:v>기존 파일의 촬영정보·URL</x:v>
      </x:c>
    </x:row>
    <x:row r="23" ht="32" customHeight="1">
      <x:c r="A23" s="81" t="str">
        <x:v>CW05-A-N</x:v>
      </x:c>
      <x:c r="B23" s="81" t="str">
        <x:v>CW05-A</x:v>
      </x:c>
      <x:c r="C23" s="81" t="str">
        <x:v>네이버</x:v>
      </x:c>
      <x:c r="D23" s="84" t="e">
        <x:f>IF(F23&lt;&gt;"",HYPERLINK(F23,"거리뷰 열기"),HYPERLINK(Q23,IF(C23="네이버","네이버 위치","카카오 위치")))</x:f>
        <x:v>HYPERLINK is not implemented. linkLocation=https://map.naver.com/p/entry/coordinates/3zflQI,2AF9sA?c=15.00,0,0,0,dh, friendlyName=네이버 위치</x:v>
      </x:c>
      <x:c r="E23" s="239"/>
      <x:c r="F23" s="87"/>
      <x:c r="G23" s="83"/>
      <x:c r="H23" s="83"/>
      <x:c r="I23" s="93"/>
      <x:c r="J23" s="83"/>
      <x:c r="K23" s="83"/>
      <x:c r="L23" s="93"/>
      <x:c r="M23" s="82" t="str">
        <x:v>Y</x:v>
      </x:c>
      <x:c r="N23" s="89"/>
      <x:c r="O23" s="91" t="n">
        <x:v>37.40215763504363</x:v>
      </x:c>
      <x:c r="P23" s="91" t="n">
        <x:v>126.92291684588432</x:v>
      </x:c>
      <x:c r="Q23" s="81" t="str">
        <x:v>https://map.naver.com/p/entry/coordinates/3zflQI,2AF9sA?c=15.00,0,0,0,dh</x:v>
      </x:c>
      <x:c r="R23" s="81"/>
      <x:c r="S23" s="81" t="str">
        <x:v>좌표 링크 추가 / 영상 미확정</x:v>
      </x:c>
    </x:row>
    <x:row r="24" ht="80" customHeight="1">
      <x:c r="A24" s="81" t="str">
        <x:v>CW05-A-K</x:v>
      </x:c>
      <x:c r="B24" s="81" t="str">
        <x:v>CW05-A</x:v>
      </x:c>
      <x:c r="C24" s="81" t="str">
        <x:v>카카오</x:v>
      </x:c>
      <x:c r="D24" s="84" t="e">
        <x:f>IF(F24&lt;&gt;"",HYPERLINK(F24,"거리뷰 열기"),HYPERLINK(Q24,IF(C24="네이버","네이버 위치","카카오 위치")))</x:f>
        <x:v>HYPERLINK is not implemented. linkLocation=https://map.kakao.com/?panoid=1202971196&amp;pan=327.5&amp;zoom=0&amp;map_type=TYPE_MAP&amp;map_attribute=ROADVIEW&amp;urlX=482957.0&amp;urlY=1084120.0, friendlyName=거리뷰 열기</x:v>
      </x:c>
      <x:c r="E24" s="239" t="n">
        <x:v>45978.60298611111</x:v>
      </x:c>
      <x:c r="F24" s="87" t="str">
        <x:v>https://map.kakao.com/?panoid=1202971196&amp;pan=327.5&amp;zoom=0&amp;map_type=TYPE_MAP&amp;map_attribute=ROADVIEW&amp;urlX=482957.0&amp;urlY=1084120.0</x:v>
      </x:c>
      <x:c r="G24" s="83"/>
      <x:c r="H24" s="83"/>
      <x:c r="I24" s="93"/>
      <x:c r="J24" s="83"/>
      <x:c r="K24" s="83"/>
      <x:c r="L24" s="93"/>
      <x:c r="M24" s="82" t="str">
        <x:v>Y</x:v>
      </x:c>
      <x:c r="N24" s="89" t="n">
        <x:v>7.78</x:v>
      </x:c>
      <x:c r="O24" s="91" t="n">
        <x:v>37.40215763504363</x:v>
      </x:c>
      <x:c r="P24" s="91" t="n">
        <x:v>126.92291684588432</x:v>
      </x:c>
      <x:c r="Q24" s="81" t="str">
        <x:v>https://map.kakao.com/link/roadview/37.4021576,126.9229168</x:v>
      </x:c>
      <x:c r="R24" s="81" t="str">
        <x:v>1202971196</x:v>
      </x:c>
      <x:c r="S24" s="81" t="str">
        <x:v>기존 파일의 촬영정보·URL</x:v>
      </x:c>
    </x:row>
    <x:row r="25" ht="32" customHeight="1">
      <x:c r="A25" s="82" t="str">
        <x:v>CW05-B-N</x:v>
      </x:c>
      <x:c r="B25" s="82" t="str">
        <x:v>CW05-B</x:v>
      </x:c>
      <x:c r="C25" s="82" t="str">
        <x:v>네이버</x:v>
      </x:c>
      <x:c r="D25" s="85" t="e">
        <x:f>IF(F25&lt;&gt;"",HYPERLINK(F25,"거리뷰 열기"),HYPERLINK(Q25,IF(C25="네이버","네이버 위치","카카오 위치")))</x:f>
        <x:v>HYPERLINK is not implemented. linkLocation=https://map.naver.com/p/entry/coordinates/3zfm3o,2AF9z5?c=15.00,0,0,0,dh, friendlyName=네이버 위치</x:v>
      </x:c>
      <x:c r="E25" s="239"/>
      <x:c r="F25" s="87"/>
      <x:c r="G25" s="83"/>
      <x:c r="H25" s="83"/>
      <x:c r="I25" s="93"/>
      <x:c r="J25" s="83"/>
      <x:c r="K25" s="83"/>
      <x:c r="L25" s="93"/>
      <x:c r="M25" s="82" t="str">
        <x:v>Y</x:v>
      </x:c>
      <x:c r="N25" s="90"/>
      <x:c r="O25" s="92" t="n">
        <x:v>37.40219794495638</x:v>
      </x:c>
      <x:c r="P25" s="92" t="n">
        <x:v>126.92299535411566</x:v>
      </x:c>
      <x:c r="Q25" s="82" t="str">
        <x:v>https://map.naver.com/p/entry/coordinates/3zfm3o,2AF9z5?c=15.00,0,0,0,dh</x:v>
      </x:c>
      <x:c r="R25" s="82"/>
      <x:c r="S25" s="82" t="str">
        <x:v>좌표 링크 추가 / 영상 미확정</x:v>
      </x:c>
    </x:row>
    <x:row r="26" ht="80" customHeight="1">
      <x:c r="A26" s="82" t="str">
        <x:v>CW05-B-K</x:v>
      </x:c>
      <x:c r="B26" s="82" t="str">
        <x:v>CW05-B</x:v>
      </x:c>
      <x:c r="C26" s="82" t="str">
        <x:v>카카오</x:v>
      </x:c>
      <x:c r="D26" s="85" t="e">
        <x:f>IF(F26&lt;&gt;"",HYPERLINK(F26,"거리뷰 열기"),HYPERLINK(Q26,IF(C26="네이버","네이버 위치","카카오 위치")))</x:f>
        <x:v>HYPERLINK is not implemented. linkLocation=https://map.kakao.com/?panoid=1202971196&amp;pan=327.5&amp;zoom=0&amp;map_type=TYPE_MAP&amp;map_attribute=ROADVIEW&amp;urlX=482957.0&amp;urlY=1084120.0, friendlyName=거리뷰 열기</x:v>
      </x:c>
      <x:c r="E26" s="239" t="n">
        <x:v>45978.60298611111</x:v>
      </x:c>
      <x:c r="F26" s="87" t="str">
        <x:v>https://map.kakao.com/?panoid=1202971196&amp;pan=327.5&amp;zoom=0&amp;map_type=TYPE_MAP&amp;map_attribute=ROADVIEW&amp;urlX=482957.0&amp;urlY=1084120.0</x:v>
      </x:c>
      <x:c r="G26" s="83"/>
      <x:c r="H26" s="83"/>
      <x:c r="I26" s="93"/>
      <x:c r="J26" s="83"/>
      <x:c r="K26" s="83"/>
      <x:c r="L26" s="93"/>
      <x:c r="M26" s="82" t="str">
        <x:v>Y</x:v>
      </x:c>
      <x:c r="N26" s="90" t="n">
        <x:v>4.33</x:v>
      </x:c>
      <x:c r="O26" s="92" t="n">
        <x:v>37.40219794495638</x:v>
      </x:c>
      <x:c r="P26" s="92" t="n">
        <x:v>126.92299535411566</x:v>
      </x:c>
      <x:c r="Q26" s="82" t="str">
        <x:v>https://map.kakao.com/link/roadview/37.4021979,126.9229954</x:v>
      </x:c>
      <x:c r="R26" s="82" t="str">
        <x:v>1202971196</x:v>
      </x:c>
      <x:c r="S26" s="82" t="str">
        <x:v>기존 파일의 촬영정보·URL</x:v>
      </x:c>
    </x:row>
    <x:row r="27" ht="32" customHeight="1">
      <x:c r="A27" s="81" t="str">
        <x:v>CW06-A-N</x:v>
      </x:c>
      <x:c r="B27" s="81" t="str">
        <x:v>CW06-A</x:v>
      </x:c>
      <x:c r="C27" s="81" t="str">
        <x:v>네이버</x:v>
      </x:c>
      <x:c r="D27" s="84" t="e">
        <x:f>IF(F27&lt;&gt;"",HYPERLINK(F27,"거리뷰 열기"),HYPERLINK(Q27,IF(C27="네이버","네이버 위치","카카오 위치")))</x:f>
        <x:v>HYPERLINK is not implemented. linkLocation=https://map.naver.com/p/entry/coordinates/3zfiAV,2AF8rB?c=15.00,0,0,0,dh, friendlyName=네이버 위치</x:v>
      </x:c>
      <x:c r="E27" s="239"/>
      <x:c r="F27" s="87"/>
      <x:c r="G27" s="83"/>
      <x:c r="H27" s="83"/>
      <x:c r="I27" s="93"/>
      <x:c r="J27" s="83"/>
      <x:c r="K27" s="83"/>
      <x:c r="L27" s="93"/>
      <x:c r="M27" s="82" t="str">
        <x:v>N</x:v>
      </x:c>
      <x:c r="N27" s="89"/>
      <x:c r="O27" s="91" t="n">
        <x:v>37.4017671465952</x:v>
      </x:c>
      <x:c r="P27" s="91" t="n">
        <x:v>126.92166571676718</x:v>
      </x:c>
      <x:c r="Q27" s="81" t="str">
        <x:v>https://map.naver.com/p/entry/coordinates/3zfiAV,2AF8rB?c=15.00,0,0,0,dh</x:v>
      </x:c>
      <x:c r="R27" s="81"/>
      <x:c r="S27" s="81" t="str">
        <x:v>좌표 링크 추가 / 영상 미확정</x:v>
      </x:c>
    </x:row>
    <x:row r="28" ht="80" customHeight="1">
      <x:c r="A28" s="81" t="str">
        <x:v>CW06-A-K</x:v>
      </x:c>
      <x:c r="B28" s="81" t="str">
        <x:v>CW06-A</x:v>
      </x:c>
      <x:c r="C28" s="81" t="str">
        <x:v>카카오</x:v>
      </x:c>
      <x:c r="D28" s="84" t="e">
        <x:f>IF(F28&lt;&gt;"",HYPERLINK(F28,"거리뷰 열기"),HYPERLINK(Q28,IF(C28="네이버","네이버 위치","카카오 위치")))</x:f>
        <x:v>HYPERLINK is not implemented. linkLocation=https://map.kakao.com/?panoid=1203482543&amp;pan=57.9&amp;zoom=0&amp;map_type=TYPE_MAP&amp;map_attribute=ROADVIEW&amp;urlX=482642.0&amp;urlY=1084005.0, friendlyName=거리뷰 열기</x:v>
      </x:c>
      <x:c r="E28" s="239" t="n">
        <x:v>45992.621145833335</x:v>
      </x:c>
      <x:c r="F28" s="87" t="str">
        <x:v>https://map.kakao.com/?panoid=1203482543&amp;pan=57.9&amp;zoom=0&amp;map_type=TYPE_MAP&amp;map_attribute=ROADVIEW&amp;urlX=482642.0&amp;urlY=1084005.0</x:v>
      </x:c>
      <x:c r="G28" s="83"/>
      <x:c r="H28" s="83"/>
      <x:c r="I28" s="93"/>
      <x:c r="J28" s="83"/>
      <x:c r="K28" s="83"/>
      <x:c r="L28" s="93"/>
      <x:c r="M28" s="82" t="str">
        <x:v>N</x:v>
      </x:c>
      <x:c r="N28" s="89" t="n">
        <x:v>7.79</x:v>
      </x:c>
      <x:c r="O28" s="91" t="n">
        <x:v>37.4017671465952</x:v>
      </x:c>
      <x:c r="P28" s="91" t="n">
        <x:v>126.92166571676718</x:v>
      </x:c>
      <x:c r="Q28" s="81" t="str">
        <x:v>https://map.kakao.com/link/roadview/37.4017671,126.9216657</x:v>
      </x:c>
      <x:c r="R28" s="81" t="str">
        <x:v>1203482543</x:v>
      </x:c>
      <x:c r="S28" s="81" t="str">
        <x:v>기존 파일의 촬영정보·URL</x:v>
      </x:c>
    </x:row>
    <x:row r="29" ht="32" customHeight="1">
      <x:c r="A29" s="82" t="str">
        <x:v>CW06-B-N</x:v>
      </x:c>
      <x:c r="B29" s="82" t="str">
        <x:v>CW06-B</x:v>
      </x:c>
      <x:c r="C29" s="82" t="str">
        <x:v>네이버</x:v>
      </x:c>
      <x:c r="D29" s="85" t="e">
        <x:f>IF(F29&lt;&gt;"",HYPERLINK(F29,"거리뷰 열기"),HYPERLINK(Q29,IF(C29="네이버","네이버 위치","카카오 위치")))</x:f>
        <x:v>HYPERLINK is not implemented. linkLocation=https://map.naver.com/p/entry/coordinates/3zfio7,2AF8E9?c=15.00,0,0,0,dh, friendlyName=네이버 위치</x:v>
      </x:c>
      <x:c r="E29" s="239"/>
      <x:c r="F29" s="87"/>
      <x:c r="G29" s="83"/>
      <x:c r="H29" s="83"/>
      <x:c r="I29" s="93"/>
      <x:c r="J29" s="83"/>
      <x:c r="K29" s="83"/>
      <x:c r="L29" s="93"/>
      <x:c r="M29" s="82" t="str">
        <x:v>N</x:v>
      </x:c>
      <x:c r="N29" s="90"/>
      <x:c r="O29" s="92" t="n">
        <x:v>37.401844893404814</x:v>
      </x:c>
      <x:c r="P29" s="92" t="n">
        <x:v>126.92158628323284</x:v>
      </x:c>
      <x:c r="Q29" s="82" t="str">
        <x:v>https://map.naver.com/p/entry/coordinates/3zfio7,2AF8E9?c=15.00,0,0,0,dh</x:v>
      </x:c>
      <x:c r="R29" s="82"/>
      <x:c r="S29" s="82" t="str">
        <x:v>좌표 링크 추가 / 영상 미확정</x:v>
      </x:c>
    </x:row>
    <x:row r="30" ht="80" customHeight="1">
      <x:c r="A30" s="82" t="str">
        <x:v>CW06-B-K</x:v>
      </x:c>
      <x:c r="B30" s="82" t="str">
        <x:v>CW06-B</x:v>
      </x:c>
      <x:c r="C30" s="82" t="str">
        <x:v>카카오</x:v>
      </x:c>
      <x:c r="D30" s="85" t="e">
        <x:f>IF(F30&lt;&gt;"",HYPERLINK(F30,"거리뷰 열기"),HYPERLINK(Q30,IF(C30="네이버","네이버 위치","카카오 위치")))</x:f>
        <x:v>HYPERLINK is not implemented. linkLocation=https://map.kakao.com/?panoid=1203482543&amp;pan=57.9&amp;zoom=0&amp;map_type=TYPE_MAP&amp;map_attribute=ROADVIEW&amp;urlX=482642.0&amp;urlY=1084005.0, friendlyName=거리뷰 열기</x:v>
      </x:c>
      <x:c r="E30" s="239" t="n">
        <x:v>45992.621145833335</x:v>
      </x:c>
      <x:c r="F30" s="87" t="str">
        <x:v>https://map.kakao.com/?panoid=1203482543&amp;pan=57.9&amp;zoom=0&amp;map_type=TYPE_MAP&amp;map_attribute=ROADVIEW&amp;urlX=482642.0&amp;urlY=1084005.0</x:v>
      </x:c>
      <x:c r="G30" s="83"/>
      <x:c r="H30" s="83"/>
      <x:c r="I30" s="93"/>
      <x:c r="J30" s="83"/>
      <x:c r="K30" s="83"/>
      <x:c r="L30" s="93"/>
      <x:c r="M30" s="82" t="str">
        <x:v>N</x:v>
      </x:c>
      <x:c r="N30" s="90" t="n">
        <x:v>11.18</x:v>
      </x:c>
      <x:c r="O30" s="92" t="n">
        <x:v>37.401844893404814</x:v>
      </x:c>
      <x:c r="P30" s="92" t="n">
        <x:v>126.92158628323284</x:v>
      </x:c>
      <x:c r="Q30" s="82" t="str">
        <x:v>https://map.kakao.com/link/roadview/37.4018449,126.9215863</x:v>
      </x:c>
      <x:c r="R30" s="82" t="str">
        <x:v>1203482543</x:v>
      </x:c>
      <x:c r="S30" s="82" t="str">
        <x:v>기존 파일의 촬영정보·URL</x:v>
      </x:c>
    </x:row>
    <x:row r="31" ht="32" customHeight="1">
      <x:c r="A31" s="81" t="str">
        <x:v>CW07-A-N</x:v>
      </x:c>
      <x:c r="B31" s="81" t="str">
        <x:v>CW07-A</x:v>
      </x:c>
      <x:c r="C31" s="81" t="str">
        <x:v>네이버</x:v>
      </x:c>
      <x:c r="D31" s="84" t="e">
        <x:f>IF(F31&lt;&gt;"",HYPERLINK(F31,"거리뷰 열기"),HYPERLINK(Q31,IF(C31="네이버","네이버 위치","카카오 위치")))</x:f>
        <x:v>HYPERLINK is not implemented. linkLocation=https://map.naver.com/p/entry/coordinates/3zfiLk,2AF8kx?c=15.00,0,0,0,dh, friendlyName=네이버 위치</x:v>
      </x:c>
      <x:c r="E31" s="239"/>
      <x:c r="F31" s="87"/>
      <x:c r="G31" s="83"/>
      <x:c r="H31" s="83"/>
      <x:c r="I31" s="93"/>
      <x:c r="J31" s="83"/>
      <x:c r="K31" s="83"/>
      <x:c r="L31" s="93"/>
      <x:c r="M31" s="82" t="str">
        <x:v>Y</x:v>
      </x:c>
      <x:c r="N31" s="89"/>
      <x:c r="O31" s="91" t="n">
        <x:v>37.40172334566271</x:v>
      </x:c>
      <x:c r="P31" s="91" t="n">
        <x:v>126.92173024130342</x:v>
      </x:c>
      <x:c r="Q31" s="81" t="str">
        <x:v>https://map.naver.com/p/entry/coordinates/3zfiLk,2AF8kx?c=15.00,0,0,0,dh</x:v>
      </x:c>
      <x:c r="R31" s="81"/>
      <x:c r="S31" s="81" t="str">
        <x:v>좌표 링크 추가 / 영상 미확정</x:v>
      </x:c>
    </x:row>
    <x:row r="32" ht="80" customHeight="1">
      <x:c r="A32" s="81" t="str">
        <x:v>CW07-A-K</x:v>
      </x:c>
      <x:c r="B32" s="81" t="str">
        <x:v>CW07-A</x:v>
      </x:c>
      <x:c r="C32" s="81" t="str">
        <x:v>카카오</x:v>
      </x:c>
      <x:c r="D32" s="84" t="e">
        <x:f>IF(F32&lt;&gt;"",HYPERLINK(F32,"거리뷰 열기"),HYPERLINK(Q32,IF(C32="네이버","네이버 위치","카카오 위치")))</x:f>
        <x:v>HYPERLINK is not implemented. linkLocation=https://map.kakao.com/?panoid=1203476201&amp;pan=325.8&amp;zoom=0&amp;map_type=TYPE_MAP&amp;map_attribute=ROADVIEW&amp;urlX=482700.0&amp;urlY=1084002.0, friendlyName=거리뷰 열기</x:v>
      </x:c>
      <x:c r="E32" s="239" t="n">
        <x:v>45992.54820601852</x:v>
      </x:c>
      <x:c r="F32" s="87" t="str">
        <x:v>https://map.kakao.com/?panoid=1203476201&amp;pan=325.8&amp;zoom=0&amp;map_type=TYPE_MAP&amp;map_attribute=ROADVIEW&amp;urlX=482700.0&amp;urlY=1084002.0</x:v>
      </x:c>
      <x:c r="G32" s="83"/>
      <x:c r="H32" s="83"/>
      <x:c r="I32" s="93"/>
      <x:c r="J32" s="83"/>
      <x:c r="K32" s="83"/>
      <x:c r="L32" s="93"/>
      <x:c r="M32" s="82" t="str">
        <x:v>Y</x:v>
      </x:c>
      <x:c r="N32" s="89" t="n">
        <x:v>10.14</x:v>
      </x:c>
      <x:c r="O32" s="91" t="n">
        <x:v>37.40172334566271</x:v>
      </x:c>
      <x:c r="P32" s="91" t="n">
        <x:v>126.92173024130342</x:v>
      </x:c>
      <x:c r="Q32" s="81" t="str">
        <x:v>https://map.kakao.com/link/roadview/37.4017233,126.9217302</x:v>
      </x:c>
      <x:c r="R32" s="81" t="str">
        <x:v>1203476201</x:v>
      </x:c>
      <x:c r="S32" s="81" t="str">
        <x:v>기존 파일의 촬영정보·URL</x:v>
      </x:c>
    </x:row>
    <x:row r="33" ht="32" customHeight="1">
      <x:c r="A33" s="82" t="str">
        <x:v>CW07-B-N</x:v>
      </x:c>
      <x:c r="B33" s="82" t="str">
        <x:v>CW07-B</x:v>
      </x:c>
      <x:c r="C33" s="82" t="str">
        <x:v>네이버</x:v>
      </x:c>
      <x:c r="D33" s="85" t="e">
        <x:f>IF(F33&lt;&gt;"",HYPERLINK(F33,"거리뷰 열기"),HYPERLINK(Q33,IF(C33="네이버","네이버 위치","카카오 위치")))</x:f>
        <x:v>HYPERLINK is not implemented. linkLocation=https://map.naver.com/p/entry/coordinates/3zfiWm,2AF8oY?c=15.00,0,0,0,dh, friendlyName=네이버 위치</x:v>
      </x:c>
      <x:c r="E33" s="239"/>
      <x:c r="F33" s="87"/>
      <x:c r="G33" s="83"/>
      <x:c r="H33" s="83"/>
      <x:c r="I33" s="93"/>
      <x:c r="J33" s="83"/>
      <x:c r="K33" s="83"/>
      <x:c r="L33" s="93"/>
      <x:c r="M33" s="82" t="str">
        <x:v>Y</x:v>
      </x:c>
      <x:c r="N33" s="90"/>
      <x:c r="O33" s="92" t="n">
        <x:v>37.4017507743373</x:v>
      </x:c>
      <x:c r="P33" s="92" t="n">
        <x:v>126.9217985586966</x:v>
      </x:c>
      <x:c r="Q33" s="82" t="str">
        <x:v>https://map.naver.com/p/entry/coordinates/3zfiWm,2AF8oY?c=15.00,0,0,0,dh</x:v>
      </x:c>
      <x:c r="R33" s="82"/>
      <x:c r="S33" s="82" t="str">
        <x:v>좌표 링크 추가 / 영상 미확정</x:v>
      </x:c>
    </x:row>
    <x:row r="34" ht="80" customHeight="1">
      <x:c r="A34" s="82" t="str">
        <x:v>CW07-B-K</x:v>
      </x:c>
      <x:c r="B34" s="82" t="str">
        <x:v>CW07-B</x:v>
      </x:c>
      <x:c r="C34" s="82" t="str">
        <x:v>카카오</x:v>
      </x:c>
      <x:c r="D34" s="85" t="e">
        <x:f>IF(F34&lt;&gt;"",HYPERLINK(F34,"거리뷰 열기"),HYPERLINK(Q34,IF(C34="네이버","네이버 위치","카카오 위치")))</x:f>
        <x:v>HYPERLINK is not implemented. linkLocation=https://map.kakao.com/?panoid=1203476201&amp;pan=325.8&amp;zoom=0&amp;map_type=TYPE_MAP&amp;map_attribute=ROADVIEW&amp;urlX=482700.0&amp;urlY=1084002.0, friendlyName=거리뷰 열기</x:v>
      </x:c>
      <x:c r="E34" s="239" t="n">
        <x:v>45992.54820601852</x:v>
      </x:c>
      <x:c r="F34" s="87" t="str">
        <x:v>https://map.kakao.com/?panoid=1203476201&amp;pan=325.8&amp;zoom=0&amp;map_type=TYPE_MAP&amp;map_attribute=ROADVIEW&amp;urlX=482700.0&amp;urlY=1084002.0</x:v>
      </x:c>
      <x:c r="G34" s="83"/>
      <x:c r="H34" s="83"/>
      <x:c r="I34" s="93"/>
      <x:c r="J34" s="83"/>
      <x:c r="K34" s="83"/>
      <x:c r="L34" s="93"/>
      <x:c r="M34" s="82" t="str">
        <x:v>Y</x:v>
      </x:c>
      <x:c r="N34" s="90" t="n">
        <x:v>4.46</x:v>
      </x:c>
      <x:c r="O34" s="92" t="n">
        <x:v>37.4017507743373</x:v>
      </x:c>
      <x:c r="P34" s="92" t="n">
        <x:v>126.9217985586966</x:v>
      </x:c>
      <x:c r="Q34" s="82" t="str">
        <x:v>https://map.kakao.com/link/roadview/37.4017508,126.9217986</x:v>
      </x:c>
      <x:c r="R34" s="82" t="str">
        <x:v>1203476201</x:v>
      </x:c>
      <x:c r="S34" s="82" t="str">
        <x:v>기존 파일의 촬영정보·URL</x:v>
      </x:c>
    </x:row>
    <x:row r="35" ht="32" customHeight="1">
      <x:c r="A35" s="81" t="str">
        <x:v>CW08-A-N</x:v>
      </x:c>
      <x:c r="B35" s="81" t="str">
        <x:v>CW08-A</x:v>
      </x:c>
      <x:c r="C35" s="81" t="str">
        <x:v>네이버</x:v>
      </x:c>
      <x:c r="D35" s="84" t="e">
        <x:f>IF(F35&lt;&gt;"",HYPERLINK(F35,"거리뷰 열기"),HYPERLINK(Q35,IF(C35="네이버","네이버 위치","카카오 위치")))</x:f>
        <x:v>HYPERLINK is not implemented. linkLocation=https://map.naver.com/p/entry/coordinates/3zfneK,2AF7N9?c=15.00,0,0,0,dh, friendlyName=네이버 위치</x:v>
      </x:c>
      <x:c r="E35" s="239"/>
      <x:c r="F35" s="87"/>
      <x:c r="G35" s="83"/>
      <x:c r="H35" s="83"/>
      <x:c r="I35" s="93"/>
      <x:c r="J35" s="83"/>
      <x:c r="K35" s="83"/>
      <x:c r="L35" s="93"/>
      <x:c r="M35" s="82" t="str">
        <x:v>N</x:v>
      </x:c>
      <x:c r="N35" s="89"/>
      <x:c r="O35" s="91" t="n">
        <x:v>37.40151630806864</x:v>
      </x:c>
      <x:c r="P35" s="91" t="n">
        <x:v>126.92345020395895</x:v>
      </x:c>
      <x:c r="Q35" s="81" t="str">
        <x:v>https://map.naver.com/p/entry/coordinates/3zfneK,2AF7N9?c=15.00,0,0,0,dh</x:v>
      </x:c>
      <x:c r="R35" s="81"/>
      <x:c r="S35" s="81" t="str">
        <x:v>좌표 링크 추가 / 영상 미확정</x:v>
      </x:c>
    </x:row>
    <x:row r="36" ht="80" customHeight="1">
      <x:c r="A36" s="81" t="str">
        <x:v>CW08-A-K</x:v>
      </x:c>
      <x:c r="B36" s="81" t="str">
        <x:v>CW08-A</x:v>
      </x:c>
      <x:c r="C36" s="81" t="str">
        <x:v>카카오</x:v>
      </x:c>
      <x:c r="D36" s="84" t="e">
        <x:f>IF(F36&lt;&gt;"",HYPERLINK(F36,"거리뷰 열기"),HYPERLINK(Q36,IF(C36="네이버","네이버 위치","카카오 위치")))</x:f>
        <x:v>HYPERLINK is not implemented. linkLocation=https://map.kakao.com/?panoid=1202971188&amp;pan=326.1&amp;zoom=0&amp;map_type=TYPE_MAP&amp;map_attribute=ROADVIEW&amp;urlX=483066.0&amp;urlY=1083952.0, friendlyName=거리뷰 열기</x:v>
      </x:c>
      <x:c r="E36" s="239" t="n">
        <x:v>45978.602847222224</x:v>
      </x:c>
      <x:c r="F36" s="87" t="str">
        <x:v>https://map.kakao.com/?panoid=1202971188&amp;pan=326.1&amp;zoom=0&amp;map_type=TYPE_MAP&amp;map_attribute=ROADVIEW&amp;urlX=483066.0&amp;urlY=1083952.0</x:v>
      </x:c>
      <x:c r="G36" s="83"/>
      <x:c r="H36" s="83"/>
      <x:c r="I36" s="93"/>
      <x:c r="J36" s="83"/>
      <x:c r="K36" s="83"/>
      <x:c r="L36" s="93"/>
      <x:c r="M36" s="82" t="str">
        <x:v>N</x:v>
      </x:c>
      <x:c r="N36" s="89" t="n">
        <x:v>5.99</x:v>
      </x:c>
      <x:c r="O36" s="91" t="n">
        <x:v>37.40151630806864</x:v>
      </x:c>
      <x:c r="P36" s="91" t="n">
        <x:v>126.92345020395895</x:v>
      </x:c>
      <x:c r="Q36" s="81" t="str">
        <x:v>https://map.kakao.com/link/roadview/37.4015163,126.9234502</x:v>
      </x:c>
      <x:c r="R36" s="81" t="str">
        <x:v>1202971188</x:v>
      </x:c>
      <x:c r="S36" s="81" t="str">
        <x:v>기존 파일의 촬영정보·URL</x:v>
      </x:c>
    </x:row>
    <x:row r="37" ht="32" customHeight="1">
      <x:c r="A37" s="82" t="str">
        <x:v>CW08-B-N</x:v>
      </x:c>
      <x:c r="B37" s="82" t="str">
        <x:v>CW08-B</x:v>
      </x:c>
      <x:c r="C37" s="82" t="str">
        <x:v>네이버</x:v>
      </x:c>
      <x:c r="D37" s="85" t="e">
        <x:f>IF(F37&lt;&gt;"",HYPERLINK(F37,"거리뷰 열기"),HYPERLINK(Q37,IF(C37="네이버","네이버 위치","카카오 위치")))</x:f>
        <x:v>HYPERLINK is not implemented. linkLocation=https://map.naver.com/p/entry/coordinates/3zfnpS,2AF7SR?c=15.00,0,0,0,dh, friendlyName=네이버 위치</x:v>
      </x:c>
      <x:c r="E37" s="239"/>
      <x:c r="F37" s="87"/>
      <x:c r="G37" s="83"/>
      <x:c r="H37" s="83"/>
      <x:c r="I37" s="93"/>
      <x:c r="J37" s="83"/>
      <x:c r="K37" s="83"/>
      <x:c r="L37" s="93"/>
      <x:c r="M37" s="82" t="str">
        <x:v>N</x:v>
      </x:c>
      <x:c r="N37" s="90"/>
      <x:c r="O37" s="92" t="n">
        <x:v>37.401551731931356</x:v>
      </x:c>
      <x:c r="P37" s="92" t="n">
        <x:v>126.92351919604104</x:v>
      </x:c>
      <x:c r="Q37" s="82" t="str">
        <x:v>https://map.naver.com/p/entry/coordinates/3zfnpS,2AF7SR?c=15.00,0,0,0,dh</x:v>
      </x:c>
      <x:c r="R37" s="82"/>
      <x:c r="S37" s="82" t="str">
        <x:v>좌표 링크 추가 / 영상 미확정</x:v>
      </x:c>
    </x:row>
    <x:row r="38" ht="80" customHeight="1">
      <x:c r="A38" s="82" t="str">
        <x:v>CW08-B-K</x:v>
      </x:c>
      <x:c r="B38" s="82" t="str">
        <x:v>CW08-B</x:v>
      </x:c>
      <x:c r="C38" s="82" t="str">
        <x:v>카카오</x:v>
      </x:c>
      <x:c r="D38" s="85" t="e">
        <x:f>IF(F38&lt;&gt;"",HYPERLINK(F38,"거리뷰 열기"),HYPERLINK(Q38,IF(C38="네이버","네이버 위치","카카오 위치")))</x:f>
        <x:v>HYPERLINK is not implemented. linkLocation=https://map.kakao.com/?panoid=1202971188&amp;pan=326.1&amp;zoom=0&amp;map_type=TYPE_MAP&amp;map_attribute=ROADVIEW&amp;urlX=483066.0&amp;urlY=1083952.0, friendlyName=거리뷰 열기</x:v>
      </x:c>
      <x:c r="E38" s="239" t="n">
        <x:v>45978.602847222224</x:v>
      </x:c>
      <x:c r="F38" s="87" t="str">
        <x:v>https://map.kakao.com/?panoid=1202971188&amp;pan=326.1&amp;zoom=0&amp;map_type=TYPE_MAP&amp;map_attribute=ROADVIEW&amp;urlX=483066.0&amp;urlY=1083952.0</x:v>
      </x:c>
      <x:c r="G38" s="83"/>
      <x:c r="H38" s="83"/>
      <x:c r="I38" s="93"/>
      <x:c r="J38" s="83"/>
      <x:c r="K38" s="83"/>
      <x:c r="L38" s="93"/>
      <x:c r="M38" s="82" t="str">
        <x:v>N</x:v>
      </x:c>
      <x:c r="N38" s="90" t="n">
        <x:v>1.9</x:v>
      </x:c>
      <x:c r="O38" s="92" t="n">
        <x:v>37.401551731931356</x:v>
      </x:c>
      <x:c r="P38" s="92" t="n">
        <x:v>126.92351919604104</x:v>
      </x:c>
      <x:c r="Q38" s="82" t="str">
        <x:v>https://map.kakao.com/link/roadview/37.4015517,126.9235192</x:v>
      </x:c>
      <x:c r="R38" s="82" t="str">
        <x:v>1202971188</x:v>
      </x:c>
      <x:c r="S38" s="82" t="str">
        <x:v>기존 파일의 촬영정보·URL</x:v>
      </x:c>
    </x:row>
    <x:row r="39" ht="32" customHeight="1">
      <x:c r="A39" s="81" t="str">
        <x:v>CW09-A-N</x:v>
      </x:c>
      <x:c r="B39" s="81" t="str">
        <x:v>CW09-A</x:v>
      </x:c>
      <x:c r="C39" s="81" t="str">
        <x:v>네이버</x:v>
      </x:c>
      <x:c r="D39" s="84" t="e">
        <x:f>IF(F39&lt;&gt;"",HYPERLINK(F39,"거리뷰 열기"),HYPERLINK(Q39,IF(C39="네이버","네이버 위치","카카오 위치")))</x:f>
        <x:v>HYPERLINK is not implemented. linkLocation=https://map.naver.com/p/entry/coordinates/3zfk6J,2AF75u?c=15.00,0,0,0,dh, friendlyName=네이버 위치</x:v>
      </x:c>
      <x:c r="E39" s="239"/>
      <x:c r="F39" s="87"/>
      <x:c r="G39" s="83"/>
      <x:c r="H39" s="83"/>
      <x:c r="I39" s="93"/>
      <x:c r="J39" s="83"/>
      <x:c r="K39" s="83"/>
      <x:c r="L39" s="93"/>
      <x:c r="M39" s="82" t="str">
        <x:v>Y</x:v>
      </x:c>
      <x:c r="N39" s="89"/>
      <x:c r="O39" s="91" t="n">
        <x:v>37.4012455863223</x:v>
      </x:c>
      <x:c r="P39" s="91" t="n">
        <x:v>126.92224733040224</x:v>
      </x:c>
      <x:c r="Q39" s="81" t="str">
        <x:v>https://map.naver.com/p/entry/coordinates/3zfk6J,2AF75u?c=15.00,0,0,0,dh</x:v>
      </x:c>
      <x:c r="R39" s="81"/>
      <x:c r="S39" s="81" t="str">
        <x:v>좌표 링크 추가 / 영상 미확정</x:v>
      </x:c>
    </x:row>
    <x:row r="40" ht="80" customHeight="1">
      <x:c r="A40" s="81" t="str">
        <x:v>CW09-A-K</x:v>
      </x:c>
      <x:c r="B40" s="81" t="str">
        <x:v>CW09-A</x:v>
      </x:c>
      <x:c r="C40" s="81" t="str">
        <x:v>카카오</x:v>
      </x:c>
      <x:c r="D40" s="84" t="e">
        <x:f>IF(F40&lt;&gt;"",HYPERLINK(F40,"거리뷰 열기"),HYPERLINK(Q40,IF(C40="네이버","네이버 위치","카카오 위치")))</x:f>
        <x:v>HYPERLINK is not implemented. linkLocation=https://map.kakao.com/?panoid=1202871501&amp;pan=287.0&amp;zoom=0&amp;map_type=TYPE_MAP&amp;map_attribute=ROADVIEW&amp;urlX=482792.0&amp;urlY=1083853.0, friendlyName=거리뷰 열기</x:v>
      </x:c>
      <x:c r="E40" s="239" t="n">
        <x:v>45979.49184027778</x:v>
      </x:c>
      <x:c r="F40" s="87" t="str">
        <x:v>https://map.kakao.com/?panoid=1202871501&amp;pan=287.0&amp;zoom=0&amp;map_type=TYPE_MAP&amp;map_attribute=ROADVIEW&amp;urlX=482792.0&amp;urlY=1083853.0</x:v>
      </x:c>
      <x:c r="G40" s="83"/>
      <x:c r="H40" s="83"/>
      <x:c r="I40" s="93"/>
      <x:c r="J40" s="83"/>
      <x:c r="K40" s="83"/>
      <x:c r="L40" s="93"/>
      <x:c r="M40" s="82" t="str">
        <x:v>Y</x:v>
      </x:c>
      <x:c r="N40" s="89" t="n">
        <x:v>5.53</x:v>
      </x:c>
      <x:c r="O40" s="91" t="n">
        <x:v>37.4012455863223</x:v>
      </x:c>
      <x:c r="P40" s="91" t="n">
        <x:v>126.92224733040224</x:v>
      </x:c>
      <x:c r="Q40" s="81" t="str">
        <x:v>https://map.kakao.com/link/roadview/37.4012456,126.9222473</x:v>
      </x:c>
      <x:c r="R40" s="81" t="str">
        <x:v>1202871501</x:v>
      </x:c>
      <x:c r="S40" s="81" t="str">
        <x:v>기존 파일의 촬영정보·URL</x:v>
      </x:c>
    </x:row>
    <x:row r="41" ht="32" customHeight="1">
      <x:c r="A41" s="82" t="str">
        <x:v>CW09-B-N</x:v>
      </x:c>
      <x:c r="B41" s="82" t="str">
        <x:v>CW09-B</x:v>
      </x:c>
      <x:c r="C41" s="82" t="str">
        <x:v>네이버</x:v>
      </x:c>
      <x:c r="D41" s="85" t="e">
        <x:f>IF(F41&lt;&gt;"",HYPERLINK(F41,"거리뷰 열기"),HYPERLINK(Q41,IF(C41="네이버","네이버 위치","카카오 위치")))</x:f>
        <x:v>HYPERLINK is not implemented. linkLocation=https://map.naver.com/p/entry/coordinates/3zfkjh,2AF7d0?c=15.00,0,0,0,dh, friendlyName=네이버 위치</x:v>
      </x:c>
      <x:c r="E41" s="239"/>
      <x:c r="F41" s="87"/>
      <x:c r="G41" s="83"/>
      <x:c r="H41" s="83"/>
      <x:c r="I41" s="93"/>
      <x:c r="J41" s="83"/>
      <x:c r="K41" s="83"/>
      <x:c r="L41" s="93"/>
      <x:c r="M41" s="82" t="str">
        <x:v>Y</x:v>
      </x:c>
      <x:c r="N41" s="90"/>
      <x:c r="O41" s="92" t="n">
        <x:v>37.40129217367772</x:v>
      </x:c>
      <x:c r="P41" s="92" t="n">
        <x:v>126.92232506959778</x:v>
      </x:c>
      <x:c r="Q41" s="82" t="str">
        <x:v>https://map.naver.com/p/entry/coordinates/3zfkjh,2AF7d0?c=15.00,0,0,0,dh</x:v>
      </x:c>
      <x:c r="R41" s="82"/>
      <x:c r="S41" s="82" t="str">
        <x:v>좌표 링크 추가 / 영상 미확정</x:v>
      </x:c>
    </x:row>
    <x:row r="42" ht="80" customHeight="1">
      <x:c r="A42" s="82" t="str">
        <x:v>CW09-B-K</x:v>
      </x:c>
      <x:c r="B42" s="82" t="str">
        <x:v>CW09-B</x:v>
      </x:c>
      <x:c r="C42" s="82" t="str">
        <x:v>카카오</x:v>
      </x:c>
      <x:c r="D42" s="85" t="e">
        <x:f>IF(F42&lt;&gt;"",HYPERLINK(F42,"거리뷰 열기"),HYPERLINK(Q42,IF(C42="네이버","네이버 위치","카카오 위치")))</x:f>
        <x:v>HYPERLINK is not implemented. linkLocation=https://map.kakao.com/?panoid=1203476172&amp;pan=320.5&amp;zoom=0&amp;map_type=TYPE_MAP&amp;map_attribute=ROADVIEW&amp;urlX=482806.0&amp;urlY=1083863.0, friendlyName=거리뷰 열기</x:v>
      </x:c>
      <x:c r="E42" s="239" t="n">
        <x:v>45992.548125</x:v>
      </x:c>
      <x:c r="F42" s="87" t="str">
        <x:v>https://map.kakao.com/?panoid=1203476172&amp;pan=320.5&amp;zoom=0&amp;map_type=TYPE_MAP&amp;map_attribute=ROADVIEW&amp;urlX=482806.0&amp;urlY=1083863.0</x:v>
      </x:c>
      <x:c r="G42" s="83"/>
      <x:c r="H42" s="83"/>
      <x:c r="I42" s="93"/>
      <x:c r="J42" s="83"/>
      <x:c r="K42" s="83"/>
      <x:c r="L42" s="93"/>
      <x:c r="M42" s="82" t="str">
        <x:v>Y</x:v>
      </x:c>
      <x:c r="N42" s="90" t="n">
        <x:v>6.57</x:v>
      </x:c>
      <x:c r="O42" s="92" t="n">
        <x:v>37.40129217367772</x:v>
      </x:c>
      <x:c r="P42" s="92" t="n">
        <x:v>126.92232506959778</x:v>
      </x:c>
      <x:c r="Q42" s="82" t="str">
        <x:v>https://map.kakao.com/link/roadview/37.4012922,126.9223251</x:v>
      </x:c>
      <x:c r="R42" s="82" t="str">
        <x:v>1203476172</x:v>
      </x:c>
      <x:c r="S42" s="82" t="str">
        <x:v>기존 파일의 촬영정보·URL</x:v>
      </x:c>
    </x:row>
    <x:row r="43" ht="32" customHeight="1">
      <x:c r="A43" s="81" t="str">
        <x:v>CW10-A-N</x:v>
      </x:c>
      <x:c r="B43" s="81" t="str">
        <x:v>CW10-A</x:v>
      </x:c>
      <x:c r="C43" s="81" t="str">
        <x:v>네이버</x:v>
      </x:c>
      <x:c r="D43" s="84" t="e">
        <x:f>IF(F43&lt;&gt;"",HYPERLINK(F43,"거리뷰 열기"),HYPERLINK(Q43,IF(C43="네이버","네이버 위치","카카오 위치")))</x:f>
        <x:v>HYPERLINK is not implemented. linkLocation=https://map.naver.com/p/entry/coordinates/3zfnPR,2AF72C?c=15.00,0,0,0,dh, friendlyName=네이버 위치</x:v>
      </x:c>
      <x:c r="E43" s="239"/>
      <x:c r="F43" s="87"/>
      <x:c r="G43" s="83"/>
      <x:c r="H43" s="83"/>
      <x:c r="I43" s="93"/>
      <x:c r="J43" s="83"/>
      <x:c r="K43" s="83"/>
      <x:c r="L43" s="93"/>
      <x:c r="M43" s="82" t="str">
        <x:v>N</x:v>
      </x:c>
      <x:c r="N43" s="89"/>
      <x:c r="O43" s="91" t="n">
        <x:v>37.40122776316556</x:v>
      </x:c>
      <x:c r="P43" s="91" t="n">
        <x:v>126.92368033197005</x:v>
      </x:c>
      <x:c r="Q43" s="81" t="str">
        <x:v>https://map.naver.com/p/entry/coordinates/3zfnPR,2AF72C?c=15.00,0,0,0,dh</x:v>
      </x:c>
      <x:c r="R43" s="81"/>
      <x:c r="S43" s="81" t="str">
        <x:v>좌표 링크 추가 / 영상 미확정</x:v>
      </x:c>
    </x:row>
    <x:row r="44" ht="80" customHeight="1">
      <x:c r="A44" s="81" t="str">
        <x:v>CW10-A-K</x:v>
      </x:c>
      <x:c r="B44" s="81" t="str">
        <x:v>CW10-A</x:v>
      </x:c>
      <x:c r="C44" s="81" t="str">
        <x:v>카카오</x:v>
      </x:c>
      <x:c r="D44" s="84" t="e">
        <x:f>IF(F44&lt;&gt;"",HYPERLINK(F44,"거리뷰 열기"),HYPERLINK(Q44,IF(C44="네이버","네이버 위치","카카오 위치")))</x:f>
        <x:v>HYPERLINK is not implemented. linkLocation=https://map.kakao.com/?panoid=1202971184&amp;pan=327.6&amp;zoom=0&amp;map_type=TYPE_MAP&amp;map_attribute=ROADVIEW&amp;urlX=483119.0&amp;urlY=1083867.0, friendlyName=거리뷰 열기</x:v>
      </x:c>
      <x:c r="E44" s="239" t="n">
        <x:v>45978.60277777778</x:v>
      </x:c>
      <x:c r="F44" s="87" t="str">
        <x:v>https://map.kakao.com/?panoid=1202971184&amp;pan=327.6&amp;zoom=0&amp;map_type=TYPE_MAP&amp;map_attribute=ROADVIEW&amp;urlX=483119.0&amp;urlY=1083867.0</x:v>
      </x:c>
      <x:c r="G44" s="83"/>
      <x:c r="H44" s="83"/>
      <x:c r="I44" s="93"/>
      <x:c r="J44" s="83"/>
      <x:c r="K44" s="83"/>
      <x:c r="L44" s="93"/>
      <x:c r="M44" s="82" t="str">
        <x:v>N</x:v>
      </x:c>
      <x:c r="N44" s="89" t="n">
        <x:v>5.56</x:v>
      </x:c>
      <x:c r="O44" s="91" t="n">
        <x:v>37.40122776316556</x:v>
      </x:c>
      <x:c r="P44" s="91" t="n">
        <x:v>126.92368033197005</x:v>
      </x:c>
      <x:c r="Q44" s="81" t="str">
        <x:v>https://map.kakao.com/link/roadview/37.4012278,126.9236803</x:v>
      </x:c>
      <x:c r="R44" s="81" t="str">
        <x:v>1202971184</x:v>
      </x:c>
      <x:c r="S44" s="81" t="str">
        <x:v>기존 파일의 촬영정보·URL</x:v>
      </x:c>
    </x:row>
    <x:row r="45" ht="32" customHeight="1">
      <x:c r="A45" s="82" t="str">
        <x:v>CW10-B-N</x:v>
      </x:c>
      <x:c r="B45" s="82" t="str">
        <x:v>CW10-B</x:v>
      </x:c>
      <x:c r="C45" s="82" t="str">
        <x:v>네이버</x:v>
      </x:c>
      <x:c r="D45" s="85" t="e">
        <x:f>IF(F45&lt;&gt;"",HYPERLINK(F45,"거리뷰 열기"),HYPERLINK(Q45,IF(C45="네이버","네이버 위치","카카오 위치")))</x:f>
        <x:v>HYPERLINK is not implemented. linkLocation=https://map.naver.com/p/entry/coordinates/3zfo3T,2AF7aA?c=15.00,0,0,0,dh, friendlyName=네이버 위치</x:v>
      </x:c>
      <x:c r="E45" s="239"/>
      <x:c r="F45" s="87"/>
      <x:c r="G45" s="83"/>
      <x:c r="H45" s="83"/>
      <x:c r="I45" s="93"/>
      <x:c r="J45" s="83"/>
      <x:c r="K45" s="83"/>
      <x:c r="L45" s="93"/>
      <x:c r="M45" s="82" t="str">
        <x:v>N</x:v>
      </x:c>
      <x:c r="N45" s="90"/>
      <x:c r="O45" s="92" t="n">
        <x:v>37.40127715683444</x:v>
      </x:c>
      <x:c r="P45" s="92" t="n">
        <x:v>126.92376726802996</x:v>
      </x:c>
      <x:c r="Q45" s="82" t="str">
        <x:v>https://map.naver.com/p/entry/coordinates/3zfo3T,2AF7aA?c=15.00,0,0,0,dh</x:v>
      </x:c>
      <x:c r="R45" s="82"/>
      <x:c r="S45" s="82" t="str">
        <x:v>좌표 링크 추가 / 영상 미확정</x:v>
      </x:c>
    </x:row>
    <x:row r="46" ht="80" customHeight="1">
      <x:c r="A46" s="82" t="str">
        <x:v>CW10-B-K</x:v>
      </x:c>
      <x:c r="B46" s="82" t="str">
        <x:v>CW10-B</x:v>
      </x:c>
      <x:c r="C46" s="82" t="str">
        <x:v>카카오</x:v>
      </x:c>
      <x:c r="D46" s="85" t="e">
        <x:f>IF(F46&lt;&gt;"",HYPERLINK(F46,"거리뷰 열기"),HYPERLINK(Q46,IF(C46="네이버","네이버 위치","카카오 위치")))</x:f>
        <x:v>HYPERLINK is not implemented. linkLocation=https://map.kakao.com/?panoid=1202971184&amp;pan=327.6&amp;zoom=0&amp;map_type=TYPE_MAP&amp;map_attribute=ROADVIEW&amp;urlX=483119.0&amp;urlY=1083867.0, friendlyName=거리뷰 열기</x:v>
      </x:c>
      <x:c r="E46" s="239" t="n">
        <x:v>45978.60277777778</x:v>
      </x:c>
      <x:c r="F46" s="87" t="str">
        <x:v>https://map.kakao.com/?panoid=1202971184&amp;pan=327.6&amp;zoom=0&amp;map_type=TYPE_MAP&amp;map_attribute=ROADVIEW&amp;urlX=483119.0&amp;urlY=1083867.0</x:v>
      </x:c>
      <x:c r="G46" s="83"/>
      <x:c r="H46" s="83"/>
      <x:c r="I46" s="93"/>
      <x:c r="J46" s="83"/>
      <x:c r="K46" s="83"/>
      <x:c r="L46" s="93"/>
      <x:c r="M46" s="82" t="str">
        <x:v>N</x:v>
      </x:c>
      <x:c r="N46" s="90" t="n">
        <x:v>4.13</x:v>
      </x:c>
      <x:c r="O46" s="92" t="n">
        <x:v>37.40127715683444</x:v>
      </x:c>
      <x:c r="P46" s="92" t="n">
        <x:v>126.92376726802996</x:v>
      </x:c>
      <x:c r="Q46" s="82" t="str">
        <x:v>https://map.kakao.com/link/roadview/37.4012772,126.9237673</x:v>
      </x:c>
      <x:c r="R46" s="82" t="str">
        <x:v>1202971184</x:v>
      </x:c>
      <x:c r="S46" s="82" t="str">
        <x:v>기존 파일의 촬영정보·URL</x:v>
      </x:c>
    </x:row>
    <x:row r="47" ht="32" customHeight="1">
      <x:c r="A47" s="81" t="str">
        <x:v>CW11-A-N</x:v>
      </x:c>
      <x:c r="B47" s="81" t="str">
        <x:v>CW11-A</x:v>
      </x:c>
      <x:c r="C47" s="81" t="str">
        <x:v>네이버</x:v>
      </x:c>
      <x:c r="D47" s="84" t="e">
        <x:f>IF(F47&lt;&gt;"",HYPERLINK(F47,"거리뷰 열기"),HYPERLINK(Q47,IF(C47="네이버","네이버 위치","카카오 위치")))</x:f>
        <x:v>HYPERLINK is not implemented. linkLocation=https://map.naver.com/p/entry/coordinates/3zflgH,2AF6v0?c=15.00,0,0,0,dh, friendlyName=네이버 위치</x:v>
      </x:c>
      <x:c r="E47" s="239"/>
      <x:c r="F47" s="87"/>
      <x:c r="G47" s="83"/>
      <x:c r="H47" s="83"/>
      <x:c r="I47" s="93"/>
      <x:c r="J47" s="83"/>
      <x:c r="K47" s="83"/>
      <x:c r="L47" s="93"/>
      <x:c r="M47" s="82" t="str">
        <x:v>N</x:v>
      </x:c>
      <x:c r="N47" s="89"/>
      <x:c r="O47" s="91" t="n">
        <x:v>37.401019360005925</x:v>
      </x:c>
      <x:c r="P47" s="91" t="n">
        <x:v>126.92269349040264</x:v>
      </x:c>
      <x:c r="Q47" s="81" t="str">
        <x:v>https://map.naver.com/p/entry/coordinates/3zflgH,2AF6v0?c=15.00,0,0,0,dh</x:v>
      </x:c>
      <x:c r="R47" s="81"/>
      <x:c r="S47" s="81" t="str">
        <x:v>좌표 링크 추가 / 영상 미확정</x:v>
      </x:c>
    </x:row>
    <x:row r="48" ht="80" customHeight="1">
      <x:c r="A48" s="81" t="str">
        <x:v>CW11-A-K</x:v>
      </x:c>
      <x:c r="B48" s="81" t="str">
        <x:v>CW11-A</x:v>
      </x:c>
      <x:c r="C48" s="81" t="str">
        <x:v>카카오</x:v>
      </x:c>
      <x:c r="D48" s="84" t="e">
        <x:f>IF(F48&lt;&gt;"",HYPERLINK(F48,"거리뷰 열기"),HYPERLINK(Q48,IF(C48="네이버","네이버 위치","카카오 위치")))</x:f>
        <x:v>HYPERLINK is not implemented. linkLocation=https://map.kakao.com/?panoid=1202874755&amp;pan=320.5&amp;zoom=0&amp;map_type=TYPE_MAP&amp;map_attribute=ROADVIEW&amp;urlX=482856.0&amp;urlY=1083789.0, friendlyName=거리뷰 열기</x:v>
      </x:c>
      <x:c r="E48" s="239" t="n">
        <x:v>45979.61546296296</x:v>
      </x:c>
      <x:c r="F48" s="87" t="str">
        <x:v>https://map.kakao.com/?panoid=1202874755&amp;pan=320.5&amp;zoom=0&amp;map_type=TYPE_MAP&amp;map_attribute=ROADVIEW&amp;urlX=482856.0&amp;urlY=1083789.0</x:v>
      </x:c>
      <x:c r="G48" s="83"/>
      <x:c r="H48" s="83"/>
      <x:c r="I48" s="93"/>
      <x:c r="J48" s="83"/>
      <x:c r="K48" s="83"/>
      <x:c r="L48" s="93"/>
      <x:c r="M48" s="82" t="str">
        <x:v>N</x:v>
      </x:c>
      <x:c r="N48" s="89" t="n">
        <x:v>13.98</x:v>
      </x:c>
      <x:c r="O48" s="91" t="n">
        <x:v>37.401019360005925</x:v>
      </x:c>
      <x:c r="P48" s="91" t="n">
        <x:v>126.92269349040264</x:v>
      </x:c>
      <x:c r="Q48" s="81" t="str">
        <x:v>https://map.kakao.com/link/roadview/37.4010194,126.9226935</x:v>
      </x:c>
      <x:c r="R48" s="81" t="str">
        <x:v>1202874755</x:v>
      </x:c>
      <x:c r="S48" s="81" t="str">
        <x:v>기존 파일의 촬영정보·URL</x:v>
      </x:c>
    </x:row>
    <x:row r="49" ht="32" customHeight="1">
      <x:c r="A49" s="82" t="str">
        <x:v>CW11-B-N</x:v>
      </x:c>
      <x:c r="B49" s="82" t="str">
        <x:v>CW11-B</x:v>
      </x:c>
      <x:c r="C49" s="82" t="str">
        <x:v>네이버</x:v>
      </x:c>
      <x:c r="D49" s="85" t="e">
        <x:f>IF(F49&lt;&gt;"",HYPERLINK(F49,"거리뷰 열기"),HYPERLINK(Q49,IF(C49="네이버","네이버 위치","카카오 위치")))</x:f>
        <x:v>HYPERLINK is not implemented. linkLocation=https://map.naver.com/p/entry/coordinates/3zflnn,2AF6yZ?c=15.00,0,0,0,dh, friendlyName=네이버 위치</x:v>
      </x:c>
      <x:c r="E49" s="239"/>
      <x:c r="F49" s="87"/>
      <x:c r="G49" s="83"/>
      <x:c r="H49" s="83"/>
      <x:c r="I49" s="93"/>
      <x:c r="J49" s="83"/>
      <x:c r="K49" s="83"/>
      <x:c r="L49" s="93"/>
      <x:c r="M49" s="82" t="str">
        <x:v>N</x:v>
      </x:c>
      <x:c r="N49" s="90"/>
      <x:c r="O49" s="92" t="n">
        <x:v>37.40104407999407</x:v>
      </x:c>
      <x:c r="P49" s="92" t="n">
        <x:v>126.92273490959737</x:v>
      </x:c>
      <x:c r="Q49" s="82" t="str">
        <x:v>https://map.naver.com/p/entry/coordinates/3zflnn,2AF6yZ?c=15.00,0,0,0,dh</x:v>
      </x:c>
      <x:c r="R49" s="82"/>
      <x:c r="S49" s="82" t="str">
        <x:v>좌표 링크 추가 / 영상 미확정</x:v>
      </x:c>
    </x:row>
    <x:row r="50" ht="80" customHeight="1">
      <x:c r="A50" s="82" t="str">
        <x:v>CW11-B-K</x:v>
      </x:c>
      <x:c r="B50" s="82" t="str">
        <x:v>CW11-B</x:v>
      </x:c>
      <x:c r="C50" s="82" t="str">
        <x:v>카카오</x:v>
      </x:c>
      <x:c r="D50" s="85" t="e">
        <x:f>IF(F50&lt;&gt;"",HYPERLINK(F50,"거리뷰 열기"),HYPERLINK(Q50,IF(C50="네이버","네이버 위치","카카오 위치")))</x:f>
        <x:v>HYPERLINK is not implemented. linkLocation=https://map.kakao.com/?panoid=1202874755&amp;pan=320.5&amp;zoom=0&amp;map_type=TYPE_MAP&amp;map_attribute=ROADVIEW&amp;urlX=482856.0&amp;urlY=1083789.0, friendlyName=거리뷰 열기</x:v>
      </x:c>
      <x:c r="E50" s="239" t="n">
        <x:v>45979.61546296296</x:v>
      </x:c>
      <x:c r="F50" s="87" t="str">
        <x:v>https://map.kakao.com/?panoid=1202874755&amp;pan=320.5&amp;zoom=0&amp;map_type=TYPE_MAP&amp;map_attribute=ROADVIEW&amp;urlX=482856.0&amp;urlY=1083789.0</x:v>
      </x:c>
      <x:c r="G50" s="83"/>
      <x:c r="H50" s="83"/>
      <x:c r="I50" s="93"/>
      <x:c r="J50" s="83"/>
      <x:c r="K50" s="83"/>
      <x:c r="L50" s="93"/>
      <x:c r="M50" s="82" t="str">
        <x:v>N</x:v>
      </x:c>
      <x:c r="N50" s="90" t="n">
        <x:v>18.48</x:v>
      </x:c>
      <x:c r="O50" s="92" t="n">
        <x:v>37.40104407999407</x:v>
      </x:c>
      <x:c r="P50" s="92" t="n">
        <x:v>126.92273490959737</x:v>
      </x:c>
      <x:c r="Q50" s="82" t="str">
        <x:v>https://map.kakao.com/link/roadview/37.4010441,126.9227349</x:v>
      </x:c>
      <x:c r="R50" s="82" t="str">
        <x:v>1202874755</x:v>
      </x:c>
      <x:c r="S50" s="82" t="str">
        <x:v>기존 파일의 촬영정보·URL</x:v>
      </x:c>
    </x:row>
    <x:row r="51" ht="32" customHeight="1">
      <x:c r="A51" s="81" t="str">
        <x:v>CW12-A-N</x:v>
      </x:c>
      <x:c r="B51" s="81" t="str">
        <x:v>CW12-A</x:v>
      </x:c>
      <x:c r="C51" s="81" t="str">
        <x:v>네이버</x:v>
      </x:c>
      <x:c r="D51" s="84" t="e">
        <x:f>IF(F51&lt;&gt;"",HYPERLINK(F51,"거리뷰 열기"),HYPERLINK(Q51,IF(C51="네이버","네이버 위치","카카오 위치")))</x:f>
        <x:v>HYPERLINK is not implemented. linkLocation=https://map.naver.com/p/entry/coordinates/3zfl8U,2AF6qN?c=15.00,0,0,0,dh, friendlyName=네이버 위치</x:v>
      </x:c>
      <x:c r="E51" s="239"/>
      <x:c r="F51" s="87"/>
      <x:c r="G51" s="83"/>
      <x:c r="H51" s="83"/>
      <x:c r="I51" s="93"/>
      <x:c r="J51" s="83"/>
      <x:c r="K51" s="83"/>
      <x:c r="L51" s="93"/>
      <x:c r="M51" s="82" t="str">
        <x:v>Y</x:v>
      </x:c>
      <x:c r="N51" s="89"/>
      <x:c r="O51" s="91" t="n">
        <x:v>37.40099326142671</x:v>
      </x:c>
      <x:c r="P51" s="91" t="n">
        <x:v>126.92264523773848</x:v>
      </x:c>
      <x:c r="Q51" s="81" t="str">
        <x:v>https://map.naver.com/p/entry/coordinates/3zfl8U,2AF6qN?c=15.00,0,0,0,dh</x:v>
      </x:c>
      <x:c r="R51" s="81"/>
      <x:c r="S51" s="81" t="str">
        <x:v>좌표 링크 추가 / 영상 미확정</x:v>
      </x:c>
    </x:row>
    <x:row r="52" ht="80" customHeight="1">
      <x:c r="A52" s="81" t="str">
        <x:v>CW12-A-K</x:v>
      </x:c>
      <x:c r="B52" s="81" t="str">
        <x:v>CW12-A</x:v>
      </x:c>
      <x:c r="C52" s="81" t="str">
        <x:v>카카오</x:v>
      </x:c>
      <x:c r="D52" s="84" t="e">
        <x:f>IF(F52&lt;&gt;"",HYPERLINK(F52,"거리뷰 열기"),HYPERLINK(Q52,IF(C52="네이버","네이버 위치","카카오 위치")))</x:f>
        <x:v>HYPERLINK is not implemented. linkLocation=https://map.kakao.com/?panoid=1202874755&amp;pan=320.5&amp;zoom=0&amp;map_type=TYPE_MAP&amp;map_attribute=ROADVIEW&amp;urlX=482856.0&amp;urlY=1083789.0, friendlyName=거리뷰 열기</x:v>
      </x:c>
      <x:c r="E52" s="239" t="n">
        <x:v>45979.61546296296</x:v>
      </x:c>
      <x:c r="F52" s="87" t="str">
        <x:v>https://map.kakao.com/?panoid=1202874755&amp;pan=320.5&amp;zoom=0&amp;map_type=TYPE_MAP&amp;map_attribute=ROADVIEW&amp;urlX=482856.0&amp;urlY=1083789.0</x:v>
      </x:c>
      <x:c r="G52" s="83"/>
      <x:c r="H52" s="83"/>
      <x:c r="I52" s="93"/>
      <x:c r="J52" s="83"/>
      <x:c r="K52" s="83"/>
      <x:c r="L52" s="93"/>
      <x:c r="M52" s="82" t="str">
        <x:v>Y</x:v>
      </x:c>
      <x:c r="N52" s="89" t="n">
        <x:v>8.94</x:v>
      </x:c>
      <x:c r="O52" s="91" t="n">
        <x:v>37.40099326142671</x:v>
      </x:c>
      <x:c r="P52" s="91" t="n">
        <x:v>126.92264523773848</x:v>
      </x:c>
      <x:c r="Q52" s="81" t="str">
        <x:v>https://map.kakao.com/link/roadview/37.4009933,126.9226452</x:v>
      </x:c>
      <x:c r="R52" s="81" t="str">
        <x:v>1202874755</x:v>
      </x:c>
      <x:c r="S52" s="81" t="str">
        <x:v>기존 파일의 촬영정보·URL</x:v>
      </x:c>
    </x:row>
    <x:row r="53" ht="32" customHeight="1">
      <x:c r="A53" s="82" t="str">
        <x:v>CW12-B-N</x:v>
      </x:c>
      <x:c r="B53" s="82" t="str">
        <x:v>CW12-B</x:v>
      </x:c>
      <x:c r="C53" s="82" t="str">
        <x:v>네이버</x:v>
      </x:c>
      <x:c r="D53" s="85" t="e">
        <x:f>IF(F53&lt;&gt;"",HYPERLINK(F53,"거리뷰 열기"),HYPERLINK(Q53,IF(C53="네이버","네이버 위치","카카오 위치")))</x:f>
        <x:v>HYPERLINK is not implemented. linkLocation=https://map.naver.com/p/entry/coordinates/3zfldS,2AF6tK?c=15.00,0,0,0,dh, friendlyName=네이버 위치</x:v>
      </x:c>
      <x:c r="E53" s="239"/>
      <x:c r="F53" s="87"/>
      <x:c r="G53" s="83"/>
      <x:c r="H53" s="83"/>
      <x:c r="I53" s="93"/>
      <x:c r="J53" s="83"/>
      <x:c r="K53" s="83"/>
      <x:c r="L53" s="93"/>
      <x:c r="M53" s="82" t="str">
        <x:v>Y</x:v>
      </x:c>
      <x:c r="N53" s="90"/>
      <x:c r="O53" s="92" t="n">
        <x:v>37.401011598573284</x:v>
      </x:c>
      <x:c r="P53" s="92" t="n">
        <x:v>126.92267596226152</x:v>
      </x:c>
      <x:c r="Q53" s="82" t="str">
        <x:v>https://map.naver.com/p/entry/coordinates/3zfldS,2AF6tK?c=15.00,0,0,0,dh</x:v>
      </x:c>
      <x:c r="R53" s="82"/>
      <x:c r="S53" s="82" t="str">
        <x:v>좌표 링크 추가 / 영상 미확정</x:v>
      </x:c>
    </x:row>
    <x:row r="54" ht="80" customHeight="1">
      <x:c r="A54" s="82" t="str">
        <x:v>CW12-B-K</x:v>
      </x:c>
      <x:c r="B54" s="82" t="str">
        <x:v>CW12-B</x:v>
      </x:c>
      <x:c r="C54" s="82" t="str">
        <x:v>카카오</x:v>
      </x:c>
      <x:c r="D54" s="85" t="e">
        <x:f>IF(F54&lt;&gt;"",HYPERLINK(F54,"거리뷰 열기"),HYPERLINK(Q54,IF(C54="네이버","네이버 위치","카카오 위치")))</x:f>
        <x:v>HYPERLINK is not implemented. linkLocation=https://map.kakao.com/?panoid=1202874755&amp;pan=320.5&amp;zoom=0&amp;map_type=TYPE_MAP&amp;map_attribute=ROADVIEW&amp;urlX=482856.0&amp;urlY=1083789.0, friendlyName=거리뷰 열기</x:v>
      </x:c>
      <x:c r="E54" s="239" t="n">
        <x:v>45979.61546296296</x:v>
      </x:c>
      <x:c r="F54" s="87" t="str">
        <x:v>https://map.kakao.com/?panoid=1202874755&amp;pan=320.5&amp;zoom=0&amp;map_type=TYPE_MAP&amp;map_attribute=ROADVIEW&amp;urlX=482856.0&amp;urlY=1083789.0</x:v>
      </x:c>
      <x:c r="G54" s="83"/>
      <x:c r="H54" s="83"/>
      <x:c r="I54" s="93"/>
      <x:c r="J54" s="83"/>
      <x:c r="K54" s="83"/>
      <x:c r="L54" s="93"/>
      <x:c r="M54" s="82" t="str">
        <x:v>Y</x:v>
      </x:c>
      <x:c r="N54" s="90" t="n">
        <x:v>12.22</x:v>
      </x:c>
      <x:c r="O54" s="92" t="n">
        <x:v>37.401011598573284</x:v>
      </x:c>
      <x:c r="P54" s="92" t="n">
        <x:v>126.92267596226152</x:v>
      </x:c>
      <x:c r="Q54" s="82" t="str">
        <x:v>https://map.kakao.com/link/roadview/37.4010116,126.9226760</x:v>
      </x:c>
      <x:c r="R54" s="82" t="str">
        <x:v>1202874755</x:v>
      </x:c>
      <x:c r="S54" s="82" t="str">
        <x:v>기존 파일의 촬영정보·URL</x:v>
      </x:c>
    </x:row>
    <x:row r="55" ht="32" customHeight="1">
      <x:c r="A55" s="81" t="str">
        <x:v>CW13-A-N</x:v>
      </x:c>
      <x:c r="B55" s="81" t="str">
        <x:v>CW13-A</x:v>
      </x:c>
      <x:c r="C55" s="81" t="str">
        <x:v>네이버</x:v>
      </x:c>
      <x:c r="D55" s="84" t="e">
        <x:f>IF(F55&lt;&gt;"",HYPERLINK(F55,"거리뷰 열기"),HYPERLINK(Q55,IF(C55="네이버","네이버 위치","카카오 위치")))</x:f>
        <x:v>HYPERLINK is not implemented. linkLocation=https://map.naver.com/p/entry/coordinates/3zfjje,2AF61E?c=15.00,0,0,0,dh, friendlyName=네이버 위치</x:v>
      </x:c>
      <x:c r="E55" s="239"/>
      <x:c r="F55" s="87"/>
      <x:c r="G55" s="83"/>
      <x:c r="H55" s="83"/>
      <x:c r="I55" s="93"/>
      <x:c r="J55" s="83"/>
      <x:c r="K55" s="83"/>
      <x:c r="L55" s="93"/>
      <x:c r="M55" s="82" t="str">
        <x:v>N</x:v>
      </x:c>
      <x:c r="N55" s="89"/>
      <x:c r="O55" s="91" t="n">
        <x:v>37.40083738053178</x:v>
      </x:c>
      <x:c r="P55" s="91" t="n">
        <x:v>126.92194039159135</x:v>
      </x:c>
      <x:c r="Q55" s="81" t="str">
        <x:v>https://map.naver.com/p/entry/coordinates/3zfjje,2AF61E?c=15.00,0,0,0,dh</x:v>
      </x:c>
      <x:c r="R55" s="81"/>
      <x:c r="S55" s="81" t="str">
        <x:v>좌표 링크 추가 / 영상 미확정</x:v>
      </x:c>
    </x:row>
    <x:row r="56" ht="80" customHeight="1">
      <x:c r="A56" s="81" t="str">
        <x:v>CW13-A-K</x:v>
      </x:c>
      <x:c r="B56" s="81" t="str">
        <x:v>CW13-A</x:v>
      </x:c>
      <x:c r="C56" s="81" t="str">
        <x:v>카카오</x:v>
      </x:c>
      <x:c r="D56" s="84" t="e">
        <x:f>IF(F56&lt;&gt;"",HYPERLINK(F56,"거리뷰 열기"),HYPERLINK(Q56,IF(C56="네이버","네이버 위치","카카오 위치")))</x:f>
        <x:v>HYPERLINK is not implemented. linkLocation=https://map.kakao.com/?panoid=1202874946&amp;pan=70.6&amp;zoom=0&amp;map_type=TYPE_MAP&amp;map_attribute=ROADVIEW&amp;urlX=482731.0&amp;urlY=1083764.0, friendlyName=거리뷰 열기</x:v>
      </x:c>
      <x:c r="E56" s="239" t="n">
        <x:v>45979.62635416666</x:v>
      </x:c>
      <x:c r="F56" s="87" t="str">
        <x:v>https://map.kakao.com/?panoid=1202874946&amp;pan=70.6&amp;zoom=0&amp;map_type=TYPE_MAP&amp;map_attribute=ROADVIEW&amp;urlX=482731.0&amp;urlY=1083764.0</x:v>
      </x:c>
      <x:c r="G56" s="83"/>
      <x:c r="H56" s="83"/>
      <x:c r="I56" s="93"/>
      <x:c r="J56" s="83"/>
      <x:c r="K56" s="83"/>
      <x:c r="L56" s="93"/>
      <x:c r="M56" s="82" t="str">
        <x:v>N</x:v>
      </x:c>
      <x:c r="N56" s="89" t="n">
        <x:v>5.85</x:v>
      </x:c>
      <x:c r="O56" s="91" t="n">
        <x:v>37.40083738053178</x:v>
      </x:c>
      <x:c r="P56" s="91" t="n">
        <x:v>126.92194039159135</x:v>
      </x:c>
      <x:c r="Q56" s="81" t="str">
        <x:v>https://map.kakao.com/link/roadview/37.4008374,126.9219404</x:v>
      </x:c>
      <x:c r="R56" s="81" t="str">
        <x:v>1202874946</x:v>
      </x:c>
      <x:c r="S56" s="81" t="str">
        <x:v>기존 파일의 촬영정보·URL</x:v>
      </x:c>
    </x:row>
    <x:row r="57" ht="32" customHeight="1">
      <x:c r="A57" s="82" t="str">
        <x:v>CW13-B-N</x:v>
      </x:c>
      <x:c r="B57" s="82" t="str">
        <x:v>CW13-B</x:v>
      </x:c>
      <x:c r="C57" s="82" t="str">
        <x:v>네이버</x:v>
      </x:c>
      <x:c r="D57" s="85" t="e">
        <x:f>IF(F57&lt;&gt;"",HYPERLINK(F57,"거리뷰 열기"),HYPERLINK(Q57,IF(C57="네이버","네이버 위치","카카오 위치")))</x:f>
        <x:v>HYPERLINK is not implemented. linkLocation=https://map.naver.com/p/entry/coordinates/3zfiYK,2AF6aS?c=15.00,0,0,0,dh, friendlyName=네이버 위치</x:v>
      </x:c>
      <x:c r="E57" s="239"/>
      <x:c r="F57" s="87"/>
      <x:c r="G57" s="83"/>
      <x:c r="H57" s="83"/>
      <x:c r="I57" s="93"/>
      <x:c r="J57" s="83"/>
      <x:c r="K57" s="83"/>
      <x:c r="L57" s="93"/>
      <x:c r="M57" s="82" t="str">
        <x:v>N</x:v>
      </x:c>
      <x:c r="N57" s="90"/>
      <x:c r="O57" s="92" t="n">
        <x:v>37.40089461946822</x:v>
      </x:c>
      <x:c r="P57" s="92" t="n">
        <x:v>126.92181340840867</x:v>
      </x:c>
      <x:c r="Q57" s="82" t="str">
        <x:v>https://map.naver.com/p/entry/coordinates/3zfiYK,2AF6aS?c=15.00,0,0,0,dh</x:v>
      </x:c>
      <x:c r="R57" s="82"/>
      <x:c r="S57" s="82" t="str">
        <x:v>좌표 링크 추가 / 영상 미확정</x:v>
      </x:c>
    </x:row>
    <x:row r="58" ht="80" customHeight="1">
      <x:c r="A58" s="82" t="str">
        <x:v>CW13-B-K</x:v>
      </x:c>
      <x:c r="B58" s="82" t="str">
        <x:v>CW13-B</x:v>
      </x:c>
      <x:c r="C58" s="82" t="str">
        <x:v>카카오</x:v>
      </x:c>
      <x:c r="D58" s="85" t="e">
        <x:f>IF(F58&lt;&gt;"",HYPERLINK(F58,"거리뷰 열기"),HYPERLINK(Q58,IF(C58="네이버","네이버 위치","카카오 위치")))</x:f>
        <x:v>HYPERLINK is not implemented. linkLocation=https://map.kakao.com/?panoid=1202871529&amp;pan=231.4&amp;zoom=0&amp;map_type=TYPE_MAP&amp;map_attribute=ROADVIEW&amp;urlX=482700.0&amp;urlY=1083761.0, friendlyName=거리뷰 열기</x:v>
      </x:c>
      <x:c r="E58" s="239" t="n">
        <x:v>45979.49475694444</x:v>
      </x:c>
      <x:c r="F58" s="87" t="str">
        <x:v>https://map.kakao.com/?panoid=1202871529&amp;pan=231.4&amp;zoom=0&amp;map_type=TYPE_MAP&amp;map_attribute=ROADVIEW&amp;urlX=482700.0&amp;urlY=1083761.0</x:v>
      </x:c>
      <x:c r="G58" s="83"/>
      <x:c r="H58" s="83"/>
      <x:c r="I58" s="93"/>
      <x:c r="J58" s="83"/>
      <x:c r="K58" s="83"/>
      <x:c r="L58" s="93"/>
      <x:c r="M58" s="82" t="str">
        <x:v>N</x:v>
      </x:c>
      <x:c r="N58" s="90" t="n">
        <x:v>4.31</x:v>
      </x:c>
      <x:c r="O58" s="92" t="n">
        <x:v>37.40089461946822</x:v>
      </x:c>
      <x:c r="P58" s="92" t="n">
        <x:v>126.92181340840867</x:v>
      </x:c>
      <x:c r="Q58" s="82" t="str">
        <x:v>https://map.kakao.com/link/roadview/37.4008946,126.9218134</x:v>
      </x:c>
      <x:c r="R58" s="82" t="str">
        <x:v>1202871529</x:v>
      </x:c>
      <x:c r="S58" s="82" t="str">
        <x:v>기존 파일의 촬영정보·URL</x:v>
      </x:c>
    </x:row>
    <x:row r="59" ht="32" customHeight="1">
      <x:c r="A59" s="81" t="str">
        <x:v>CW14-A-N</x:v>
      </x:c>
      <x:c r="B59" s="81" t="str">
        <x:v>CW14-A</x:v>
      </x:c>
      <x:c r="C59" s="81" t="str">
        <x:v>네이버</x:v>
      </x:c>
      <x:c r="D59" s="84" t="e">
        <x:f>IF(F59&lt;&gt;"",HYPERLINK(F59,"거리뷰 열기"),HYPERLINK(Q59,IF(C59="네이버","네이버 위치","카카오 위치")))</x:f>
        <x:v>HYPERLINK is not implemented. linkLocation=https://map.naver.com/p/entry/coordinates/3zfoax,2AF2Ae?c=15.00,0,0,0,dh, friendlyName=네이버 위치</x:v>
      </x:c>
      <x:c r="E59" s="239"/>
      <x:c r="F59" s="87"/>
      <x:c r="G59" s="83"/>
      <x:c r="H59" s="83"/>
      <x:c r="I59" s="93"/>
      <x:c r="J59" s="83"/>
      <x:c r="K59" s="83"/>
      <x:c r="L59" s="93"/>
      <x:c r="M59" s="82" t="str">
        <x:v>Y</x:v>
      </x:c>
      <x:c r="N59" s="89"/>
      <x:c r="O59" s="91" t="n">
        <x:v>37.39951423562795</x:v>
      </x:c>
      <x:c r="P59" s="91" t="n">
        <x:v>126.92380849157105</x:v>
      </x:c>
      <x:c r="Q59" s="81" t="str">
        <x:v>https://map.naver.com/p/entry/coordinates/3zfoax,2AF2Ae?c=15.00,0,0,0,dh</x:v>
      </x:c>
      <x:c r="R59" s="81"/>
      <x:c r="S59" s="81" t="str">
        <x:v>좌표 링크 추가 / 영상 미확정</x:v>
      </x:c>
    </x:row>
    <x:row r="60" ht="80" customHeight="1">
      <x:c r="A60" s="81" t="str">
        <x:v>CW14-A-K</x:v>
      </x:c>
      <x:c r="B60" s="81" t="str">
        <x:v>CW14-A</x:v>
      </x:c>
      <x:c r="C60" s="81" t="str">
        <x:v>카카오</x:v>
      </x:c>
      <x:c r="D60" s="84" t="e">
        <x:f>IF(F60&lt;&gt;"",HYPERLINK(F60,"거리뷰 열기"),HYPERLINK(Q60,IF(C60="네이버","네이버 위치","카카오 위치")))</x:f>
        <x:v>HYPERLINK is not implemented. linkLocation=https://map.kakao.com/?panoid=1202874714&amp;pan=322.6&amp;zoom=0&amp;map_type=TYPE_MAP&amp;map_attribute=ROADVIEW&amp;urlX=483161.0&amp;urlY=1083394.0, friendlyName=거리뷰 열기</x:v>
      </x:c>
      <x:c r="E60" s="239" t="n">
        <x:v>45979.61493055556</x:v>
      </x:c>
      <x:c r="F60" s="87" t="str">
        <x:v>https://map.kakao.com/?panoid=1202874714&amp;pan=322.6&amp;zoom=0&amp;map_type=TYPE_MAP&amp;map_attribute=ROADVIEW&amp;urlX=483161.0&amp;urlY=1083394.0</x:v>
      </x:c>
      <x:c r="G60" s="83"/>
      <x:c r="H60" s="83"/>
      <x:c r="I60" s="93"/>
      <x:c r="J60" s="83"/>
      <x:c r="K60" s="83"/>
      <x:c r="L60" s="93"/>
      <x:c r="M60" s="82" t="str">
        <x:v>Y</x:v>
      </x:c>
      <x:c r="N60" s="89" t="n">
        <x:v>11.15</x:v>
      </x:c>
      <x:c r="O60" s="91" t="n">
        <x:v>37.39951423562795</x:v>
      </x:c>
      <x:c r="P60" s="91" t="n">
        <x:v>126.92380849157105</x:v>
      </x:c>
      <x:c r="Q60" s="81" t="str">
        <x:v>https://map.kakao.com/link/roadview/37.3995142,126.9238085</x:v>
      </x:c>
      <x:c r="R60" s="81" t="str">
        <x:v>1202874714</x:v>
      </x:c>
      <x:c r="S60" s="81" t="str">
        <x:v>기존 파일의 촬영정보·URL</x:v>
      </x:c>
    </x:row>
    <x:row r="61" ht="32" customHeight="1">
      <x:c r="A61" s="82" t="str">
        <x:v>CW14-B-N</x:v>
      </x:c>
      <x:c r="B61" s="82" t="str">
        <x:v>CW14-B</x:v>
      </x:c>
      <x:c r="C61" s="82" t="str">
        <x:v>네이버</x:v>
      </x:c>
      <x:c r="D61" s="85" t="e">
        <x:f>IF(F61&lt;&gt;"",HYPERLINK(F61,"거리뷰 열기"),HYPERLINK(Q61,IF(C61="네이버","네이버 위치","카카오 위치")))</x:f>
        <x:v>HYPERLINK is not implemented. linkLocation=https://map.naver.com/p/entry/coordinates/3zfoxR,2AF2OK?c=15.00,0,0,0,dh, friendlyName=네이버 위치</x:v>
      </x:c>
      <x:c r="E61" s="239"/>
      <x:c r="F61" s="87"/>
      <x:c r="G61" s="83"/>
      <x:c r="H61" s="83"/>
      <x:c r="I61" s="93"/>
      <x:c r="J61" s="83"/>
      <x:c r="K61" s="83"/>
      <x:c r="L61" s="93"/>
      <x:c r="M61" s="82" t="str">
        <x:v>Y</x:v>
      </x:c>
      <x:c r="N61" s="90"/>
      <x:c r="O61" s="92" t="n">
        <x:v>37.399604184372045</x:v>
      </x:c>
      <x:c r="P61" s="92" t="n">
        <x:v>126.92395310842896</x:v>
      </x:c>
      <x:c r="Q61" s="82" t="str">
        <x:v>https://map.naver.com/p/entry/coordinates/3zfoxR,2AF2OK?c=15.00,0,0,0,dh</x:v>
      </x:c>
      <x:c r="R61" s="82"/>
      <x:c r="S61" s="82" t="str">
        <x:v>좌표 링크 추가 / 영상 미확정</x:v>
      </x:c>
    </x:row>
    <x:row r="62" ht="80" customHeight="1">
      <x:c r="A62" s="82" t="str">
        <x:v>CW14-B-K</x:v>
      </x:c>
      <x:c r="B62" s="82" t="str">
        <x:v>CW14-B</x:v>
      </x:c>
      <x:c r="C62" s="82" t="str">
        <x:v>카카오</x:v>
      </x:c>
      <x:c r="D62" s="85" t="e">
        <x:f>IF(F62&lt;&gt;"",HYPERLINK(F62,"거리뷰 열기"),HYPERLINK(Q62,IF(C62="네이버","네이버 위치","카카오 위치")))</x:f>
        <x:v>HYPERLINK is not implemented. linkLocation=https://map.kakao.com/?panoid=1202874714&amp;pan=322.6&amp;zoom=0&amp;map_type=TYPE_MAP&amp;map_attribute=ROADVIEW&amp;urlX=483161.0&amp;urlY=1083394.0, friendlyName=거리뷰 열기</x:v>
      </x:c>
      <x:c r="E62" s="239" t="n">
        <x:v>45979.61493055556</x:v>
      </x:c>
      <x:c r="F62" s="87" t="str">
        <x:v>https://map.kakao.com/?panoid=1202874714&amp;pan=322.6&amp;zoom=0&amp;map_type=TYPE_MAP&amp;map_attribute=ROADVIEW&amp;urlX=483161.0&amp;urlY=1083394.0</x:v>
      </x:c>
      <x:c r="G62" s="83"/>
      <x:c r="H62" s="83"/>
      <x:c r="I62" s="93"/>
      <x:c r="J62" s="83"/>
      <x:c r="K62" s="83"/>
      <x:c r="L62" s="93"/>
      <x:c r="M62" s="82" t="str">
        <x:v>Y</x:v>
      </x:c>
      <x:c r="N62" s="90" t="n">
        <x:v>7.04</x:v>
      </x:c>
      <x:c r="O62" s="92" t="n">
        <x:v>37.399604184372045</x:v>
      </x:c>
      <x:c r="P62" s="92" t="n">
        <x:v>126.92395310842896</x:v>
      </x:c>
      <x:c r="Q62" s="82" t="str">
        <x:v>https://map.kakao.com/link/roadview/37.3996042,126.9239531</x:v>
      </x:c>
      <x:c r="R62" s="82" t="str">
        <x:v>1202874714</x:v>
      </x:c>
      <x:c r="S62" s="82" t="str">
        <x:v>기존 파일의 촬영정보·URL</x:v>
      </x:c>
    </x:row>
    <x:row r="63" ht="32" customHeight="1">
      <x:c r="A63" s="81" t="str">
        <x:v>CW15-A-N</x:v>
      </x:c>
      <x:c r="B63" s="81" t="str">
        <x:v>CW15-A</x:v>
      </x:c>
      <x:c r="C63" s="81" t="str">
        <x:v>네이버</x:v>
      </x:c>
      <x:c r="D63" s="84" t="e">
        <x:f>IF(F63&lt;&gt;"",HYPERLINK(F63,"거리뷰 열기"),HYPERLINK(Q63,IF(C63="네이버","네이버 위치","카카오 위치")))</x:f>
        <x:v>HYPERLINK is not implemented. linkLocation=https://map.naver.com/p/entry/coordinates/3zfpsf,2AEZvj?c=15.00,0,0,0,dh, friendlyName=네이버 위치</x:v>
      </x:c>
      <x:c r="E63" s="239"/>
      <x:c r="F63" s="87"/>
      <x:c r="G63" s="83"/>
      <x:c r="H63" s="83"/>
      <x:c r="I63" s="93"/>
      <x:c r="J63" s="83"/>
      <x:c r="K63" s="83"/>
      <x:c r="L63" s="93"/>
      <x:c r="M63" s="82" t="str">
        <x:v>N</x:v>
      </x:c>
      <x:c r="N63" s="89"/>
      <x:c r="O63" s="91" t="n">
        <x:v>37.398330514879135</x:v>
      </x:c>
      <x:c r="P63" s="91" t="n">
        <x:v>126.92430267046433</x:v>
      </x:c>
      <x:c r="Q63" s="81" t="str">
        <x:v>https://map.naver.com/p/entry/coordinates/3zfpsf,2AEZvj?c=15.00,0,0,0,dh</x:v>
      </x:c>
      <x:c r="R63" s="81"/>
      <x:c r="S63" s="81" t="str">
        <x:v>좌표 링크 추가 / 영상 미확정</x:v>
      </x:c>
    </x:row>
    <x:row r="64" ht="80" customHeight="1">
      <x:c r="A64" s="81" t="str">
        <x:v>CW15-A-K</x:v>
      </x:c>
      <x:c r="B64" s="81" t="str">
        <x:v>CW15-A</x:v>
      </x:c>
      <x:c r="C64" s="81" t="str">
        <x:v>카카오</x:v>
      </x:c>
      <x:c r="D64" s="84" t="e">
        <x:f>IF(F64&lt;&gt;"",HYPERLINK(F64,"거리뷰 열기"),HYPERLINK(Q64,IF(C64="네이버","네이버 위치","카카오 위치")))</x:f>
        <x:v>HYPERLINK is not implemented. linkLocation=https://map.kakao.com/?panoid=1202871493&amp;pan=42.8&amp;zoom=0&amp;map_type=TYPE_MAP&amp;map_attribute=ROADVIEW&amp;urlX=483239.0&amp;urlY=1083064.0, friendlyName=거리뷰 열기</x:v>
      </x:c>
      <x:c r="E64" s="239" t="n">
        <x:v>45979.49002314815</x:v>
      </x:c>
      <x:c r="F64" s="87" t="str">
        <x:v>https://map.kakao.com/?panoid=1202871493&amp;pan=42.8&amp;zoom=0&amp;map_type=TYPE_MAP&amp;map_attribute=ROADVIEW&amp;urlX=483239.0&amp;urlY=1083064.0</x:v>
      </x:c>
      <x:c r="G64" s="83"/>
      <x:c r="H64" s="83"/>
      <x:c r="I64" s="93"/>
      <x:c r="J64" s="83"/>
      <x:c r="K64" s="83"/>
      <x:c r="L64" s="93"/>
      <x:c r="M64" s="82" t="str">
        <x:v>N</x:v>
      </x:c>
      <x:c r="N64" s="89" t="n">
        <x:v>3.21</x:v>
      </x:c>
      <x:c r="O64" s="91" t="n">
        <x:v>37.398330514879135</x:v>
      </x:c>
      <x:c r="P64" s="91" t="n">
        <x:v>126.92430267046433</x:v>
      </x:c>
      <x:c r="Q64" s="81" t="str">
        <x:v>https://map.kakao.com/link/roadview/37.3983305,126.9243027</x:v>
      </x:c>
      <x:c r="R64" s="81" t="str">
        <x:v>1202871493</x:v>
      </x:c>
      <x:c r="S64" s="81" t="str">
        <x:v>기존 파일의 촬영정보·URL</x:v>
      </x:c>
    </x:row>
    <x:row r="65" ht="32" customHeight="1">
      <x:c r="A65" s="82" t="str">
        <x:v>CW15-B-N</x:v>
      </x:c>
      <x:c r="B65" s="82" t="str">
        <x:v>CW15-B</x:v>
      </x:c>
      <x:c r="C65" s="82" t="str">
        <x:v>네이버</x:v>
      </x:c>
      <x:c r="D65" s="85" t="e">
        <x:f>IF(F65&lt;&gt;"",HYPERLINK(F65,"거리뷰 열기"),HYPERLINK(Q65,IF(C65="네이버","네이버 위치","카카오 위치")))</x:f>
        <x:v>HYPERLINK is not implemented. linkLocation=https://map.naver.com/p/entry/coordinates/3zfpcb,2AEZM4?c=15.00,0,0,0,dh, friendlyName=네이버 위치</x:v>
      </x:c>
      <x:c r="E65" s="239"/>
      <x:c r="F65" s="87"/>
      <x:c r="G65" s="83"/>
      <x:c r="H65" s="83"/>
      <x:c r="I65" s="93"/>
      <x:c r="J65" s="83"/>
      <x:c r="K65" s="83"/>
      <x:c r="L65" s="93"/>
      <x:c r="M65" s="82" t="str">
        <x:v>N</x:v>
      </x:c>
      <x:c r="N65" s="90"/>
      <x:c r="O65" s="92" t="n">
        <x:v>37.39843440512087</x:v>
      </x:c>
      <x:c r="P65" s="92" t="n">
        <x:v>126.92420312953567</x:v>
      </x:c>
      <x:c r="Q65" s="82" t="str">
        <x:v>https://map.naver.com/p/entry/coordinates/3zfpcb,2AEZM4?c=15.00,0,0,0,dh</x:v>
      </x:c>
      <x:c r="R65" s="82"/>
      <x:c r="S65" s="82" t="str">
        <x:v>좌표 링크 추가 / 영상 미확정</x:v>
      </x:c>
    </x:row>
    <x:row r="66" ht="80" customHeight="1">
      <x:c r="A66" s="82" t="str">
        <x:v>CW15-B-K</x:v>
      </x:c>
      <x:c r="B66" s="82" t="str">
        <x:v>CW15-B</x:v>
      </x:c>
      <x:c r="C66" s="82" t="str">
        <x:v>카카오</x:v>
      </x:c>
      <x:c r="D66" s="85" t="e">
        <x:f>IF(F66&lt;&gt;"",HYPERLINK(F66,"거리뷰 열기"),HYPERLINK(Q66,IF(C66="네이버","네이버 위치","카카오 위치")))</x:f>
        <x:v>HYPERLINK is not implemented. linkLocation=https://map.kakao.com/?panoid=1202871514&amp;pan=237.3&amp;zoom=0&amp;map_type=TYPE_MAP&amp;map_attribute=ROADVIEW&amp;urlX=483232.0&amp;urlY=1083086.0, friendlyName=거리뷰 열기</x:v>
      </x:c>
      <x:c r="E66" s="239" t="n">
        <x:v>45979.492685185185</x:v>
      </x:c>
      <x:c r="F66" s="87" t="str">
        <x:v>https://map.kakao.com/?panoid=1202871514&amp;pan=237.3&amp;zoom=0&amp;map_type=TYPE_MAP&amp;map_attribute=ROADVIEW&amp;urlX=483232.0&amp;urlY=1083086.0</x:v>
      </x:c>
      <x:c r="G66" s="83"/>
      <x:c r="H66" s="83"/>
      <x:c r="I66" s="93"/>
      <x:c r="J66" s="83"/>
      <x:c r="K66" s="83"/>
      <x:c r="L66" s="93"/>
      <x:c r="M66" s="82" t="str">
        <x:v>N</x:v>
      </x:c>
      <x:c r="N66" s="90" t="n">
        <x:v>4.23</x:v>
      </x:c>
      <x:c r="O66" s="92" t="n">
        <x:v>37.39843440512087</x:v>
      </x:c>
      <x:c r="P66" s="92" t="n">
        <x:v>126.92420312953567</x:v>
      </x:c>
      <x:c r="Q66" s="82" t="str">
        <x:v>https://map.kakao.com/link/roadview/37.3984344,126.9242031</x:v>
      </x:c>
      <x:c r="R66" s="82" t="str">
        <x:v>1202871514</x:v>
      </x:c>
      <x:c r="S66" s="82" t="str">
        <x:v>기존 파일의 촬영정보·URL</x:v>
      </x:c>
    </x:row>
    <x:row r="67" ht="32" customHeight="1">
      <x:c r="A67" s="81" t="str">
        <x:v>CW16-A-N</x:v>
      </x:c>
      <x:c r="B67" s="81" t="str">
        <x:v>CW16-A</x:v>
      </x:c>
      <x:c r="C67" s="81" t="str">
        <x:v>네이버</x:v>
      </x:c>
      <x:c r="D67" s="84" t="e">
        <x:f>IF(F67&lt;&gt;"",HYPERLINK(F67,"거리뷰 열기"),HYPERLINK(Q67,IF(C67="네이버","네이버 위치","카카오 위치")))</x:f>
        <x:v>HYPERLINK is not implemented. linkLocation=https://map.naver.com/p/entry/coordinates/3zflxC,2AEXom?c=15.00,0,0,0,dh, friendlyName=네이버 위치</x:v>
      </x:c>
      <x:c r="E67" s="239"/>
      <x:c r="F67" s="87"/>
      <x:c r="G67" s="83"/>
      <x:c r="H67" s="83"/>
      <x:c r="I67" s="93"/>
      <x:c r="J67" s="83"/>
      <x:c r="K67" s="83"/>
      <x:c r="L67" s="93"/>
      <x:c r="M67" s="82" t="str">
        <x:v>Y</x:v>
      </x:c>
      <x:c r="N67" s="89"/>
      <x:c r="O67" s="91" t="n">
        <x:v>37.39751862266188</x:v>
      </x:c>
      <x:c r="P67" s="91" t="n">
        <x:v>126.92279839429749</x:v>
      </x:c>
      <x:c r="Q67" s="81" t="str">
        <x:v>https://map.naver.com/p/entry/coordinates/3zflxC,2AEXom?c=15.00,0,0,0,dh</x:v>
      </x:c>
      <x:c r="R67" s="81"/>
      <x:c r="S67" s="81" t="str">
        <x:v>좌표 링크 추가 / 영상 미확정</x:v>
      </x:c>
    </x:row>
    <x:row r="68" ht="80" customHeight="1">
      <x:c r="A68" s="81" t="str">
        <x:v>CW16-A-K</x:v>
      </x:c>
      <x:c r="B68" s="81" t="str">
        <x:v>CW16-A</x:v>
      </x:c>
      <x:c r="C68" s="81" t="str">
        <x:v>카카오</x:v>
      </x:c>
      <x:c r="D68" s="84" t="e">
        <x:f>IF(F68&lt;&gt;"",HYPERLINK(F68,"거리뷰 열기"),HYPERLINK(Q68,IF(C68="네이버","네이버 위치","카카오 위치")))</x:f>
        <x:v>HYPERLINK is not implemented. linkLocation=https://map.kakao.com/?panoid=1202873960&amp;pan=57.2&amp;zoom=0&amp;map_type=TYPE_MAP&amp;map_attribute=ROADVIEW&amp;urlX=482904.0&amp;urlY=1082851.0, friendlyName=거리뷰 열기</x:v>
      </x:c>
      <x:c r="E68" s="239" t="n">
        <x:v>45979.5958912037</x:v>
      </x:c>
      <x:c r="F68" s="87" t="str">
        <x:v>https://map.kakao.com/?panoid=1202873960&amp;pan=57.2&amp;zoom=0&amp;map_type=TYPE_MAP&amp;map_attribute=ROADVIEW&amp;urlX=482904.0&amp;urlY=1082851.0</x:v>
      </x:c>
      <x:c r="G68" s="83"/>
      <x:c r="H68" s="83"/>
      <x:c r="I68" s="93"/>
      <x:c r="J68" s="83"/>
      <x:c r="K68" s="83"/>
      <x:c r="L68" s="93"/>
      <x:c r="M68" s="82" t="str">
        <x:v>Y</x:v>
      </x:c>
      <x:c r="N68" s="89" t="n">
        <x:v>7.9</x:v>
      </x:c>
      <x:c r="O68" s="91" t="n">
        <x:v>37.39751862266188</x:v>
      </x:c>
      <x:c r="P68" s="91" t="n">
        <x:v>126.92279839429749</x:v>
      </x:c>
      <x:c r="Q68" s="81" t="str">
        <x:v>https://map.kakao.com/link/roadview/37.3975186,126.9227984</x:v>
      </x:c>
      <x:c r="R68" s="81" t="str">
        <x:v>1202873960</x:v>
      </x:c>
      <x:c r="S68" s="81" t="str">
        <x:v>기존 파일의 촬영정보·URL</x:v>
      </x:c>
    </x:row>
    <x:row r="69" ht="32" customHeight="1">
      <x:c r="A69" s="82" t="str">
        <x:v>CW16-B-N</x:v>
      </x:c>
      <x:c r="B69" s="82" t="str">
        <x:v>CW16-B</x:v>
      </x:c>
      <x:c r="C69" s="82" t="str">
        <x:v>네이버</x:v>
      </x:c>
      <x:c r="D69" s="85" t="e">
        <x:f>IF(F69&lt;&gt;"",HYPERLINK(F69,"거리뷰 열기"),HYPERLINK(Q69,IF(C69="네이버","네이버 위치","카카오 위치")))</x:f>
        <x:v>HYPERLINK is not implemented. linkLocation=https://map.naver.com/p/entry/coordinates/3zfleQ,2AEXKf?c=15.00,0,0,0,dh, friendlyName=네이버 위치</x:v>
      </x:c>
      <x:c r="E69" s="239"/>
      <x:c r="F69" s="87"/>
      <x:c r="G69" s="83"/>
      <x:c r="H69" s="83"/>
      <x:c r="I69" s="93"/>
      <x:c r="J69" s="83"/>
      <x:c r="K69" s="83"/>
      <x:c r="L69" s="93"/>
      <x:c r="M69" s="82" t="str">
        <x:v>Y</x:v>
      </x:c>
      <x:c r="N69" s="90"/>
      <x:c r="O69" s="92" t="n">
        <x:v>37.397654297338114</x:v>
      </x:c>
      <x:c r="P69" s="92" t="n">
        <x:v>126.92268200570251</x:v>
      </x:c>
      <x:c r="Q69" s="82" t="str">
        <x:v>https://map.naver.com/p/entry/coordinates/3zfleQ,2AEXKf?c=15.00,0,0,0,dh</x:v>
      </x:c>
      <x:c r="R69" s="82"/>
      <x:c r="S69" s="82" t="str">
        <x:v>좌표 링크 추가 / 영상 미확정</x:v>
      </x:c>
    </x:row>
    <x:row r="70" ht="80" customHeight="1">
      <x:c r="A70" s="82" t="str">
        <x:v>CW16-B-K</x:v>
      </x:c>
      <x:c r="B70" s="82" t="str">
        <x:v>CW16-B</x:v>
      </x:c>
      <x:c r="C70" s="82" t="str">
        <x:v>카카오</x:v>
      </x:c>
      <x:c r="D70" s="85" t="e">
        <x:f>IF(F70&lt;&gt;"",HYPERLINK(F70,"거리뷰 열기"),HYPERLINK(Q70,IF(C70="네이버","네이버 위치","카카오 위치")))</x:f>
        <x:v>HYPERLINK is not implemented. linkLocation=https://map.kakao.com/?panoid=1202873960&amp;pan=57.2&amp;zoom=0&amp;map_type=TYPE_MAP&amp;map_attribute=ROADVIEW&amp;urlX=482904.0&amp;urlY=1082851.0, friendlyName=거리뷰 열기</x:v>
      </x:c>
      <x:c r="E70" s="239" t="n">
        <x:v>45979.5958912037</x:v>
      </x:c>
      <x:c r="F70" s="87" t="str">
        <x:v>https://map.kakao.com/?panoid=1202873960&amp;pan=57.2&amp;zoom=0&amp;map_type=TYPE_MAP&amp;map_attribute=ROADVIEW&amp;urlX=482904.0&amp;urlY=1082851.0</x:v>
      </x:c>
      <x:c r="G70" s="83"/>
      <x:c r="H70" s="83"/>
      <x:c r="I70" s="93"/>
      <x:c r="J70" s="83"/>
      <x:c r="K70" s="83"/>
      <x:c r="L70" s="93"/>
      <x:c r="M70" s="82" t="str">
        <x:v>Y</x:v>
      </x:c>
      <x:c r="N70" s="90" t="n">
        <x:v>10.87</x:v>
      </x:c>
      <x:c r="O70" s="92" t="n">
        <x:v>37.397654297338114</x:v>
      </x:c>
      <x:c r="P70" s="92" t="n">
        <x:v>126.92268200570251</x:v>
      </x:c>
      <x:c r="Q70" s="82" t="str">
        <x:v>https://map.kakao.com/link/roadview/37.3976543,126.9226820</x:v>
      </x:c>
      <x:c r="R70" s="82" t="str">
        <x:v>1202873960</x:v>
      </x:c>
      <x:c r="S70" s="82" t="str">
        <x:v>기존 파일의 촬영정보·URL</x:v>
      </x:c>
    </x:row>
    <x:row r="71" ht="32" customHeight="1">
      <x:c r="A71" s="81" t="str">
        <x:v>CW17-A-N</x:v>
      </x:c>
      <x:c r="B71" s="81" t="str">
        <x:v>CW17-A</x:v>
      </x:c>
      <x:c r="C71" s="81" t="str">
        <x:v>네이버</x:v>
      </x:c>
      <x:c r="D71" s="84" t="e">
        <x:f>IF(F71&lt;&gt;"",HYPERLINK(F71,"거리뷰 열기"),HYPERLINK(Q71,IF(C71="네이버","네이버 위치","카카오 위치")))</x:f>
        <x:v>HYPERLINK is not implemented. linkLocation=https://map.naver.com/p/entry/coordinates/3zfn4t,2AEVbV?c=15.00,0,0,0,dh, friendlyName=네이버 위치</x:v>
      </x:c>
      <x:c r="E71" s="239"/>
      <x:c r="F71" s="87"/>
      <x:c r="G71" s="83"/>
      <x:c r="H71" s="83"/>
      <x:c r="I71" s="93"/>
      <x:c r="J71" s="83"/>
      <x:c r="K71" s="83"/>
      <x:c r="L71" s="93"/>
      <x:c r="M71" s="82" t="str">
        <x:v>N</x:v>
      </x:c>
      <x:c r="N71" s="89"/>
      <x:c r="O71" s="91" t="n">
        <x:v>37.39667273168306</x:v>
      </x:c>
      <x:c r="P71" s="91" t="n">
        <x:v>126.92338647331106</x:v>
      </x:c>
      <x:c r="Q71" s="81" t="str">
        <x:v>https://map.naver.com/p/entry/coordinates/3zfn4t,2AEVbV?c=15.00,0,0,0,dh</x:v>
      </x:c>
      <x:c r="R71" s="81"/>
      <x:c r="S71" s="81" t="str">
        <x:v>좌표 링크 추가 / 영상 미확정</x:v>
      </x:c>
    </x:row>
    <x:row r="72" ht="80" customHeight="1">
      <x:c r="A72" s="81" t="str">
        <x:v>CW17-A-K</x:v>
      </x:c>
      <x:c r="B72" s="81" t="str">
        <x:v>CW17-A</x:v>
      </x:c>
      <x:c r="C72" s="81" t="str">
        <x:v>카카오</x:v>
      </x:c>
      <x:c r="D72" s="84" t="e">
        <x:f>IF(F72&lt;&gt;"",HYPERLINK(F72,"거리뷰 열기"),HYPERLINK(Q72,IF(C72="네이버","네이버 위치","카카오 위치")))</x:f>
        <x:v>HYPERLINK is not implemented. linkLocation=https://map.kakao.com/?panoid=1202875183&amp;pan=34.5&amp;zoom=0&amp;map_type=TYPE_MAP&amp;map_attribute=ROADVIEW&amp;urlX=483033.0&amp;urlY=1082609.0, friendlyName=거리뷰 열기</x:v>
      </x:c>
      <x:c r="E72" s="239" t="n">
        <x:v>45979.64193287037</x:v>
      </x:c>
      <x:c r="F72" s="87" t="str">
        <x:v>https://map.kakao.com/?panoid=1202875183&amp;pan=34.5&amp;zoom=0&amp;map_type=TYPE_MAP&amp;map_attribute=ROADVIEW&amp;urlX=483033.0&amp;urlY=1082609.0</x:v>
      </x:c>
      <x:c r="G72" s="83"/>
      <x:c r="H72" s="83"/>
      <x:c r="I72" s="93"/>
      <x:c r="J72" s="83"/>
      <x:c r="K72" s="83"/>
      <x:c r="L72" s="93"/>
      <x:c r="M72" s="82" t="str">
        <x:v>N</x:v>
      </x:c>
      <x:c r="N72" s="89" t="n">
        <x:v>5.44</x:v>
      </x:c>
      <x:c r="O72" s="91" t="n">
        <x:v>37.39667273168306</x:v>
      </x:c>
      <x:c r="P72" s="91" t="n">
        <x:v>126.92338647331106</x:v>
      </x:c>
      <x:c r="Q72" s="81" t="str">
        <x:v>https://map.kakao.com/link/roadview/37.3966727,126.9233865</x:v>
      </x:c>
      <x:c r="R72" s="81" t="str">
        <x:v>1202875183</x:v>
      </x:c>
      <x:c r="S72" s="81" t="str">
        <x:v>기존 파일의 촬영정보·URL</x:v>
      </x:c>
    </x:row>
    <x:row r="73" ht="32" customHeight="1">
      <x:c r="A73" s="82" t="str">
        <x:v>CW17-B-N</x:v>
      </x:c>
      <x:c r="B73" s="82" t="str">
        <x:v>CW17-B</x:v>
      </x:c>
      <x:c r="C73" s="82" t="str">
        <x:v>네이버</x:v>
      </x:c>
      <x:c r="D73" s="85" t="e">
        <x:f>IF(F73&lt;&gt;"",HYPERLINK(F73,"거리뷰 열기"),HYPERLINK(Q73,IF(C73="네이버","네이버 위치","카카오 위치")))</x:f>
        <x:v>HYPERLINK is not implemented. linkLocation=https://map.naver.com/p/entry/coordinates/3zfmWR,2AEVkN?c=15.00,0,0,0,dh, friendlyName=네이버 위치</x:v>
      </x:c>
      <x:c r="E73" s="239"/>
      <x:c r="F73" s="87"/>
      <x:c r="G73" s="83"/>
      <x:c r="H73" s="83"/>
      <x:c r="I73" s="93"/>
      <x:c r="J73" s="83"/>
      <x:c r="K73" s="83"/>
      <x:c r="L73" s="93"/>
      <x:c r="M73" s="82" t="str">
        <x:v>N</x:v>
      </x:c>
      <x:c r="N73" s="90"/>
      <x:c r="O73" s="92" t="n">
        <x:v>37.396727708316945</x:v>
      </x:c>
      <x:c r="P73" s="92" t="n">
        <x:v>126.92333932668895</x:v>
      </x:c>
      <x:c r="Q73" s="82" t="str">
        <x:v>https://map.naver.com/p/entry/coordinates/3zfmWR,2AEVkN?c=15.00,0,0,0,dh</x:v>
      </x:c>
      <x:c r="R73" s="82"/>
      <x:c r="S73" s="82" t="str">
        <x:v>좌표 링크 추가 / 영상 미확정</x:v>
      </x:c>
    </x:row>
    <x:row r="74" ht="80" customHeight="1">
      <x:c r="A74" s="82" t="str">
        <x:v>CW17-B-K</x:v>
      </x:c>
      <x:c r="B74" s="82" t="str">
        <x:v>CW17-B</x:v>
      </x:c>
      <x:c r="C74" s="82" t="str">
        <x:v>카카오</x:v>
      </x:c>
      <x:c r="D74" s="85" t="e">
        <x:f>IF(F74&lt;&gt;"",HYPERLINK(F74,"거리뷰 열기"),HYPERLINK(Q74,IF(C74="네이버","네이버 위치","카카오 위치")))</x:f>
        <x:v>HYPERLINK is not implemented. linkLocation=https://map.kakao.com/?panoid=1202875183&amp;pan=34.5&amp;zoom=0&amp;map_type=TYPE_MAP&amp;map_attribute=ROADVIEW&amp;urlX=483033.0&amp;urlY=1082609.0, friendlyName=거리뷰 열기</x:v>
      </x:c>
      <x:c r="E74" s="239" t="n">
        <x:v>45979.64193287037</x:v>
      </x:c>
      <x:c r="F74" s="87" t="str">
        <x:v>https://map.kakao.com/?panoid=1202875183&amp;pan=34.5&amp;zoom=0&amp;map_type=TYPE_MAP&amp;map_attribute=ROADVIEW&amp;urlX=483033.0&amp;urlY=1082609.0</x:v>
      </x:c>
      <x:c r="G74" s="83"/>
      <x:c r="H74" s="83"/>
      <x:c r="I74" s="93"/>
      <x:c r="J74" s="83"/>
      <x:c r="K74" s="83"/>
      <x:c r="L74" s="93"/>
      <x:c r="M74" s="82" t="str">
        <x:v>N</x:v>
      </x:c>
      <x:c r="N74" s="90" t="n">
        <x:v>1.97</x:v>
      </x:c>
      <x:c r="O74" s="92" t="n">
        <x:v>37.396727708316945</x:v>
      </x:c>
      <x:c r="P74" s="92" t="n">
        <x:v>126.92333932668895</x:v>
      </x:c>
      <x:c r="Q74" s="82" t="str">
        <x:v>https://map.kakao.com/link/roadview/37.3967277,126.9233393</x:v>
      </x:c>
      <x:c r="R74" s="82" t="str">
        <x:v>1202875183</x:v>
      </x:c>
      <x:c r="S74" s="82" t="str">
        <x:v>기존 파일의 촬영정보·URL</x:v>
      </x:c>
    </x:row>
    <x:row r="75" ht="32" customHeight="1">
      <x:c r="A75" s="81" t="str">
        <x:v>CW18-A-N</x:v>
      </x:c>
      <x:c r="B75" s="81" t="str">
        <x:v>CW18-A</x:v>
      </x:c>
      <x:c r="C75" s="81" t="str">
        <x:v>네이버</x:v>
      </x:c>
      <x:c r="D75" s="84" t="e">
        <x:f>IF(F75&lt;&gt;"",HYPERLINK(F75,"거리뷰 열기"),HYPERLINK(Q75,IF(C75="네이버","네이버 위치","카카오 위치")))</x:f>
        <x:v>HYPERLINK is not implemented. linkLocation=https://map.naver.com/p/entry/coordinates/3zfoWn,2AESY7?c=15.00,0,0,0,dh, friendlyName=네이버 위치</x:v>
      </x:c>
      <x:c r="E75" s="239"/>
      <x:c r="F75" s="87"/>
      <x:c r="G75" s="83"/>
      <x:c r="H75" s="83"/>
      <x:c r="I75" s="93"/>
      <x:c r="J75" s="83"/>
      <x:c r="K75" s="83"/>
      <x:c r="L75" s="93"/>
      <x:c r="M75" s="82" t="str">
        <x:v>Y</x:v>
      </x:c>
      <x:c r="N75" s="89"/>
      <x:c r="O75" s="91" t="n">
        <x:v>37.39581829178769</x:v>
      </x:c>
      <x:c r="P75" s="91" t="n">
        <x:v>126.9241050997271</x:v>
      </x:c>
      <x:c r="Q75" s="81" t="str">
        <x:v>https://map.naver.com/p/entry/coordinates/3zfoWn,2AESY7?c=15.00,0,0,0,dh</x:v>
      </x:c>
      <x:c r="R75" s="81"/>
      <x:c r="S75" s="81" t="str">
        <x:v>좌표 링크 추가 / 영상 미확정</x:v>
      </x:c>
    </x:row>
    <x:row r="76" ht="80" customHeight="1">
      <x:c r="A76" s="81" t="str">
        <x:v>CW18-A-K</x:v>
      </x:c>
      <x:c r="B76" s="81" t="str">
        <x:v>CW18-A</x:v>
      </x:c>
      <x:c r="C76" s="81" t="str">
        <x:v>카카오</x:v>
      </x:c>
      <x:c r="D76" s="84" t="e">
        <x:f>IF(F76&lt;&gt;"",HYPERLINK(F76,"거리뷰 열기"),HYPERLINK(Q76,IF(C76="네이버","네이버 위치","카카오 위치")))</x:f>
        <x:v>HYPERLINK is not implemented. linkLocation=https://map.kakao.com/?panoid=1203480723&amp;pan=326.1&amp;zoom=0&amp;map_type=TYPE_MAP&amp;map_attribute=ROADVIEW&amp;urlX=483181.0&amp;urlY=1082354.0, friendlyName=거리뷰 열기</x:v>
      </x:c>
      <x:c r="E76" s="239" t="n">
        <x:v>45992.58943287037</x:v>
      </x:c>
      <x:c r="F76" s="87" t="str">
        <x:v>https://map.kakao.com/?panoid=1203480723&amp;pan=326.1&amp;zoom=0&amp;map_type=TYPE_MAP&amp;map_attribute=ROADVIEW&amp;urlX=483181.0&amp;urlY=1082354.0</x:v>
      </x:c>
      <x:c r="G76" s="83"/>
      <x:c r="H76" s="83"/>
      <x:c r="I76" s="93"/>
      <x:c r="J76" s="83"/>
      <x:c r="K76" s="83"/>
      <x:c r="L76" s="93"/>
      <x:c r="M76" s="82" t="str">
        <x:v>Y</x:v>
      </x:c>
      <x:c r="N76" s="89" t="n">
        <x:v>7.65</x:v>
      </x:c>
      <x:c r="O76" s="91" t="n">
        <x:v>37.39581829178769</x:v>
      </x:c>
      <x:c r="P76" s="91" t="n">
        <x:v>126.9241050997271</x:v>
      </x:c>
      <x:c r="Q76" s="81" t="str">
        <x:v>https://map.kakao.com/link/roadview/37.3958183,126.9241051</x:v>
      </x:c>
      <x:c r="R76" s="81" t="str">
        <x:v>1203480723</x:v>
      </x:c>
      <x:c r="S76" s="81" t="str">
        <x:v>기존 파일의 촬영정보·URL</x:v>
      </x:c>
    </x:row>
    <x:row r="77" ht="32" customHeight="1">
      <x:c r="A77" s="82" t="str">
        <x:v>CW18-B-N</x:v>
      </x:c>
      <x:c r="B77" s="82" t="str">
        <x:v>CW18-B</x:v>
      </x:c>
      <x:c r="C77" s="82" t="str">
        <x:v>네이버</x:v>
      </x:c>
      <x:c r="D77" s="85" t="e">
        <x:f>IF(F77&lt;&gt;"",HYPERLINK(F77,"거리뷰 열기"),HYPERLINK(Q77,IF(C77="네이버","네이버 위치","카카오 위치")))</x:f>
        <x:v>HYPERLINK is not implemented. linkLocation=https://map.naver.com/p/entry/coordinates/3zfoMV,2AET9q?c=15.00,0,0,0,dh, friendlyName=네이버 위치</x:v>
      </x:c>
      <x:c r="E77" s="239"/>
      <x:c r="F77" s="87"/>
      <x:c r="G77" s="83"/>
      <x:c r="H77" s="83"/>
      <x:c r="I77" s="93"/>
      <x:c r="J77" s="83"/>
      <x:c r="K77" s="83"/>
      <x:c r="L77" s="93"/>
      <x:c r="M77" s="82" t="str">
        <x:v>Y</x:v>
      </x:c>
      <x:c r="N77" s="90"/>
      <x:c r="O77" s="92" t="n">
        <x:v>37.39588836821232</x:v>
      </x:c>
      <x:c r="P77" s="92" t="n">
        <x:v>126.92404650027288</x:v>
      </x:c>
      <x:c r="Q77" s="82" t="str">
        <x:v>https://map.naver.com/p/entry/coordinates/3zfoMV,2AET9q?c=15.00,0,0,0,dh</x:v>
      </x:c>
      <x:c r="R77" s="82"/>
      <x:c r="S77" s="82" t="str">
        <x:v>좌표 링크 추가 / 영상 미확정</x:v>
      </x:c>
    </x:row>
    <x:row r="78" ht="80" customHeight="1">
      <x:c r="A78" s="82" t="str">
        <x:v>CW18-B-K</x:v>
      </x:c>
      <x:c r="B78" s="82" t="str">
        <x:v>CW18-B</x:v>
      </x:c>
      <x:c r="C78" s="82" t="str">
        <x:v>카카오</x:v>
      </x:c>
      <x:c r="D78" s="85" t="e">
        <x:f>IF(F78&lt;&gt;"",HYPERLINK(F78,"거리뷰 열기"),HYPERLINK(Q78,IF(C78="네이버","네이버 위치","카카오 위치")))</x:f>
        <x:v>HYPERLINK is not implemented. linkLocation=https://map.kakao.com/?panoid=1203480726&amp;pan=323.5&amp;zoom=0&amp;map_type=TYPE_MAP&amp;map_attribute=ROADVIEW&amp;urlX=483167.0&amp;urlY=1082374.0, friendlyName=거리뷰 열기</x:v>
      </x:c>
      <x:c r="E78" s="239" t="n">
        <x:v>45992.589641203704</x:v>
      </x:c>
      <x:c r="F78" s="87" t="str">
        <x:v>https://map.kakao.com/?panoid=1203480726&amp;pan=323.5&amp;zoom=0&amp;map_type=TYPE_MAP&amp;map_attribute=ROADVIEW&amp;urlX=483167.0&amp;urlY=1082374.0</x:v>
      </x:c>
      <x:c r="G78" s="83"/>
      <x:c r="H78" s="83"/>
      <x:c r="I78" s="93"/>
      <x:c r="J78" s="83"/>
      <x:c r="K78" s="83"/>
      <x:c r="L78" s="93"/>
      <x:c r="M78" s="82" t="str">
        <x:v>Y</x:v>
      </x:c>
      <x:c r="N78" s="90" t="n">
        <x:v>7.98</x:v>
      </x:c>
      <x:c r="O78" s="92" t="n">
        <x:v>37.39588836821232</x:v>
      </x:c>
      <x:c r="P78" s="92" t="n">
        <x:v>126.92404650027288</x:v>
      </x:c>
      <x:c r="Q78" s="82" t="str">
        <x:v>https://map.kakao.com/link/roadview/37.3958884,126.9240465</x:v>
      </x:c>
      <x:c r="R78" s="82" t="str">
        <x:v>1203480726</x:v>
      </x:c>
      <x:c r="S78" s="82" t="str">
        <x:v>기존 파일의 촬영정보·URL</x:v>
      </x:c>
    </x:row>
    <x:row r="79" ht="32" customHeight="1">
      <x:c r="A79" s="81" t="str">
        <x:v>CW19-A-N</x:v>
      </x:c>
      <x:c r="B79" s="81" t="str">
        <x:v>CW19-A</x:v>
      </x:c>
      <x:c r="C79" s="81" t="str">
        <x:v>네이버</x:v>
      </x:c>
      <x:c r="D79" s="84" t="e">
        <x:f>IF(F79&lt;&gt;"",HYPERLINK(F79,"거리뷰 열기"),HYPERLINK(Q79,IF(C79="네이버","네이버 위치","카카오 위치")))</x:f>
        <x:v>HYPERLINK is not implemented. linkLocation=https://map.naver.com/p/entry/coordinates/3zfosh,2AESrZ?c=15.00,0,0,0,dh, friendlyName=네이버 위치</x:v>
      </x:c>
      <x:c r="E79" s="239"/>
      <x:c r="F79" s="87"/>
      <x:c r="G79" s="83"/>
      <x:c r="H79" s="83"/>
      <x:c r="I79" s="93"/>
      <x:c r="J79" s="83"/>
      <x:c r="K79" s="83"/>
      <x:c r="L79" s="93"/>
      <x:c r="M79" s="82" t="str">
        <x:v>N</x:v>
      </x:c>
      <x:c r="N79" s="89"/>
      <x:c r="O79" s="91" t="n">
        <x:v>37.39561913411808</x:v>
      </x:c>
      <x:c r="P79" s="91" t="n">
        <x:v>126.9239184646548</x:v>
      </x:c>
      <x:c r="Q79" s="81" t="str">
        <x:v>https://map.naver.com/p/entry/coordinates/3zfosh,2AESrZ?c=15.00,0,0,0,dh</x:v>
      </x:c>
      <x:c r="R79" s="81"/>
      <x:c r="S79" s="81" t="str">
        <x:v>좌표 링크 추가 / 영상 미확정</x:v>
      </x:c>
    </x:row>
    <x:row r="80" ht="80" customHeight="1">
      <x:c r="A80" s="81" t="str">
        <x:v>CW19-A-K</x:v>
      </x:c>
      <x:c r="B80" s="81" t="str">
        <x:v>CW19-A</x:v>
      </x:c>
      <x:c r="C80" s="81" t="str">
        <x:v>카카오</x:v>
      </x:c>
      <x:c r="D80" s="84" t="e">
        <x:f>IF(F80&lt;&gt;"",HYPERLINK(F80,"거리뷰 열기"),HYPERLINK(Q80,IF(C80="네이버","네이버 위치","카카오 위치")))</x:f>
        <x:v>HYPERLINK is not implemented. linkLocation=https://map.kakao.com/?panoid=1203478741&amp;pan=147.6&amp;zoom=0&amp;map_type=TYPE_MAP&amp;map_attribute=ROADVIEW&amp;urlX=483169.0&amp;urlY=1082312.0, friendlyName=거리뷰 열기</x:v>
      </x:c>
      <x:c r="E80" s="239" t="n">
        <x:v>45992.57664351852</x:v>
      </x:c>
      <x:c r="F80" s="87" t="str">
        <x:v>https://map.kakao.com/?panoid=1203478741&amp;pan=147.6&amp;zoom=0&amp;map_type=TYPE_MAP&amp;map_attribute=ROADVIEW&amp;urlX=483169.0&amp;urlY=1082312.0</x:v>
      </x:c>
      <x:c r="G80" s="83"/>
      <x:c r="H80" s="83"/>
      <x:c r="I80" s="93"/>
      <x:c r="J80" s="83"/>
      <x:c r="K80" s="83"/>
      <x:c r="L80" s="93"/>
      <x:c r="M80" s="82" t="str">
        <x:v>N</x:v>
      </x:c>
      <x:c r="N80" s="89" t="n">
        <x:v>5.28</x:v>
      </x:c>
      <x:c r="O80" s="91" t="n">
        <x:v>37.39561913411808</x:v>
      </x:c>
      <x:c r="P80" s="91" t="n">
        <x:v>126.9239184646548</x:v>
      </x:c>
      <x:c r="Q80" s="81" t="str">
        <x:v>https://map.kakao.com/link/roadview/37.3956191,126.9239185</x:v>
      </x:c>
      <x:c r="R80" s="81" t="str">
        <x:v>1203478741</x:v>
      </x:c>
      <x:c r="S80" s="81" t="str">
        <x:v>기존 파일의 촬영정보·URL</x:v>
      </x:c>
    </x:row>
    <x:row r="81" ht="32" customHeight="1">
      <x:c r="A81" s="82" t="str">
        <x:v>CW19-B-N</x:v>
      </x:c>
      <x:c r="B81" s="82" t="str">
        <x:v>CW19-B</x:v>
      </x:c>
      <x:c r="C81" s="82" t="str">
        <x:v>네이버</x:v>
      </x:c>
      <x:c r="D81" s="85" t="e">
        <x:f>IF(F81&lt;&gt;"",HYPERLINK(F81,"거리뷰 열기"),HYPERLINK(Q81,IF(C81="네이버","네이버 위치","카카오 위치")))</x:f>
        <x:v>HYPERLINK is not implemented. linkLocation=https://map.naver.com/p/entry/coordinates/3zfp1L,2AESKJ?c=15.00,0,0,0,dh, friendlyName=네이버 위치</x:v>
      </x:c>
      <x:c r="E81" s="239"/>
      <x:c r="F81" s="87"/>
      <x:c r="G81" s="83"/>
      <x:c r="H81" s="83"/>
      <x:c r="I81" s="93"/>
      <x:c r="J81" s="83"/>
      <x:c r="K81" s="83"/>
      <x:c r="L81" s="93"/>
      <x:c r="M81" s="82" t="str">
        <x:v>N</x:v>
      </x:c>
      <x:c r="N81" s="90"/>
      <x:c r="O81" s="92" t="n">
        <x:v>37.39573534588192</x:v>
      </x:c>
      <x:c r="P81" s="92" t="n">
        <x:v>126.92413853534521</x:v>
      </x:c>
      <x:c r="Q81" s="82" t="str">
        <x:v>https://map.naver.com/p/entry/coordinates/3zfp1L,2AESKJ?c=15.00,0,0,0,dh</x:v>
      </x:c>
      <x:c r="R81" s="82"/>
      <x:c r="S81" s="82" t="str">
        <x:v>좌표 링크 추가 / 영상 미확정</x:v>
      </x:c>
    </x:row>
    <x:row r="82" ht="80" customHeight="1">
      <x:c r="A82" s="82" t="str">
        <x:v>CW19-B-K</x:v>
      </x:c>
      <x:c r="B82" s="82" t="str">
        <x:v>CW19-B</x:v>
      </x:c>
      <x:c r="C82" s="82" t="str">
        <x:v>카카오</x:v>
      </x:c>
      <x:c r="D82" s="85" t="e">
        <x:f>IF(F82&lt;&gt;"",HYPERLINK(F82,"거리뷰 열기"),HYPERLINK(Q82,IF(C82="네이버","네이버 위치","카카오 위치")))</x:f>
        <x:v>HYPERLINK is not implemented. linkLocation=https://map.kakao.com/?panoid=1203480720&amp;pan=326.7&amp;zoom=0&amp;map_type=TYPE_MAP&amp;map_attribute=ROADVIEW&amp;urlX=483195.0&amp;urlY=1082333.0, friendlyName=거리뷰 열기</x:v>
      </x:c>
      <x:c r="E82" s="239" t="n">
        <x:v>45992.58939814815</x:v>
      </x:c>
      <x:c r="F82" s="87" t="str">
        <x:v>https://map.kakao.com/?panoid=1203480720&amp;pan=326.7&amp;zoom=0&amp;map_type=TYPE_MAP&amp;map_attribute=ROADVIEW&amp;urlX=483195.0&amp;urlY=1082333.0</x:v>
      </x:c>
      <x:c r="G82" s="83"/>
      <x:c r="H82" s="83"/>
      <x:c r="I82" s="93"/>
      <x:c r="J82" s="83"/>
      <x:c r="K82" s="83"/>
      <x:c r="L82" s="93"/>
      <x:c r="M82" s="82" t="str">
        <x:v>N</x:v>
      </x:c>
      <x:c r="N82" s="90" t="n">
        <x:v>4.9</x:v>
      </x:c>
      <x:c r="O82" s="92" t="n">
        <x:v>37.39573534588192</x:v>
      </x:c>
      <x:c r="P82" s="92" t="n">
        <x:v>126.92413853534521</x:v>
      </x:c>
      <x:c r="Q82" s="82" t="str">
        <x:v>https://map.kakao.com/link/roadview/37.3957353,126.9241385</x:v>
      </x:c>
      <x:c r="R82" s="82" t="str">
        <x:v>1203480720</x:v>
      </x:c>
      <x:c r="S82" s="82" t="str">
        <x:v>기존 파일의 촬영정보·URL</x:v>
      </x:c>
    </x:row>
    <x:row r="83" ht="32" customHeight="1">
      <x:c r="A83" s="81" t="str">
        <x:v>CW20-A-N</x:v>
      </x:c>
      <x:c r="B83" s="81" t="str">
        <x:v>CW20-A</x:v>
      </x:c>
      <x:c r="C83" s="81" t="str">
        <x:v>네이버</x:v>
      </x:c>
      <x:c r="D83" s="84" t="e">
        <x:f>IF(F83&lt;&gt;"",HYPERLINK(F83,"거리뷰 열기"),HYPERLINK(Q83,IF(C83="네이버","네이버 위치","카카오 위치")))</x:f>
        <x:v>HYPERLINK is not implemented. linkLocation=https://map.naver.com/p/entry/coordinates/3zfrj4,2AEP8Y?c=15.00,0,0,0,dh, friendlyName=네이버 위치</x:v>
      </x:c>
      <x:c r="E83" s="239"/>
      <x:c r="F83" s="87"/>
      <x:c r="G83" s="83"/>
      <x:c r="H83" s="83"/>
      <x:c r="I83" s="93"/>
      <x:c r="J83" s="83"/>
      <x:c r="K83" s="83"/>
      <x:c r="L83" s="93"/>
      <x:c r="M83" s="82" t="str">
        <x:v>Y</x:v>
      </x:c>
      <x:c r="N83" s="89"/>
      <x:c r="O83" s="91" t="n">
        <x:v>37.39434797316774</x:v>
      </x:c>
      <x:c r="P83" s="91" t="n">
        <x:v>126.92501464784056</x:v>
      </x:c>
      <x:c r="Q83" s="81" t="str">
        <x:v>https://map.naver.com/p/entry/coordinates/3zfrj4,2AEP8Y?c=15.00,0,0,0,dh</x:v>
      </x:c>
      <x:c r="R83" s="81"/>
      <x:c r="S83" s="81" t="str">
        <x:v>좌표 링크 추가 / 영상 미확정</x:v>
      </x:c>
    </x:row>
    <x:row r="84" ht="80" customHeight="1">
      <x:c r="A84" s="81" t="str">
        <x:v>CW20-A-K</x:v>
      </x:c>
      <x:c r="B84" s="81" t="str">
        <x:v>CW20-A</x:v>
      </x:c>
      <x:c r="C84" s="81" t="str">
        <x:v>카카오</x:v>
      </x:c>
      <x:c r="D84" s="84" t="e">
        <x:f>IF(F84&lt;&gt;"",HYPERLINK(F84,"거리뷰 열기"),HYPERLINK(Q84,IF(C84="네이버","네이버 위치","카카오 위치")))</x:f>
        <x:v>HYPERLINK is not implemented. linkLocation=https://map.kakao.com/?panoid=1203478791&amp;pan=146.9&amp;zoom=0&amp;map_type=TYPE_MAP&amp;map_attribute=ROADVIEW&amp;urlX=483404.0&amp;urlY=1081956.0, friendlyName=거리뷰 열기</x:v>
      </x:c>
      <x:c r="E84" s="239" t="n">
        <x:v>45992.57679398148</x:v>
      </x:c>
      <x:c r="F84" s="87" t="str">
        <x:v>https://map.kakao.com/?panoid=1203478791&amp;pan=146.9&amp;zoom=0&amp;map_type=TYPE_MAP&amp;map_attribute=ROADVIEW&amp;urlX=483404.0&amp;urlY=1081956.0</x:v>
      </x:c>
      <x:c r="G84" s="83"/>
      <x:c r="H84" s="83"/>
      <x:c r="I84" s="93"/>
      <x:c r="J84" s="83"/>
      <x:c r="K84" s="83"/>
      <x:c r="L84" s="93"/>
      <x:c r="M84" s="82" t="str">
        <x:v>Y</x:v>
      </x:c>
      <x:c r="N84" s="89" t="n">
        <x:v>2.18</x:v>
      </x:c>
      <x:c r="O84" s="91" t="n">
        <x:v>37.39434797316774</x:v>
      </x:c>
      <x:c r="P84" s="91" t="n">
        <x:v>126.92501464784056</x:v>
      </x:c>
      <x:c r="Q84" s="81" t="str">
        <x:v>https://map.kakao.com/link/roadview/37.3943480,126.9250146</x:v>
      </x:c>
      <x:c r="R84" s="81" t="str">
        <x:v>1203478791</x:v>
      </x:c>
      <x:c r="S84" s="81" t="str">
        <x:v>기존 파일의 촬영정보·URL</x:v>
      </x:c>
    </x:row>
    <x:row r="85" ht="32" customHeight="1">
      <x:c r="A85" s="82" t="str">
        <x:v>CW20-B-N</x:v>
      </x:c>
      <x:c r="B85" s="82" t="str">
        <x:v>CW20-B</x:v>
      </x:c>
      <x:c r="C85" s="82" t="str">
        <x:v>네이버</x:v>
      </x:c>
      <x:c r="D85" s="85" t="e">
        <x:f>IF(F85&lt;&gt;"",HYPERLINK(F85,"거리뷰 열기"),HYPERLINK(Q85,IF(C85="네이버","네이버 위치","카카오 위치")))</x:f>
        <x:v>HYPERLINK is not implemented. linkLocation=https://map.naver.com/p/entry/coordinates/3zfrRy,2AEPro?c=15.00,0,0,0,dh, friendlyName=네이버 위치</x:v>
      </x:c>
      <x:c r="E85" s="239"/>
      <x:c r="F85" s="87"/>
      <x:c r="G85" s="83"/>
      <x:c r="H85" s="83"/>
      <x:c r="I85" s="93"/>
      <x:c r="J85" s="83"/>
      <x:c r="K85" s="83"/>
      <x:c r="L85" s="93"/>
      <x:c r="M85" s="82" t="str">
        <x:v>Y</x:v>
      </x:c>
      <x:c r="N85" s="90"/>
      <x:c r="O85" s="92" t="n">
        <x:v>37.39446220683226</x:v>
      </x:c>
      <x:c r="P85" s="92" t="n">
        <x:v>126.92522835215944</x:v>
      </x:c>
      <x:c r="Q85" s="82" t="str">
        <x:v>https://map.naver.com/p/entry/coordinates/3zfrRy,2AEPro?c=15.00,0,0,0,dh</x:v>
      </x:c>
      <x:c r="R85" s="82"/>
      <x:c r="S85" s="82" t="str">
        <x:v>좌표 링크 추가 / 영상 미확정</x:v>
      </x:c>
    </x:row>
    <x:row r="86" ht="80" customHeight="1">
      <x:c r="A86" s="82" t="str">
        <x:v>CW20-B-K</x:v>
      </x:c>
      <x:c r="B86" s="82" t="str">
        <x:v>CW20-B</x:v>
      </x:c>
      <x:c r="C86" s="82" t="str">
        <x:v>카카오</x:v>
      </x:c>
      <x:c r="D86" s="85" t="e">
        <x:f>IF(F86&lt;&gt;"",HYPERLINK(F86,"거리뷰 열기"),HYPERLINK(Q86,IF(C86="네이버","네이버 위치","카카오 위치")))</x:f>
        <x:v>HYPERLINK is not implemented. linkLocation=https://map.kakao.com/?panoid=1203480668&amp;pan=326.1&amp;zoom=0&amp;map_type=TYPE_MAP&amp;map_attribute=ROADVIEW&amp;urlX=483430.0&amp;urlY=1081979.0, friendlyName=거리뷰 열기</x:v>
      </x:c>
      <x:c r="E86" s="239" t="n">
        <x:v>45992.58920138889</x:v>
      </x:c>
      <x:c r="F86" s="87" t="str">
        <x:v>https://map.kakao.com/?panoid=1203480668&amp;pan=326.1&amp;zoom=0&amp;map_type=TYPE_MAP&amp;map_attribute=ROADVIEW&amp;urlX=483430.0&amp;urlY=1081979.0</x:v>
      </x:c>
      <x:c r="G86" s="83"/>
      <x:c r="H86" s="83"/>
      <x:c r="I86" s="93"/>
      <x:c r="J86" s="83"/>
      <x:c r="K86" s="83"/>
      <x:c r="L86" s="93"/>
      <x:c r="M86" s="82" t="str">
        <x:v>Y</x:v>
      </x:c>
      <x:c r="N86" s="90" t="n">
        <x:v>7.23</x:v>
      </x:c>
      <x:c r="O86" s="92" t="n">
        <x:v>37.39446220683226</x:v>
      </x:c>
      <x:c r="P86" s="92" t="n">
        <x:v>126.92522835215944</x:v>
      </x:c>
      <x:c r="Q86" s="82" t="str">
        <x:v>https://map.kakao.com/link/roadview/37.3944622,126.9252284</x:v>
      </x:c>
      <x:c r="R86" s="82" t="str">
        <x:v>1203480668</x:v>
      </x:c>
      <x:c r="S86" s="82" t="str">
        <x:v>기존 파일의 촬영정보·URL</x:v>
      </x:c>
    </x:row>
    <x:row r="87" ht="32" customHeight="1">
      <x:c r="A87" s="81" t="str">
        <x:v>CW21-A-N</x:v>
      </x:c>
      <x:c r="B87" s="81" t="str">
        <x:v>CW21-A</x:v>
      </x:c>
      <x:c r="C87" s="81" t="str">
        <x:v>네이버</x:v>
      </x:c>
      <x:c r="D87" s="84" t="e">
        <x:f>IF(F87&lt;&gt;"",HYPERLINK(F87,"거리뷰 열기"),HYPERLINK(Q87,IF(C87="네이버","네이버 위치","카카오 위치")))</x:f>
        <x:v>HYPERLINK is not implemented. linkLocation=https://map.naver.com/p/entry/coordinates/3zfmEe,2AELJC?c=15.00,0,0,0,dh, friendlyName=네이버 위치</x:v>
      </x:c>
      <x:c r="E87" s="239"/>
      <x:c r="F87" s="87"/>
      <x:c r="G87" s="83"/>
      <x:c r="H87" s="83"/>
      <x:c r="I87" s="93"/>
      <x:c r="J87" s="83"/>
      <x:c r="K87" s="83"/>
      <x:c r="L87" s="93"/>
      <x:c r="M87" s="82" t="str">
        <x:v>Y</x:v>
      </x:c>
      <x:c r="N87" s="89"/>
      <x:c r="O87" s="91" t="n">
        <x:v>37.39303756607922</x:v>
      </x:c>
      <x:c r="P87" s="91" t="n">
        <x:v>126.92322375721096</x:v>
      </x:c>
      <x:c r="Q87" s="81" t="str">
        <x:v>https://map.naver.com/p/entry/coordinates/3zfmEe,2AELJC?c=15.00,0,0,0,dh</x:v>
      </x:c>
      <x:c r="R87" s="81"/>
      <x:c r="S87" s="81" t="str">
        <x:v>좌표 링크 추가 / 영상 미확정</x:v>
      </x:c>
    </x:row>
    <x:row r="88" ht="80" customHeight="1">
      <x:c r="A88" s="81" t="str">
        <x:v>CW21-A-K</x:v>
      </x:c>
      <x:c r="B88" s="81" t="str">
        <x:v>CW21-A</x:v>
      </x:c>
      <x:c r="C88" s="81" t="str">
        <x:v>카카오</x:v>
      </x:c>
      <x:c r="D88" s="84" t="e">
        <x:f>IF(F88&lt;&gt;"",HYPERLINK(F88,"거리뷰 열기"),HYPERLINK(Q88,IF(C88="네이버","네이버 위치","카카오 위치")))</x:f>
        <x:v>HYPERLINK is not implemented. linkLocation=https://map.kakao.com/?panoid=1202871152&amp;pan=233.4&amp;zoom=0&amp;map_type=TYPE_MAP&amp;map_attribute=ROADVIEW&amp;urlX=483004.0&amp;urlY=1081607.0, friendlyName=거리뷰 열기</x:v>
      </x:c>
      <x:c r="E88" s="239" t="n">
        <x:v>45979.47121527778</x:v>
      </x:c>
      <x:c r="F88" s="87" t="str">
        <x:v>https://map.kakao.com/?panoid=1202871152&amp;pan=233.4&amp;zoom=0&amp;map_type=TYPE_MAP&amp;map_attribute=ROADVIEW&amp;urlX=483004.0&amp;urlY=1081607.0</x:v>
      </x:c>
      <x:c r="G88" s="83"/>
      <x:c r="H88" s="83"/>
      <x:c r="I88" s="93"/>
      <x:c r="J88" s="83"/>
      <x:c r="K88" s="83"/>
      <x:c r="L88" s="93"/>
      <x:c r="M88" s="82" t="str">
        <x:v>Y</x:v>
      </x:c>
      <x:c r="N88" s="89" t="n">
        <x:v>7.26</x:v>
      </x:c>
      <x:c r="O88" s="91" t="n">
        <x:v>37.39303756607922</x:v>
      </x:c>
      <x:c r="P88" s="91" t="n">
        <x:v>126.92322375721096</x:v>
      </x:c>
      <x:c r="Q88" s="81" t="str">
        <x:v>https://map.kakao.com/link/roadview/37.3930376,126.9232238</x:v>
      </x:c>
      <x:c r="R88" s="81" t="str">
        <x:v>1202871152</x:v>
      </x:c>
      <x:c r="S88" s="81" t="str">
        <x:v>기존 파일의 촬영정보·URL</x:v>
      </x:c>
    </x:row>
    <x:row r="89" ht="32" customHeight="1">
      <x:c r="A89" s="82" t="str">
        <x:v>CW21-B-N</x:v>
      </x:c>
      <x:c r="B89" s="82" t="str">
        <x:v>CW21-B</x:v>
      </x:c>
      <x:c r="C89" s="82" t="str">
        <x:v>네이버</x:v>
      </x:c>
      <x:c r="D89" s="85" t="e">
        <x:f>IF(F89&lt;&gt;"",HYPERLINK(F89,"거리뷰 열기"),HYPERLINK(Q89,IF(C89="네이버","네이버 위치","카카오 위치")))</x:f>
        <x:v>HYPERLINK is not implemented. linkLocation=https://map.naver.com/p/entry/coordinates/3zfmvA,2AELUh?c=15.00,0,0,0,dh, friendlyName=네이버 위치</x:v>
      </x:c>
      <x:c r="E89" s="239"/>
      <x:c r="F89" s="87"/>
      <x:c r="G89" s="83"/>
      <x:c r="H89" s="83"/>
      <x:c r="I89" s="93"/>
      <x:c r="J89" s="83"/>
      <x:c r="K89" s="83"/>
      <x:c r="L89" s="93"/>
      <x:c r="M89" s="82" t="str">
        <x:v>Y</x:v>
      </x:c>
      <x:c r="N89" s="90"/>
      <x:c r="O89" s="92" t="n">
        <x:v>37.39310371392077</x:v>
      </x:c>
      <x:c r="P89" s="92" t="n">
        <x:v>126.92317024278903</x:v>
      </x:c>
      <x:c r="Q89" s="82" t="str">
        <x:v>https://map.naver.com/p/entry/coordinates/3zfmvA,2AELUh?c=15.00,0,0,0,dh</x:v>
      </x:c>
      <x:c r="R89" s="82"/>
      <x:c r="S89" s="82" t="str">
        <x:v>좌표 링크 추가 / 영상 미확정</x:v>
      </x:c>
    </x:row>
    <x:row r="90" ht="80" customHeight="1">
      <x:c r="A90" s="82" t="str">
        <x:v>CW21-B-K</x:v>
      </x:c>
      <x:c r="B90" s="82" t="str">
        <x:v>CW21-B</x:v>
      </x:c>
      <x:c r="C90" s="82" t="str">
        <x:v>카카오</x:v>
      </x:c>
      <x:c r="D90" s="85" t="e">
        <x:f>IF(F90&lt;&gt;"",HYPERLINK(F90,"거리뷰 열기"),HYPERLINK(Q90,IF(C90="네이버","네이버 위치","카카오 위치")))</x:f>
        <x:v>HYPERLINK is not implemented. linkLocation=https://map.kakao.com/?panoid=1202871152&amp;pan=233.4&amp;zoom=0&amp;map_type=TYPE_MAP&amp;map_attribute=ROADVIEW&amp;urlX=483004.0&amp;urlY=1081607.0, friendlyName=거리뷰 열기</x:v>
      </x:c>
      <x:c r="E90" s="239" t="n">
        <x:v>45979.47121527778</x:v>
      </x:c>
      <x:c r="F90" s="87" t="str">
        <x:v>https://map.kakao.com/?panoid=1202871152&amp;pan=233.4&amp;zoom=0&amp;map_type=TYPE_MAP&amp;map_attribute=ROADVIEW&amp;urlX=483004.0&amp;urlY=1081607.0</x:v>
      </x:c>
      <x:c r="G90" s="83"/>
      <x:c r="H90" s="83"/>
      <x:c r="I90" s="93"/>
      <x:c r="J90" s="83"/>
      <x:c r="K90" s="83"/>
      <x:c r="L90" s="93"/>
      <x:c r="M90" s="82" t="str">
        <x:v>Y</x:v>
      </x:c>
      <x:c r="N90" s="90" t="n">
        <x:v>4.97</x:v>
      </x:c>
      <x:c r="O90" s="92" t="n">
        <x:v>37.39310371392077</x:v>
      </x:c>
      <x:c r="P90" s="92" t="n">
        <x:v>126.92317024278903</x:v>
      </x:c>
      <x:c r="Q90" s="82" t="str">
        <x:v>https://map.kakao.com/link/roadview/37.3931037,126.9231702</x:v>
      </x:c>
      <x:c r="R90" s="82" t="str">
        <x:v>1202871152</x:v>
      </x:c>
      <x:c r="S90" s="82" t="str">
        <x:v>기존 파일의 촬영정보·URL</x:v>
      </x:c>
    </x:row>
    <x:row r="91" ht="32" customHeight="1">
      <x:c r="A91" s="81" t="str">
        <x:v>CW22-A-N</x:v>
      </x:c>
      <x:c r="B91" s="81" t="str">
        <x:v>CW22-A</x:v>
      </x:c>
      <x:c r="C91" s="81" t="str">
        <x:v>네이버</x:v>
      </x:c>
      <x:c r="D91" s="84" t="e">
        <x:f>IF(F91&lt;&gt;"",HYPERLINK(F91,"거리뷰 열기"),HYPERLINK(Q91,IF(C91="네이버","네이버 위치","카카오 위치")))</x:f>
        <x:v>HYPERLINK is not implemented. linkLocation=https://map.naver.com/p/entry/coordinates/3zfnFT,2AEJoY?c=15.00,0,0,0,dh, friendlyName=네이버 위치</x:v>
      </x:c>
      <x:c r="E91" s="239"/>
      <x:c r="F91" s="87"/>
      <x:c r="G91" s="83"/>
      <x:c r="H91" s="83"/>
      <x:c r="I91" s="93"/>
      <x:c r="J91" s="83"/>
      <x:c r="K91" s="83"/>
      <x:c r="L91" s="93"/>
      <x:c r="M91" s="82" t="str">
        <x:v>N</x:v>
      </x:c>
      <x:c r="N91" s="89"/>
      <x:c r="O91" s="91" t="n">
        <x:v>37.39214078880838</x:v>
      </x:c>
      <x:c r="P91" s="91" t="n">
        <x:v>126.92361853491747</x:v>
      </x:c>
      <x:c r="Q91" s="81" t="str">
        <x:v>https://map.naver.com/p/entry/coordinates/3zfnFT,2AEJoY?c=15.00,0,0,0,dh</x:v>
      </x:c>
      <x:c r="R91" s="81"/>
      <x:c r="S91" s="81" t="str">
        <x:v>좌표 링크 추가 / 영상 미확정</x:v>
      </x:c>
    </x:row>
    <x:row r="92" ht="80" customHeight="1">
      <x:c r="A92" s="81" t="str">
        <x:v>CW22-A-K</x:v>
      </x:c>
      <x:c r="B92" s="81" t="str">
        <x:v>CW22-A</x:v>
      </x:c>
      <x:c r="C92" s="81" t="str">
        <x:v>카카오</x:v>
      </x:c>
      <x:c r="D92" s="84" t="e">
        <x:f>IF(F92&lt;&gt;"",HYPERLINK(F92,"거리뷰 열기"),HYPERLINK(Q92,IF(C92="네이버","네이버 위치","카카오 위치")))</x:f>
        <x:v>HYPERLINK is not implemented. linkLocation=https://map.kakao.com/?panoid=1202969686&amp;pan=327.0&amp;zoom=0&amp;map_type=TYPE_MAP&amp;map_attribute=ROADVIEW&amp;urlX=483115.0&amp;urlY=1081356.0, friendlyName=거리뷰 열기</x:v>
      </x:c>
      <x:c r="E92" s="239" t="n">
        <x:v>45978.498935185184</x:v>
      </x:c>
      <x:c r="F92" s="87" t="str">
        <x:v>https://map.kakao.com/?panoid=1202969686&amp;pan=327.0&amp;zoom=0&amp;map_type=TYPE_MAP&amp;map_attribute=ROADVIEW&amp;urlX=483115.0&amp;urlY=1081356.0</x:v>
      </x:c>
      <x:c r="G92" s="83"/>
      <x:c r="H92" s="83"/>
      <x:c r="I92" s="93"/>
      <x:c r="J92" s="83"/>
      <x:c r="K92" s="83"/>
      <x:c r="L92" s="93"/>
      <x:c r="M92" s="82" t="str">
        <x:v>N</x:v>
      </x:c>
      <x:c r="N92" s="89" t="n">
        <x:v>11.67</x:v>
      </x:c>
      <x:c r="O92" s="91" t="n">
        <x:v>37.39214078880838</x:v>
      </x:c>
      <x:c r="P92" s="91" t="n">
        <x:v>126.92361853491747</x:v>
      </x:c>
      <x:c r="Q92" s="81" t="str">
        <x:v>https://map.kakao.com/link/roadview/37.3921408,126.9236185</x:v>
      </x:c>
      <x:c r="R92" s="81" t="str">
        <x:v>1202969686</x:v>
      </x:c>
      <x:c r="S92" s="81" t="str">
        <x:v>기존 파일의 촬영정보·URL</x:v>
      </x:c>
    </x:row>
    <x:row r="93" ht="32" customHeight="1">
      <x:c r="A93" s="82" t="str">
        <x:v>CW22-B-N</x:v>
      </x:c>
      <x:c r="B93" s="82" t="str">
        <x:v>CW22-B</x:v>
      </x:c>
      <x:c r="C93" s="82" t="str">
        <x:v>네이버</x:v>
      </x:c>
      <x:c r="D93" s="85" t="e">
        <x:f>IF(F93&lt;&gt;"",HYPERLINK(F93,"거리뷰 열기"),HYPERLINK(Q93,IF(C93="네이버","네이버 위치","카카오 위치")))</x:f>
        <x:v>HYPERLINK is not implemented. linkLocation=https://map.naver.com/p/entry/coordinates/3zfo4d,2AEJBC?c=15.00,0,0,0,dh, friendlyName=네이버 위치</x:v>
      </x:c>
      <x:c r="E93" s="239"/>
      <x:c r="F93" s="87"/>
      <x:c r="G93" s="83"/>
      <x:c r="H93" s="83"/>
      <x:c r="I93" s="93"/>
      <x:c r="J93" s="83"/>
      <x:c r="K93" s="83"/>
      <x:c r="L93" s="93"/>
      <x:c r="M93" s="82" t="str">
        <x:v>N</x:v>
      </x:c>
      <x:c r="N93" s="90"/>
      <x:c r="O93" s="92" t="n">
        <x:v>37.39221919119162</x:v>
      </x:c>
      <x:c r="P93" s="92" t="n">
        <x:v>126.92376926508251</x:v>
      </x:c>
      <x:c r="Q93" s="82" t="str">
        <x:v>https://map.naver.com/p/entry/coordinates/3zfo4d,2AEJBC?c=15.00,0,0,0,dh</x:v>
      </x:c>
      <x:c r="R93" s="82"/>
      <x:c r="S93" s="82" t="str">
        <x:v>좌표 링크 추가 / 영상 미확정</x:v>
      </x:c>
    </x:row>
    <x:row r="94" ht="80" customHeight="1">
      <x:c r="A94" s="82" t="str">
        <x:v>CW22-B-K</x:v>
      </x:c>
      <x:c r="B94" s="82" t="str">
        <x:v>CW22-B</x:v>
      </x:c>
      <x:c r="C94" s="82" t="str">
        <x:v>카카오</x:v>
      </x:c>
      <x:c r="D94" s="85" t="e">
        <x:f>IF(F94&lt;&gt;"",HYPERLINK(F94,"거리뷰 열기"),HYPERLINK(Q94,IF(C94="네이버","네이버 위치","카카오 위치")))</x:f>
        <x:v>HYPERLINK is not implemented. linkLocation=https://map.kakao.com/?panoid=1202969686&amp;pan=327.0&amp;zoom=0&amp;map_type=TYPE_MAP&amp;map_attribute=ROADVIEW&amp;urlX=483115.0&amp;urlY=1081356.0, friendlyName=거리뷰 열기</x:v>
      </x:c>
      <x:c r="E94" s="239" t="n">
        <x:v>45978.498935185184</x:v>
      </x:c>
      <x:c r="F94" s="87" t="str">
        <x:v>https://map.kakao.com/?panoid=1202969686&amp;pan=327.0&amp;zoom=0&amp;map_type=TYPE_MAP&amp;map_attribute=ROADVIEW&amp;urlX=483115.0&amp;urlY=1081356.0</x:v>
      </x:c>
      <x:c r="G94" s="83"/>
      <x:c r="H94" s="83"/>
      <x:c r="I94" s="93"/>
      <x:c r="J94" s="83"/>
      <x:c r="K94" s="83"/>
      <x:c r="L94" s="93"/>
      <x:c r="M94" s="82" t="str">
        <x:v>N</x:v>
      </x:c>
      <x:c r="N94" s="90" t="n">
        <x:v>4.25</x:v>
      </x:c>
      <x:c r="O94" s="92" t="n">
        <x:v>37.39221919119162</x:v>
      </x:c>
      <x:c r="P94" s="92" t="n">
        <x:v>126.92376926508251</x:v>
      </x:c>
      <x:c r="Q94" s="82" t="str">
        <x:v>https://map.kakao.com/link/roadview/37.3922192,126.9237693</x:v>
      </x:c>
      <x:c r="R94" s="82" t="str">
        <x:v>1202969686</x:v>
      </x:c>
      <x:c r="S94" s="82" t="str">
        <x:v>기존 파일의 촬영정보·URL</x:v>
      </x:c>
    </x:row>
    <x:row r="95" ht="32" customHeight="1">
      <x:c r="A95" s="81" t="str">
        <x:v>CW23-A-N</x:v>
      </x:c>
      <x:c r="B95" s="81" t="str">
        <x:v>CW23-A</x:v>
      </x:c>
      <x:c r="C95" s="81" t="str">
        <x:v>네이버</x:v>
      </x:c>
      <x:c r="D95" s="84" t="e">
        <x:f>IF(F95&lt;&gt;"",HYPERLINK(F95,"거리뷰 열기"),HYPERLINK(Q95,IF(C95="네이버","네이버 위치","카카오 위치")))</x:f>
        <x:v>HYPERLINK is not implemented. linkLocation=https://map.naver.com/p/entry/coordinates/3zfomA,2AEJl1?c=15.00,0,0,0,dh, friendlyName=네이버 위치</x:v>
      </x:c>
      <x:c r="E95" s="239"/>
      <x:c r="F95" s="87"/>
      <x:c r="G95" s="83"/>
      <x:c r="H95" s="83"/>
      <x:c r="I95" s="93"/>
      <x:c r="J95" s="83"/>
      <x:c r="K95" s="83"/>
      <x:c r="L95" s="93"/>
      <x:c r="M95" s="82" t="str">
        <x:v>Y</x:v>
      </x:c>
      <x:c r="N95" s="89"/>
      <x:c r="O95" s="91" t="n">
        <x:v>37.39211628056607</x:v>
      </x:c>
      <x:c r="P95" s="91" t="n">
        <x:v>126.92388323781566</x:v>
      </x:c>
      <x:c r="Q95" s="81" t="str">
        <x:v>https://map.naver.com/p/entry/coordinates/3zfomA,2AEJl1?c=15.00,0,0,0,dh</x:v>
      </x:c>
      <x:c r="R95" s="81"/>
      <x:c r="S95" s="81" t="str">
        <x:v>좌표 링크 추가 / 영상 미확정</x:v>
      </x:c>
    </x:row>
    <x:row r="96" ht="80" customHeight="1">
      <x:c r="A96" s="81" t="str">
        <x:v>CW23-A-K</x:v>
      </x:c>
      <x:c r="B96" s="81" t="str">
        <x:v>CW23-A</x:v>
      </x:c>
      <x:c r="C96" s="81" t="str">
        <x:v>카카오</x:v>
      </x:c>
      <x:c r="D96" s="84" t="e">
        <x:f>IF(F96&lt;&gt;"",HYPERLINK(F96,"거리뷰 열기"),HYPERLINK(Q96,IF(C96="네이버","네이버 위치","카카오 위치")))</x:f>
        <x:v>HYPERLINK is not implemented. linkLocation=https://map.kakao.com/?panoid=1202870512&amp;pan=238.8&amp;zoom=0&amp;map_type=TYPE_MAP&amp;map_attribute=ROADVIEW&amp;urlX=483156.0&amp;urlY=1081348.0, friendlyName=거리뷰 열기</x:v>
      </x:c>
      <x:c r="E96" s="239" t="n">
        <x:v>45979.43237268519</x:v>
      </x:c>
      <x:c r="F96" s="87" t="str">
        <x:v>https://map.kakao.com/?panoid=1202870512&amp;pan=238.8&amp;zoom=0&amp;map_type=TYPE_MAP&amp;map_attribute=ROADVIEW&amp;urlX=483156.0&amp;urlY=1081348.0</x:v>
      </x:c>
      <x:c r="G96" s="83"/>
      <x:c r="H96" s="83"/>
      <x:c r="I96" s="93"/>
      <x:c r="J96" s="83"/>
      <x:c r="K96" s="83"/>
      <x:c r="L96" s="93"/>
      <x:c r="M96" s="82" t="str">
        <x:v>Y</x:v>
      </x:c>
      <x:c r="N96" s="89" t="n">
        <x:v>6.55</x:v>
      </x:c>
      <x:c r="O96" s="91" t="n">
        <x:v>37.39211628056607</x:v>
      </x:c>
      <x:c r="P96" s="91" t="n">
        <x:v>126.92388323781566</x:v>
      </x:c>
      <x:c r="Q96" s="81" t="str">
        <x:v>https://map.kakao.com/link/roadview/37.3921163,126.9238832</x:v>
      </x:c>
      <x:c r="R96" s="81" t="str">
        <x:v>1202870512</x:v>
      </x:c>
      <x:c r="S96" s="81" t="str">
        <x:v>기존 파일의 촬영정보·URL</x:v>
      </x:c>
    </x:row>
    <x:row r="97" ht="32" customHeight="1">
      <x:c r="A97" s="82" t="str">
        <x:v>CW23-B-N</x:v>
      </x:c>
      <x:c r="B97" s="82" t="str">
        <x:v>CW23-B</x:v>
      </x:c>
      <x:c r="C97" s="82" t="str">
        <x:v>네이버</x:v>
      </x:c>
      <x:c r="D97" s="85" t="e">
        <x:f>IF(F97&lt;&gt;"",HYPERLINK(F97,"거리뷰 열기"),HYPERLINK(Q97,IF(C97="네이버","네이버 위치","카카오 위치")))</x:f>
        <x:v>HYPERLINK is not implemented. linkLocation=https://map.naver.com/p/entry/coordinates/3zfogO,2AEJs8?c=15.00,0,0,0,dh, friendlyName=네이버 위치</x:v>
      </x:c>
      <x:c r="E97" s="239"/>
      <x:c r="F97" s="87"/>
      <x:c r="G97" s="83"/>
      <x:c r="H97" s="83"/>
      <x:c r="I97" s="93"/>
      <x:c r="J97" s="83"/>
      <x:c r="K97" s="83"/>
      <x:c r="L97" s="93"/>
      <x:c r="M97" s="82" t="str">
        <x:v>Y</x:v>
      </x:c>
      <x:c r="N97" s="90"/>
      <x:c r="O97" s="92" t="n">
        <x:v>37.39216041943393</x:v>
      </x:c>
      <x:c r="P97" s="92" t="n">
        <x:v>126.92384736218435</x:v>
      </x:c>
      <x:c r="Q97" s="82" t="str">
        <x:v>https://map.naver.com/p/entry/coordinates/3zfogO,2AEJs8?c=15.00,0,0,0,dh</x:v>
      </x:c>
      <x:c r="R97" s="82"/>
      <x:c r="S97" s="82" t="str">
        <x:v>좌표 링크 추가 / 영상 미확정</x:v>
      </x:c>
    </x:row>
    <x:row r="98" ht="80" customHeight="1">
      <x:c r="A98" s="82" t="str">
        <x:v>CW23-B-K</x:v>
      </x:c>
      <x:c r="B98" s="82" t="str">
        <x:v>CW23-B</x:v>
      </x:c>
      <x:c r="C98" s="82" t="str">
        <x:v>카카오</x:v>
      </x:c>
      <x:c r="D98" s="85" t="e">
        <x:f>IF(F98&lt;&gt;"",HYPERLINK(F98,"거리뷰 열기"),HYPERLINK(Q98,IF(C98="네이버","네이버 위치","카카오 위치")))</x:f>
        <x:v>HYPERLINK is not implemented. linkLocation=https://map.kakao.com/?panoid=1202870512&amp;pan=238.8&amp;zoom=0&amp;map_type=TYPE_MAP&amp;map_attribute=ROADVIEW&amp;urlX=483156.0&amp;urlY=1081348.0, friendlyName=거리뷰 열기</x:v>
      </x:c>
      <x:c r="E98" s="239" t="n">
        <x:v>45979.43237268519</x:v>
      </x:c>
      <x:c r="F98" s="87" t="str">
        <x:v>https://map.kakao.com/?panoid=1202870512&amp;pan=238.8&amp;zoom=0&amp;map_type=TYPE_MAP&amp;map_attribute=ROADVIEW&amp;urlX=483156.0&amp;urlY=1081348.0</x:v>
      </x:c>
      <x:c r="G98" s="83"/>
      <x:c r="H98" s="83"/>
      <x:c r="I98" s="93"/>
      <x:c r="J98" s="83"/>
      <x:c r="K98" s="83"/>
      <x:c r="L98" s="93"/>
      <x:c r="M98" s="82" t="str">
        <x:v>Y</x:v>
      </x:c>
      <x:c r="N98" s="90" t="n">
        <x:v>5.98</x:v>
      </x:c>
      <x:c r="O98" s="92" t="n">
        <x:v>37.39216041943393</x:v>
      </x:c>
      <x:c r="P98" s="92" t="n">
        <x:v>126.92384736218435</x:v>
      </x:c>
      <x:c r="Q98" s="82" t="str">
        <x:v>https://map.kakao.com/link/roadview/37.3921604,126.9238474</x:v>
      </x:c>
      <x:c r="R98" s="82" t="str">
        <x:v>1202870512</x:v>
      </x:c>
      <x:c r="S98" s="82" t="str">
        <x:v>기존 파일의 촬영정보·URL</x:v>
      </x:c>
    </x:row>
    <x:row r="99" ht="32" customHeight="1">
      <x:c r="A99" s="81" t="str">
        <x:v>CW24-A-N</x:v>
      </x:c>
      <x:c r="B99" s="81" t="str">
        <x:v>CW24-A</x:v>
      </x:c>
      <x:c r="C99" s="81" t="str">
        <x:v>네이버</x:v>
      </x:c>
      <x:c r="D99" s="84" t="e">
        <x:f>IF(F99&lt;&gt;"",HYPERLINK(F99,"거리뷰 열기"),HYPERLINK(Q99,IF(C99="네이버","네이버 위치","카카오 위치")))</x:f>
        <x:v>HYPERLINK is not implemented. linkLocation=https://map.naver.com/p/entry/coordinates/3zfnBJ,2AEJ5d?c=15.00,0,0,0,dh, friendlyName=네이버 위치</x:v>
      </x:c>
      <x:c r="E99" s="239"/>
      <x:c r="F99" s="87"/>
      <x:c r="G99" s="83"/>
      <x:c r="H99" s="83"/>
      <x:c r="I99" s="93"/>
      <x:c r="J99" s="83"/>
      <x:c r="K99" s="83"/>
      <x:c r="L99" s="93"/>
      <x:c r="M99" s="82" t="str">
        <x:v>N</x:v>
      </x:c>
      <x:c r="N99" s="89"/>
      <x:c r="O99" s="91" t="n">
        <x:v>37.3920183365017</x:v>
      </x:c>
      <x:c r="P99" s="91" t="n">
        <x:v>126.92359267780495</x:v>
      </x:c>
      <x:c r="Q99" s="81" t="str">
        <x:v>https://map.naver.com/p/entry/coordinates/3zfnBJ,2AEJ5d?c=15.00,0,0,0,dh</x:v>
      </x:c>
      <x:c r="R99" s="81"/>
      <x:c r="S99" s="81" t="str">
        <x:v>좌표 링크 추가 / 영상 미확정</x:v>
      </x:c>
    </x:row>
    <x:row r="100" ht="80" customHeight="1">
      <x:c r="A100" s="81" t="str">
        <x:v>CW24-A-K</x:v>
      </x:c>
      <x:c r="B100" s="81" t="str">
        <x:v>CW24-A</x:v>
      </x:c>
      <x:c r="C100" s="81" t="str">
        <x:v>카카오</x:v>
      </x:c>
      <x:c r="D100" s="84" t="e">
        <x:f>IF(F100&lt;&gt;"",HYPERLINK(F100,"거리뷰 열기"),HYPERLINK(Q100,IF(C100="네이버","네이버 위치","카카오 위치")))</x:f>
        <x:v>HYPERLINK is not implemented. linkLocation=https://map.kakao.com/?panoid=1202969685&amp;pan=327.1&amp;zoom=0&amp;map_type=TYPE_MAP&amp;map_attribute=ROADVIEW&amp;urlX=483129.0&amp;urlY=1081335.0, friendlyName=거리뷰 열기</x:v>
      </x:c>
      <x:c r="E100" s="239" t="n">
        <x:v>45978.49891203704</x:v>
      </x:c>
      <x:c r="F100" s="87" t="str">
        <x:v>https://map.kakao.com/?panoid=1202969685&amp;pan=327.1&amp;zoom=0&amp;map_type=TYPE_MAP&amp;map_attribute=ROADVIEW&amp;urlX=483129.0&amp;urlY=1081335.0</x:v>
      </x:c>
      <x:c r="G100" s="83"/>
      <x:c r="H100" s="83"/>
      <x:c r="I100" s="93"/>
      <x:c r="J100" s="83"/>
      <x:c r="K100" s="83"/>
      <x:c r="L100" s="93"/>
      <x:c r="M100" s="82" t="str">
        <x:v>N</x:v>
      </x:c>
      <x:c r="N100" s="89" t="n">
        <x:v>21.11</x:v>
      </x:c>
      <x:c r="O100" s="91" t="n">
        <x:v>37.3920183365017</x:v>
      </x:c>
      <x:c r="P100" s="91" t="n">
        <x:v>126.92359267780495</x:v>
      </x:c>
      <x:c r="Q100" s="81" t="str">
        <x:v>https://map.kakao.com/link/roadview/37.3920183,126.9235927</x:v>
      </x:c>
      <x:c r="R100" s="81" t="str">
        <x:v>1202969685</x:v>
      </x:c>
      <x:c r="S100" s="81" t="str">
        <x:v>기존 파일의 촬영정보·URL</x:v>
      </x:c>
    </x:row>
    <x:row r="101" ht="32" customHeight="1">
      <x:c r="A101" s="82" t="str">
        <x:v>CW24-B-N</x:v>
      </x:c>
      <x:c r="B101" s="82" t="str">
        <x:v>CW24-B</x:v>
      </x:c>
      <x:c r="C101" s="82" t="str">
        <x:v>네이버</x:v>
      </x:c>
      <x:c r="D101" s="85" t="e">
        <x:f>IF(F101&lt;&gt;"",HYPERLINK(F101,"거리뷰 열기"),HYPERLINK(Q101,IF(C101="네이버","네이버 위치","카카오 위치")))</x:f>
        <x:v>HYPERLINK is not implemented. linkLocation=https://map.naver.com/p/entry/coordinates/3zfnX3,2AEJgj?c=15.00,0,0,0,dh, friendlyName=네이버 위치</x:v>
      </x:c>
      <x:c r="E101" s="239"/>
      <x:c r="F101" s="87"/>
      <x:c r="G101" s="83"/>
      <x:c r="H101" s="83"/>
      <x:c r="I101" s="93"/>
      <x:c r="J101" s="83"/>
      <x:c r="K101" s="83"/>
      <x:c r="L101" s="93"/>
      <x:c r="M101" s="82" t="str">
        <x:v>N</x:v>
      </x:c>
      <x:c r="N101" s="90"/>
      <x:c r="O101" s="92" t="n">
        <x:v>37.392087123498314</x:v>
      </x:c>
      <x:c r="P101" s="92" t="n">
        <x:v>126.92372492219503</x:v>
      </x:c>
      <x:c r="Q101" s="82" t="str">
        <x:v>https://map.naver.com/p/entry/coordinates/3zfnX3,2AEJgj?c=15.00,0,0,0,dh</x:v>
      </x:c>
      <x:c r="R101" s="82"/>
      <x:c r="S101" s="82" t="str">
        <x:v>좌표 링크 추가 / 영상 미확정</x:v>
      </x:c>
    </x:row>
    <x:row r="102" ht="80" customHeight="1">
      <x:c r="A102" s="82" t="str">
        <x:v>CW24-B-K</x:v>
      </x:c>
      <x:c r="B102" s="82" t="str">
        <x:v>CW24-B</x:v>
      </x:c>
      <x:c r="C102" s="82" t="str">
        <x:v>카카오</x:v>
      </x:c>
      <x:c r="D102" s="85" t="e">
        <x:f>IF(F102&lt;&gt;"",HYPERLINK(F102,"거리뷰 열기"),HYPERLINK(Q102,IF(C102="네이버","네이버 위치","카카오 위치")))</x:f>
        <x:v>HYPERLINK is not implemented. linkLocation=https://map.kakao.com/?panoid=1202969685&amp;pan=327.1&amp;zoom=0&amp;map_type=TYPE_MAP&amp;map_attribute=ROADVIEW&amp;urlX=483129.0&amp;urlY=1081335.0, friendlyName=거리뷰 열기</x:v>
      </x:c>
      <x:c r="E102" s="239" t="n">
        <x:v>45978.49891203704</x:v>
      </x:c>
      <x:c r="F102" s="87" t="str">
        <x:v>https://map.kakao.com/?panoid=1202969685&amp;pan=327.1&amp;zoom=0&amp;map_type=TYPE_MAP&amp;map_attribute=ROADVIEW&amp;urlX=483129.0&amp;urlY=1081335.0</x:v>
      </x:c>
      <x:c r="G102" s="83"/>
      <x:c r="H102" s="83"/>
      <x:c r="I102" s="93"/>
      <x:c r="J102" s="83"/>
      <x:c r="K102" s="83"/>
      <x:c r="L102" s="93"/>
      <x:c r="M102" s="82" t="str">
        <x:v>N</x:v>
      </x:c>
      <x:c r="N102" s="90" t="n">
        <x:v>7.15</x:v>
      </x:c>
      <x:c r="O102" s="92" t="n">
        <x:v>37.392087123498314</x:v>
      </x:c>
      <x:c r="P102" s="92" t="n">
        <x:v>126.92372492219503</x:v>
      </x:c>
      <x:c r="Q102" s="82" t="str">
        <x:v>https://map.kakao.com/link/roadview/37.3920871,126.9237249</x:v>
      </x:c>
      <x:c r="R102" s="82" t="str">
        <x:v>1202969685</x:v>
      </x:c>
      <x:c r="S102" s="82" t="str">
        <x:v>기존 파일의 촬영정보·URL</x:v>
      </x:c>
    </x:row>
    <x:row r="103" ht="32" customHeight="1">
      <x:c r="A103" s="81" t="str">
        <x:v>CW25-A-N</x:v>
      </x:c>
      <x:c r="B103" s="81" t="str">
        <x:v>CW25-A</x:v>
      </x:c>
      <x:c r="C103" s="81" t="str">
        <x:v>네이버</x:v>
      </x:c>
      <x:c r="D103" s="84" t="e">
        <x:f>IF(F103&lt;&gt;"",HYPERLINK(F103,"거리뷰 열기"),HYPERLINK(Q103,IF(C103="네이버","네이버 위치","카카오 위치")))</x:f>
        <x:v>HYPERLINK is not implemented. linkLocation=https://map.naver.com/p/entry/coordinates/3zfo04,2AEIZ4?c=15.00,0,0,0,dh, friendlyName=네이버 위치</x:v>
      </x:c>
      <x:c r="E103" s="239"/>
      <x:c r="F103" s="87"/>
      <x:c r="G103" s="83"/>
      <x:c r="H103" s="83"/>
      <x:c r="I103" s="93"/>
      <x:c r="J103" s="83"/>
      <x:c r="K103" s="83"/>
      <x:c r="L103" s="93"/>
      <x:c r="M103" s="82" t="str">
        <x:v>Y</x:v>
      </x:c>
      <x:c r="N103" s="89"/>
      <x:c r="O103" s="91" t="n">
        <x:v>37.3919801552276</x:v>
      </x:c>
      <x:c r="P103" s="91" t="n">
        <x:v>126.9237435785561</x:v>
      </x:c>
      <x:c r="Q103" s="81" t="str">
        <x:v>https://map.naver.com/p/entry/coordinates/3zfo04,2AEIZ4?c=15.00,0,0,0,dh</x:v>
      </x:c>
      <x:c r="R103" s="81"/>
      <x:c r="S103" s="81" t="str">
        <x:v>좌표 링크 추가 / 영상 미확정</x:v>
      </x:c>
    </x:row>
    <x:row r="104" ht="80" customHeight="1">
      <x:c r="A104" s="81" t="str">
        <x:v>CW25-A-K</x:v>
      </x:c>
      <x:c r="B104" s="81" t="str">
        <x:v>CW25-A</x:v>
      </x:c>
      <x:c r="C104" s="81" t="str">
        <x:v>카카오</x:v>
      </x:c>
      <x:c r="D104" s="84" t="e">
        <x:f>IF(F104&lt;&gt;"",HYPERLINK(F104,"거리뷰 열기"),HYPERLINK(Q104,IF(C104="네이버","네이버 위치","카카오 위치")))</x:f>
        <x:v>HYPERLINK is not implemented. linkLocation=https://map.kakao.com/?panoid=1202969684&amp;pan=326.9&amp;zoom=0&amp;map_type=TYPE_MAP&amp;map_attribute=ROADVIEW&amp;urlX=483142.0&amp;urlY=1081314.0, friendlyName=거리뷰 열기</x:v>
      </x:c>
      <x:c r="E104" s="239" t="n">
        <x:v>45978.49890046296</x:v>
      </x:c>
      <x:c r="F104" s="87" t="str">
        <x:v>https://map.kakao.com/?panoid=1202969684&amp;pan=326.9&amp;zoom=0&amp;map_type=TYPE_MAP&amp;map_attribute=ROADVIEW&amp;urlX=483142.0&amp;urlY=1081314.0</x:v>
      </x:c>
      <x:c r="G104" s="83"/>
      <x:c r="H104" s="83"/>
      <x:c r="I104" s="93"/>
      <x:c r="J104" s="83"/>
      <x:c r="K104" s="83"/>
      <x:c r="L104" s="93"/>
      <x:c r="M104" s="82" t="str">
        <x:v>Y</x:v>
      </x:c>
      <x:c r="N104" s="89" t="n">
        <x:v>12.07</x:v>
      </x:c>
      <x:c r="O104" s="91" t="n">
        <x:v>37.3919801552276</x:v>
      </x:c>
      <x:c r="P104" s="91" t="n">
        <x:v>126.9237435785561</x:v>
      </x:c>
      <x:c r="Q104" s="81" t="str">
        <x:v>https://map.kakao.com/link/roadview/37.3919802,126.9237436</x:v>
      </x:c>
      <x:c r="R104" s="81" t="str">
        <x:v>1202969684</x:v>
      </x:c>
      <x:c r="S104" s="81" t="str">
        <x:v>기존 파일의 촬영정보·URL</x:v>
      </x:c>
    </x:row>
    <x:row r="105" ht="32" customHeight="1">
      <x:c r="A105" s="82" t="str">
        <x:v>CW25-B-N</x:v>
      </x:c>
      <x:c r="B105" s="82" t="str">
        <x:v>CW25-B</x:v>
      </x:c>
      <x:c r="C105" s="82" t="str">
        <x:v>네이버</x:v>
      </x:c>
      <x:c r="D105" s="85" t="e">
        <x:f>IF(F105&lt;&gt;"",HYPERLINK(F105,"거리뷰 열기"),HYPERLINK(Q105,IF(C105="네이버","네이버 위치","카카오 위치")))</x:f>
        <x:v>HYPERLINK is not implemented. linkLocation=https://map.naver.com/p/entry/coordinates/3zfooQ,2AEJc5?c=15.00,0,0,0,dh, friendlyName=네이버 위치</x:v>
      </x:c>
      <x:c r="E105" s="239"/>
      <x:c r="F105" s="87"/>
      <x:c r="G105" s="83"/>
      <x:c r="H105" s="83"/>
      <x:c r="I105" s="93"/>
      <x:c r="J105" s="83"/>
      <x:c r="K105" s="83"/>
      <x:c r="L105" s="93"/>
      <x:c r="M105" s="82" t="str">
        <x:v>Y</x:v>
      </x:c>
      <x:c r="N105" s="90"/>
      <x:c r="O105" s="92" t="n">
        <x:v>37.3920609447724</x:v>
      </x:c>
      <x:c r="P105" s="92" t="n">
        <x:v>126.9238972214439</x:v>
      </x:c>
      <x:c r="Q105" s="82" t="str">
        <x:v>https://map.naver.com/p/entry/coordinates/3zfooQ,2AEJc5?c=15.00,0,0,0,dh</x:v>
      </x:c>
      <x:c r="R105" s="82"/>
      <x:c r="S105" s="82" t="str">
        <x:v>좌표 링크 추가 / 영상 미확정</x:v>
      </x:c>
    </x:row>
    <x:row r="106" ht="80" customHeight="1">
      <x:c r="A106" s="82" t="str">
        <x:v>CW25-B-K</x:v>
      </x:c>
      <x:c r="B106" s="82" t="str">
        <x:v>CW25-B</x:v>
      </x:c>
      <x:c r="C106" s="82" t="str">
        <x:v>카카오</x:v>
      </x:c>
      <x:c r="D106" s="85" t="e">
        <x:f>IF(F106&lt;&gt;"",HYPERLINK(F106,"거리뷰 열기"),HYPERLINK(Q106,IF(C106="네이버","네이버 위치","카카오 위치")))</x:f>
        <x:v>HYPERLINK is not implemented. linkLocation=https://map.kakao.com/?panoid=1202969684&amp;pan=326.9&amp;zoom=0&amp;map_type=TYPE_MAP&amp;map_attribute=ROADVIEW&amp;urlX=483142.0&amp;urlY=1081314.0, friendlyName=거리뷰 열기</x:v>
      </x:c>
      <x:c r="E106" s="239" t="n">
        <x:v>45978.49890046296</x:v>
      </x:c>
      <x:c r="F106" s="87" t="str">
        <x:v>https://map.kakao.com/?panoid=1202969684&amp;pan=326.9&amp;zoom=0&amp;map_type=TYPE_MAP&amp;map_attribute=ROADVIEW&amp;urlX=483142.0&amp;urlY=1081314.0</x:v>
      </x:c>
      <x:c r="G106" s="83"/>
      <x:c r="H106" s="83"/>
      <x:c r="I106" s="93"/>
      <x:c r="J106" s="83"/>
      <x:c r="K106" s="83"/>
      <x:c r="L106" s="93"/>
      <x:c r="M106" s="82" t="str">
        <x:v>Y</x:v>
      </x:c>
      <x:c r="N106" s="90" t="n">
        <x:v>4.37</x:v>
      </x:c>
      <x:c r="O106" s="92" t="n">
        <x:v>37.3920609447724</x:v>
      </x:c>
      <x:c r="P106" s="92" t="n">
        <x:v>126.9238972214439</x:v>
      </x:c>
      <x:c r="Q106" s="82" t="str">
        <x:v>https://map.kakao.com/link/roadview/37.3920609,126.9238972</x:v>
      </x:c>
      <x:c r="R106" s="82" t="str">
        <x:v>1202969684</x:v>
      </x:c>
      <x:c r="S106" s="82" t="str">
        <x:v>기존 파일의 촬영정보·URL</x:v>
      </x:c>
    </x:row>
    <x:row r="107" ht="32" customHeight="1">
      <x:c r="A107" s="81" t="str">
        <x:v>CW26-A-N</x:v>
      </x:c>
      <x:c r="B107" s="81" t="str">
        <x:v>CW26-A</x:v>
      </x:c>
      <x:c r="C107" s="81" t="str">
        <x:v>네이버</x:v>
      </x:c>
      <x:c r="D107" s="84" t="e">
        <x:f>IF(F107&lt;&gt;"",HYPERLINK(F107,"거리뷰 열기"),HYPERLINK(Q107,IF(C107="네이버","네이버 위치","카카오 위치")))</x:f>
        <x:v>HYPERLINK is not implemented. linkLocation=https://map.naver.com/p/entry/coordinates/3zfpBU,2AEHdX?c=15.00,0,0,0,dh, friendlyName=네이버 위치</x:v>
      </x:c>
      <x:c r="E107" s="239"/>
      <x:c r="F107" s="87"/>
      <x:c r="G107" s="83"/>
      <x:c r="H107" s="83"/>
      <x:c r="I107" s="93"/>
      <x:c r="J107" s="83"/>
      <x:c r="K107" s="83"/>
      <x:c r="L107" s="93"/>
      <x:c r="M107" s="82" t="str">
        <x:v>N</x:v>
      </x:c>
      <x:c r="N107" s="89"/>
      <x:c r="O107" s="91" t="n">
        <x:v>37.39130366285457</x:v>
      </x:c>
      <x:c r="P107" s="91" t="n">
        <x:v>126.9243625992532</x:v>
      </x:c>
      <x:c r="Q107" s="81" t="str">
        <x:v>https://map.naver.com/p/entry/coordinates/3zfpBU,2AEHdX?c=15.00,0,0,0,dh</x:v>
      </x:c>
      <x:c r="R107" s="81"/>
      <x:c r="S107" s="81" t="str">
        <x:v>좌표 링크 추가 / 영상 미확정</x:v>
      </x:c>
    </x:row>
    <x:row r="108" ht="80" customHeight="1">
      <x:c r="A108" s="81" t="str">
        <x:v>CW26-A-K</x:v>
      </x:c>
      <x:c r="B108" s="81" t="str">
        <x:v>CW26-A</x:v>
      </x:c>
      <x:c r="C108" s="81" t="str">
        <x:v>카카오</x:v>
      </x:c>
      <x:c r="D108" s="84" t="e">
        <x:f>IF(F108&lt;&gt;"",HYPERLINK(F108,"거리뷰 열기"),HYPERLINK(Q108,IF(C108="네이버","네이버 위치","카카오 위치")))</x:f>
        <x:v>HYPERLINK is not implemented. linkLocation=https://map.kakao.com/?panoid=1202969675&amp;pan=326.8&amp;zoom=0&amp;map_type=TYPE_MAP&amp;map_attribute=ROADVIEW&amp;urlX=483266.0&amp;urlY=1081128.0, friendlyName=거리뷰 열기</x:v>
      </x:c>
      <x:c r="E108" s="239" t="n">
        <x:v>45978.498344907406</x:v>
      </x:c>
      <x:c r="F108" s="87" t="str">
        <x:v>https://map.kakao.com/?panoid=1202969675&amp;pan=326.8&amp;zoom=0&amp;map_type=TYPE_MAP&amp;map_attribute=ROADVIEW&amp;urlX=483266.0&amp;urlY=1081128.0</x:v>
      </x:c>
      <x:c r="G108" s="83"/>
      <x:c r="H108" s="83"/>
      <x:c r="I108" s="93"/>
      <x:c r="J108" s="83"/>
      <x:c r="K108" s="83"/>
      <x:c r="L108" s="93"/>
      <x:c r="M108" s="82" t="str">
        <x:v>N</x:v>
      </x:c>
      <x:c r="N108" s="89" t="n">
        <x:v>9.26</x:v>
      </x:c>
      <x:c r="O108" s="91" t="n">
        <x:v>37.39130366285457</x:v>
      </x:c>
      <x:c r="P108" s="91" t="n">
        <x:v>126.9243625992532</x:v>
      </x:c>
      <x:c r="Q108" s="81" t="str">
        <x:v>https://map.kakao.com/link/roadview/37.3913037,126.9243626</x:v>
      </x:c>
      <x:c r="R108" s="81" t="str">
        <x:v>1202969675</x:v>
      </x:c>
      <x:c r="S108" s="81" t="str">
        <x:v>기존 파일의 촬영정보·URL</x:v>
      </x:c>
    </x:row>
    <x:row r="109" ht="32" customHeight="1">
      <x:c r="A109" s="82" t="str">
        <x:v>CW26-B-N</x:v>
      </x:c>
      <x:c r="B109" s="82" t="str">
        <x:v>CW26-B</x:v>
      </x:c>
      <x:c r="C109" s="82" t="str">
        <x:v>네이버</x:v>
      </x:c>
      <x:c r="D109" s="85" t="e">
        <x:f>IF(F109&lt;&gt;"",HYPERLINK(F109,"거리뷰 열기"),HYPERLINK(Q109,IF(C109="네이버","네이버 위치","카카오 위치")))</x:f>
        <x:v>HYPERLINK is not implemented. linkLocation=https://map.naver.com/p/entry/coordinates/3zfpSY,2AEHmw?c=15.00,0,0,0,dh, friendlyName=네이버 위치</x:v>
      </x:c>
      <x:c r="E109" s="239"/>
      <x:c r="F109" s="87"/>
      <x:c r="G109" s="83"/>
      <x:c r="H109" s="83"/>
      <x:c r="I109" s="93"/>
      <x:c r="J109" s="83"/>
      <x:c r="K109" s="83"/>
      <x:c r="L109" s="93"/>
      <x:c r="M109" s="82" t="str">
        <x:v>N</x:v>
      </x:c>
      <x:c r="N109" s="90"/>
      <x:c r="O109" s="92" t="n">
        <x:v>37.39135683714544</x:v>
      </x:c>
      <x:c r="P109" s="92" t="n">
        <x:v>126.92446840074679</x:v>
      </x:c>
      <x:c r="Q109" s="82" t="str">
        <x:v>https://map.naver.com/p/entry/coordinates/3zfpSY,2AEHmw?c=15.00,0,0,0,dh</x:v>
      </x:c>
      <x:c r="R109" s="82"/>
      <x:c r="S109" s="82" t="str">
        <x:v>좌표 링크 추가 / 영상 미확정</x:v>
      </x:c>
    </x:row>
    <x:row r="110" ht="80" customHeight="1">
      <x:c r="A110" s="82" t="str">
        <x:v>CW26-B-K</x:v>
      </x:c>
      <x:c r="B110" s="82" t="str">
        <x:v>CW26-B</x:v>
      </x:c>
      <x:c r="C110" s="82" t="str">
        <x:v>카카오</x:v>
      </x:c>
      <x:c r="D110" s="85" t="e">
        <x:f>IF(F110&lt;&gt;"",HYPERLINK(F110,"거리뷰 열기"),HYPERLINK(Q110,IF(C110="네이버","네이버 위치","카카오 위치")))</x:f>
        <x:v>HYPERLINK is not implemented. linkLocation=https://map.kakao.com/?panoid=1202969675&amp;pan=326.8&amp;zoom=0&amp;map_type=TYPE_MAP&amp;map_attribute=ROADVIEW&amp;urlX=483266.0&amp;urlY=1081128.0, friendlyName=거리뷰 열기</x:v>
      </x:c>
      <x:c r="E110" s="239" t="n">
        <x:v>45978.498344907406</x:v>
      </x:c>
      <x:c r="F110" s="87" t="str">
        <x:v>https://map.kakao.com/?panoid=1202969675&amp;pan=326.8&amp;zoom=0&amp;map_type=TYPE_MAP&amp;map_attribute=ROADVIEW&amp;urlX=483266.0&amp;urlY=1081128.0</x:v>
      </x:c>
      <x:c r="G110" s="83"/>
      <x:c r="H110" s="83"/>
      <x:c r="I110" s="93"/>
      <x:c r="J110" s="83"/>
      <x:c r="K110" s="83"/>
      <x:c r="L110" s="93"/>
      <x:c r="M110" s="82" t="str">
        <x:v>N</x:v>
      </x:c>
      <x:c r="N110" s="90" t="n">
        <x:v>5.5</x:v>
      </x:c>
      <x:c r="O110" s="92" t="n">
        <x:v>37.39135683714544</x:v>
      </x:c>
      <x:c r="P110" s="92" t="n">
        <x:v>126.92446840074679</x:v>
      </x:c>
      <x:c r="Q110" s="82" t="str">
        <x:v>https://map.kakao.com/link/roadview/37.3913568,126.9244684</x:v>
      </x:c>
      <x:c r="R110" s="82" t="str">
        <x:v>1202969675</x:v>
      </x:c>
      <x:c r="S110" s="82" t="str">
        <x:v>기존 파일의 촬영정보·URL</x:v>
      </x:c>
    </x:row>
    <x:row r="111" ht="32" customHeight="1">
      <x:c r="A111" s="81" t="str">
        <x:v>CW27-A-N</x:v>
      </x:c>
      <x:c r="B111" s="81" t="str">
        <x:v>CW27-A</x:v>
      </x:c>
      <x:c r="C111" s="81" t="str">
        <x:v>네이버</x:v>
      </x:c>
      <x:c r="D111" s="84" t="e">
        <x:f>IF(F111&lt;&gt;"",HYPERLINK(F111,"거리뷰 열기"),HYPERLINK(Q111,IF(C111="네이버","네이버 위치","카카오 위치")))</x:f>
        <x:v>HYPERLINK is not implemented. linkLocation=https://map.naver.com/p/entry/coordinates/3zfrpI,2AEF1m?c=15.00,0,0,0,dh, friendlyName=네이버 위치</x:v>
      </x:c>
      <x:c r="E111" s="239"/>
      <x:c r="F111" s="87"/>
      <x:c r="G111" s="83"/>
      <x:c r="H111" s="83"/>
      <x:c r="I111" s="93"/>
      <x:c r="J111" s="83"/>
      <x:c r="K111" s="83"/>
      <x:c r="L111" s="93"/>
      <x:c r="M111" s="82" t="str">
        <x:v>Y</x:v>
      </x:c>
      <x:c r="N111" s="89"/>
      <x:c r="O111" s="91" t="n">
        <x:v>37.39045684884471</x:v>
      </x:c>
      <x:c r="P111" s="91" t="n">
        <x:v>126.92505581204853</x:v>
      </x:c>
      <x:c r="Q111" s="81" t="str">
        <x:v>https://map.naver.com/p/entry/coordinates/3zfrpI,2AEF1m?c=15.00,0,0,0,dh</x:v>
      </x:c>
      <x:c r="R111" s="81"/>
      <x:c r="S111" s="81" t="str">
        <x:v>좌표 링크 추가 / 영상 미확정</x:v>
      </x:c>
    </x:row>
    <x:row r="112" ht="80" customHeight="1">
      <x:c r="A112" s="81" t="str">
        <x:v>CW27-A-K</x:v>
      </x:c>
      <x:c r="B112" s="81" t="str">
        <x:v>CW27-A</x:v>
      </x:c>
      <x:c r="C112" s="81" t="str">
        <x:v>카카오</x:v>
      </x:c>
      <x:c r="D112" s="84" t="e">
        <x:f>IF(F112&lt;&gt;"",HYPERLINK(F112,"거리뷰 열기"),HYPERLINK(Q112,IF(C112="네이버","네이버 위치","카카오 위치")))</x:f>
        <x:v>HYPERLINK is not implemented. linkLocation=https://map.kakao.com/?panoid=1202969663&amp;pan=328.0&amp;zoom=0&amp;map_type=TYPE_MAP&amp;map_attribute=ROADVIEW&amp;urlX=483430.0&amp;urlY=1080878.0, friendlyName=거리뷰 열기</x:v>
      </x:c>
      <x:c r="E112" s="239" t="n">
        <x:v>45978.49820601852</x:v>
      </x:c>
      <x:c r="F112" s="87" t="str">
        <x:v>https://map.kakao.com/?panoid=1202969663&amp;pan=328.0&amp;zoom=0&amp;map_type=TYPE_MAP&amp;map_attribute=ROADVIEW&amp;urlX=483430.0&amp;urlY=1080878.0</x:v>
      </x:c>
      <x:c r="G112" s="83"/>
      <x:c r="H112" s="83"/>
      <x:c r="I112" s="93"/>
      <x:c r="J112" s="83"/>
      <x:c r="K112" s="83"/>
      <x:c r="L112" s="93"/>
      <x:c r="M112" s="82" t="str">
        <x:v>Y</x:v>
      </x:c>
      <x:c r="N112" s="89" t="n">
        <x:v>8.9</x:v>
      </x:c>
      <x:c r="O112" s="91" t="n">
        <x:v>37.39045684884471</x:v>
      </x:c>
      <x:c r="P112" s="91" t="n">
        <x:v>126.92505581204853</x:v>
      </x:c>
      <x:c r="Q112" s="81" t="str">
        <x:v>https://map.kakao.com/link/roadview/37.3904568,126.9250558</x:v>
      </x:c>
      <x:c r="R112" s="81" t="str">
        <x:v>1202969663</x:v>
      </x:c>
      <x:c r="S112" s="81" t="str">
        <x:v>기존 파일의 촬영정보·URL</x:v>
      </x:c>
    </x:row>
    <x:row r="113" ht="32" customHeight="1">
      <x:c r="A113" s="82" t="str">
        <x:v>CW27-B-N</x:v>
      </x:c>
      <x:c r="B113" s="82" t="str">
        <x:v>CW27-B</x:v>
      </x:c>
      <x:c r="C113" s="82" t="str">
        <x:v>네이버</x:v>
      </x:c>
      <x:c r="D113" s="85" t="e">
        <x:f>IF(F113&lt;&gt;"",HYPERLINK(F113,"거리뷰 열기"),HYPERLINK(Q113,IF(C113="네이버","네이버 위치","카카오 위치")))</x:f>
        <x:v>HYPERLINK is not implemented. linkLocation=https://map.naver.com/p/entry/coordinates/3zfrKy,2AEFcx?c=15.00,0,0,0,dh, friendlyName=네이버 위치</x:v>
      </x:c>
      <x:c r="E113" s="239"/>
      <x:c r="F113" s="87"/>
      <x:c r="G113" s="83"/>
      <x:c r="H113" s="83"/>
      <x:c r="I113" s="93"/>
      <x:c r="J113" s="83"/>
      <x:c r="K113" s="83"/>
      <x:c r="L113" s="93"/>
      <x:c r="M113" s="82" t="str">
        <x:v>Y</x:v>
      </x:c>
      <x:c r="N113" s="90"/>
      <x:c r="O113" s="92" t="n">
        <x:v>37.390526071155286</x:v>
      </x:c>
      <x:c r="P113" s="92" t="n">
        <x:v>126.92518498795148</x:v>
      </x:c>
      <x:c r="Q113" s="82" t="str">
        <x:v>https://map.naver.com/p/entry/coordinates/3zfrKy,2AEFcx?c=15.00,0,0,0,dh</x:v>
      </x:c>
      <x:c r="R113" s="82"/>
      <x:c r="S113" s="82" t="str">
        <x:v>좌표 링크 추가 / 영상 미확정</x:v>
      </x:c>
    </x:row>
    <x:row r="114" ht="80" customHeight="1">
      <x:c r="A114" s="82" t="str">
        <x:v>CW27-B-K</x:v>
      </x:c>
      <x:c r="B114" s="82" t="str">
        <x:v>CW27-B</x:v>
      </x:c>
      <x:c r="C114" s="82" t="str">
        <x:v>카카오</x:v>
      </x:c>
      <x:c r="D114" s="85" t="e">
        <x:f>IF(F114&lt;&gt;"",HYPERLINK(F114,"거리뷰 열기"),HYPERLINK(Q114,IF(C114="네이버","네이버 위치","카카오 위치")))</x:f>
        <x:v>HYPERLINK is not implemented. linkLocation=https://map.kakao.com/?panoid=1202969663&amp;pan=328.0&amp;zoom=0&amp;map_type=TYPE_MAP&amp;map_attribute=ROADVIEW&amp;urlX=483430.0&amp;urlY=1080878.0, friendlyName=거리뷰 열기</x:v>
      </x:c>
      <x:c r="E114" s="239" t="n">
        <x:v>45978.49820601852</x:v>
      </x:c>
      <x:c r="F114" s="87" t="str">
        <x:v>https://map.kakao.com/?panoid=1202969663&amp;pan=328.0&amp;zoom=0&amp;map_type=TYPE_MAP&amp;map_attribute=ROADVIEW&amp;urlX=483430.0&amp;urlY=1080878.0</x:v>
      </x:c>
      <x:c r="G114" s="83"/>
      <x:c r="H114" s="83"/>
      <x:c r="I114" s="93"/>
      <x:c r="J114" s="83"/>
      <x:c r="K114" s="83"/>
      <x:c r="L114" s="93"/>
      <x:c r="M114" s="82" t="str">
        <x:v>Y</x:v>
      </x:c>
      <x:c r="N114" s="90" t="n">
        <x:v>6.16</x:v>
      </x:c>
      <x:c r="O114" s="92" t="n">
        <x:v>37.390526071155286</x:v>
      </x:c>
      <x:c r="P114" s="92" t="n">
        <x:v>126.92518498795148</x:v>
      </x:c>
      <x:c r="Q114" s="82" t="str">
        <x:v>https://map.kakao.com/link/roadview/37.3905261,126.9251850</x:v>
      </x:c>
      <x:c r="R114" s="82" t="str">
        <x:v>1202969663</x:v>
      </x:c>
      <x:c r="S114" s="82" t="str">
        <x:v>기존 파일의 촬영정보·URL</x:v>
      </x:c>
    </x:row>
    <x:row r="115" ht="32" customHeight="1">
      <x:c r="A115" s="81" t="str">
        <x:v>CW28-A-N</x:v>
      </x:c>
      <x:c r="B115" s="81" t="str">
        <x:v>CW28-A</x:v>
      </x:c>
      <x:c r="C115" s="81" t="str">
        <x:v>네이버</x:v>
      </x:c>
      <x:c r="D115" s="84" t="e">
        <x:f>IF(F115&lt;&gt;"",HYPERLINK(F115,"거리뷰 열기"),HYPERLINK(Q115,IF(C115="네이버","네이버 위치","카카오 위치")))</x:f>
        <x:v>HYPERLINK is not implemented. linkLocation=https://map.naver.com/p/entry/coordinates/3zfsaA,2AEESH?c=15.00,0,0,0,dh, friendlyName=네이버 위치</x:v>
      </x:c>
      <x:c r="E115" s="239"/>
      <x:c r="F115" s="87"/>
      <x:c r="G115" s="83"/>
      <x:c r="H115" s="83"/>
      <x:c r="I115" s="93"/>
      <x:c r="J115" s="83"/>
      <x:c r="K115" s="83"/>
      <x:c r="L115" s="93"/>
      <x:c r="M115" s="82" t="str">
        <x:v>N</x:v>
      </x:c>
      <x:c r="N115" s="89"/>
      <x:c r="O115" s="91" t="n">
        <x:v>37.39040313736469</x:v>
      </x:c>
      <x:c r="P115" s="91" t="n">
        <x:v>126.92534644316888</x:v>
      </x:c>
      <x:c r="Q115" s="81" t="str">
        <x:v>https://map.naver.com/p/entry/coordinates/3zfsaA,2AEESH?c=15.00,0,0,0,dh</x:v>
      </x:c>
      <x:c r="R115" s="81"/>
      <x:c r="S115" s="81" t="str">
        <x:v>좌표 링크 추가 / 영상 미확정</x:v>
      </x:c>
    </x:row>
    <x:row r="116" ht="80" customHeight="1">
      <x:c r="A116" s="81" t="str">
        <x:v>CW28-A-K</x:v>
      </x:c>
      <x:c r="B116" s="81" t="str">
        <x:v>CW28-A</x:v>
      </x:c>
      <x:c r="C116" s="81" t="str">
        <x:v>카카오</x:v>
      </x:c>
      <x:c r="D116" s="84" t="e">
        <x:f>IF(F116&lt;&gt;"",HYPERLINK(F116,"거리뷰 열기"),HYPERLINK(Q116,IF(C116="네이버","네이버 위치","카카오 위치")))</x:f>
        <x:v>HYPERLINK is not implemented. linkLocation=https://map.kakao.com/?panoid=1202970288&amp;pan=58.4&amp;zoom=0&amp;map_type=TYPE_MAP&amp;map_attribute=ROADVIEW&amp;urlX=483475.0&amp;urlY=1080867.0, friendlyName=거리뷰 열기</x:v>
      </x:c>
      <x:c r="E116" s="239" t="n">
        <x:v>45978.56233796296</x:v>
      </x:c>
      <x:c r="F116" s="87" t="str">
        <x:v>https://map.kakao.com/?panoid=1202970288&amp;pan=58.4&amp;zoom=0&amp;map_type=TYPE_MAP&amp;map_attribute=ROADVIEW&amp;urlX=483475.0&amp;urlY=1080867.0</x:v>
      </x:c>
      <x:c r="G116" s="83"/>
      <x:c r="H116" s="83"/>
      <x:c r="I116" s="93"/>
      <x:c r="J116" s="83"/>
      <x:c r="K116" s="83"/>
      <x:c r="L116" s="93"/>
      <x:c r="M116" s="82" t="str">
        <x:v>N</x:v>
      </x:c>
      <x:c r="N116" s="89" t="n">
        <x:v>3.89</x:v>
      </x:c>
      <x:c r="O116" s="91" t="n">
        <x:v>37.39040313736469</x:v>
      </x:c>
      <x:c r="P116" s="91" t="n">
        <x:v>126.92534644316888</x:v>
      </x:c>
      <x:c r="Q116" s="81" t="str">
        <x:v>https://map.kakao.com/link/roadview/37.3904031,126.9253464</x:v>
      </x:c>
      <x:c r="R116" s="81" t="str">
        <x:v>1202970288</x:v>
      </x:c>
      <x:c r="S116" s="81" t="str">
        <x:v>기존 파일의 촬영정보·URL</x:v>
      </x:c>
    </x:row>
    <x:row r="117" ht="32" customHeight="1">
      <x:c r="A117" s="82" t="str">
        <x:v>CW28-B-N</x:v>
      </x:c>
      <x:c r="B117" s="82" t="str">
        <x:v>CW28-B</x:v>
      </x:c>
      <x:c r="C117" s="82" t="str">
        <x:v>네이버</x:v>
      </x:c>
      <x:c r="D117" s="85" t="e">
        <x:f>IF(F117&lt;&gt;"",HYPERLINK(F117,"거리뷰 열기"),HYPERLINK(Q117,IF(C117="네이버","네이버 위치","카카오 위치")))</x:f>
        <x:v>HYPERLINK is not implemented. linkLocation=https://map.naver.com/p/entry/coordinates/3zfrWY,2AEF9l?c=15.00,0,0,0,dh, friendlyName=네이버 위치</x:v>
      </x:c>
      <x:c r="E117" s="239"/>
      <x:c r="F117" s="87"/>
      <x:c r="G117" s="83"/>
      <x:c r="H117" s="83"/>
      <x:c r="I117" s="93"/>
      <x:c r="J117" s="83"/>
      <x:c r="K117" s="83"/>
      <x:c r="L117" s="93"/>
      <x:c r="M117" s="82" t="str">
        <x:v>N</x:v>
      </x:c>
      <x:c r="N117" s="90"/>
      <x:c r="O117" s="92" t="n">
        <x:v>37.390506262635306</x:v>
      </x:c>
      <x:c r="P117" s="92" t="n">
        <x:v>126.92526195683112</x:v>
      </x:c>
      <x:c r="Q117" s="82" t="str">
        <x:v>https://map.naver.com/p/entry/coordinates/3zfrWY,2AEF9l?c=15.00,0,0,0,dh</x:v>
      </x:c>
      <x:c r="R117" s="82"/>
      <x:c r="S117" s="82" t="str">
        <x:v>좌표 링크 추가 / 영상 미확정</x:v>
      </x:c>
    </x:row>
    <x:row r="118" ht="80" customHeight="1">
      <x:c r="A118" s="82" t="str">
        <x:v>CW28-B-K</x:v>
      </x:c>
      <x:c r="B118" s="82" t="str">
        <x:v>CW28-B</x:v>
      </x:c>
      <x:c r="C118" s="82" t="str">
        <x:v>카카오</x:v>
      </x:c>
      <x:c r="D118" s="85" t="e">
        <x:f>IF(F118&lt;&gt;"",HYPERLINK(F118,"거리뷰 열기"),HYPERLINK(Q118,IF(C118="네이버","네이버 위치","카카오 위치")))</x:f>
        <x:v>HYPERLINK is not implemented. linkLocation=https://map.kakao.com/?panoid=1202969663&amp;pan=328.0&amp;zoom=0&amp;map_type=TYPE_MAP&amp;map_attribute=ROADVIEW&amp;urlX=483430.0&amp;urlY=1080878.0, friendlyName=거리뷰 열기</x:v>
      </x:c>
      <x:c r="E118" s="239" t="n">
        <x:v>45978.49820601852</x:v>
      </x:c>
      <x:c r="F118" s="87" t="str">
        <x:v>https://map.kakao.com/?panoid=1202969663&amp;pan=328.0&amp;zoom=0&amp;map_type=TYPE_MAP&amp;map_attribute=ROADVIEW&amp;urlX=483430.0&amp;urlY=1080878.0</x:v>
      </x:c>
      <x:c r="G118" s="83"/>
      <x:c r="H118" s="83"/>
      <x:c r="I118" s="93"/>
      <x:c r="J118" s="83"/>
      <x:c r="K118" s="83"/>
      <x:c r="L118" s="93"/>
      <x:c r="M118" s="82" t="str">
        <x:v>N</x:v>
      </x:c>
      <x:c r="N118" s="90" t="n">
        <x:v>10.14</x:v>
      </x:c>
      <x:c r="O118" s="92" t="n">
        <x:v>37.390506262635306</x:v>
      </x:c>
      <x:c r="P118" s="92" t="n">
        <x:v>126.92526195683112</x:v>
      </x:c>
      <x:c r="Q118" s="82" t="str">
        <x:v>https://map.kakao.com/link/roadview/37.3905063,126.9252620</x:v>
      </x:c>
      <x:c r="R118" s="82" t="str">
        <x:v>1202969663</x:v>
      </x:c>
      <x:c r="S118" s="82" t="str">
        <x:v>기존 파일의 촬영정보·URL</x:v>
      </x:c>
    </x:row>
    <x:row r="119" ht="32" customHeight="1">
      <x:c r="A119" s="81" t="str">
        <x:v>CW29-A-N</x:v>
      </x:c>
      <x:c r="B119" s="81" t="str">
        <x:v>CW29-A</x:v>
      </x:c>
      <x:c r="C119" s="81" t="str">
        <x:v>네이버</x:v>
      </x:c>
      <x:c r="D119" s="84" t="e">
        <x:f>IF(F119&lt;&gt;"",HYPERLINK(F119,"거리뷰 열기"),HYPERLINK(Q119,IF(C119="네이버","네이버 위치","카카오 위치")))</x:f>
        <x:v>HYPERLINK is not implemented. linkLocation=https://map.naver.com/p/entry/coordinates/3zfrv1,2AEEDH?c=15.00,0,0,0,dh, friendlyName=네이버 위치</x:v>
      </x:c>
      <x:c r="E119" s="239"/>
      <x:c r="F119" s="87"/>
      <x:c r="G119" s="83"/>
      <x:c r="H119" s="83"/>
      <x:c r="I119" s="93"/>
      <x:c r="J119" s="83"/>
      <x:c r="K119" s="83"/>
      <x:c r="L119" s="93"/>
      <x:c r="M119" s="82" t="str">
        <x:v>Y</x:v>
      </x:c>
      <x:c r="N119" s="89"/>
      <x:c r="O119" s="91" t="n">
        <x:v>37.39031011408944</x:v>
      </x:c>
      <x:c r="P119" s="91" t="n">
        <x:v>126.92508866166824</x:v>
      </x:c>
      <x:c r="Q119" s="81" t="str">
        <x:v>https://map.naver.com/p/entry/coordinates/3zfrv1,2AEEDH?c=15.00,0,0,0,dh</x:v>
      </x:c>
      <x:c r="R119" s="81"/>
      <x:c r="S119" s="81" t="str">
        <x:v>좌표 링크 추가 / 영상 미확정</x:v>
      </x:c>
    </x:row>
    <x:row r="120" ht="80" customHeight="1">
      <x:c r="A120" s="81" t="str">
        <x:v>CW29-A-K</x:v>
      </x:c>
      <x:c r="B120" s="81" t="str">
        <x:v>CW29-A</x:v>
      </x:c>
      <x:c r="C120" s="81" t="str">
        <x:v>카카오</x:v>
      </x:c>
      <x:c r="D120" s="84" t="e">
        <x:f>IF(F120&lt;&gt;"",HYPERLINK(F120,"거리뷰 열기"),HYPERLINK(Q120,IF(C120="네이버","네이버 위치","카카오 위치")))</x:f>
        <x:v>HYPERLINK is not implemented. linkLocation=https://map.kakao.com/?panoid=1202970285&amp;pan=67.5&amp;zoom=0&amp;map_type=TYPE_MAP&amp;map_attribute=ROADVIEW&amp;urlX=483408.0&amp;urlY=1080836.0, friendlyName=거리뷰 열기</x:v>
      </x:c>
      <x:c r="E120" s="239" t="n">
        <x:v>45978.56230324074</x:v>
      </x:c>
      <x:c r="F120" s="87" t="str">
        <x:v>https://map.kakao.com/?panoid=1202970285&amp;pan=67.5&amp;zoom=0&amp;map_type=TYPE_MAP&amp;map_attribute=ROADVIEW&amp;urlX=483408.0&amp;urlY=1080836.0</x:v>
      </x:c>
      <x:c r="G120" s="83"/>
      <x:c r="H120" s="83"/>
      <x:c r="I120" s="93"/>
      <x:c r="J120" s="83"/>
      <x:c r="K120" s="83"/>
      <x:c r="L120" s="93"/>
      <x:c r="M120" s="82" t="str">
        <x:v>Y</x:v>
      </x:c>
      <x:c r="N120" s="89" t="n">
        <x:v>3.48</x:v>
      </x:c>
      <x:c r="O120" s="91" t="n">
        <x:v>37.39031011408944</x:v>
      </x:c>
      <x:c r="P120" s="91" t="n">
        <x:v>126.92508866166824</x:v>
      </x:c>
      <x:c r="Q120" s="81" t="str">
        <x:v>https://map.kakao.com/link/roadview/37.3903101,126.9250887</x:v>
      </x:c>
      <x:c r="R120" s="81" t="str">
        <x:v>1202970285</x:v>
      </x:c>
      <x:c r="S120" s="81" t="str">
        <x:v>기존 파일의 촬영정보·URL</x:v>
      </x:c>
    </x:row>
    <x:row r="121" ht="32" customHeight="1">
      <x:c r="A121" s="82" t="str">
        <x:v>CW29-B-N</x:v>
      </x:c>
      <x:c r="B121" s="82" t="str">
        <x:v>CW29-B</x:v>
      </x:c>
      <x:c r="C121" s="82" t="str">
        <x:v>네이버</x:v>
      </x:c>
      <x:c r="D121" s="85" t="e">
        <x:f>IF(F121&lt;&gt;"",HYPERLINK(F121,"거리뷰 열기"),HYPERLINK(Q121,IF(C121="네이버","네이버 위치","카카오 위치")))</x:f>
        <x:v>HYPERLINK is not implemented. linkLocation=https://map.naver.com/p/entry/coordinates/3zfrnx,2AEESI?c=15.00,0,0,0,dh, friendlyName=네이버 위치</x:v>
      </x:c>
      <x:c r="E121" s="239"/>
      <x:c r="F121" s="87"/>
      <x:c r="G121" s="83"/>
      <x:c r="H121" s="83"/>
      <x:c r="I121" s="93"/>
      <x:c r="J121" s="83"/>
      <x:c r="K121" s="83"/>
      <x:c r="L121" s="93"/>
      <x:c r="M121" s="82" t="str">
        <x:v>Y</x:v>
      </x:c>
      <x:c r="N121" s="90"/>
      <x:c r="O121" s="92" t="n">
        <x:v>37.390403245910555</x:v>
      </x:c>
      <x:c r="P121" s="92" t="n">
        <x:v>126.92504233833175</x:v>
      </x:c>
      <x:c r="Q121" s="82" t="str">
        <x:v>https://map.naver.com/p/entry/coordinates/3zfrnx,2AEESI?c=15.00,0,0,0,dh</x:v>
      </x:c>
      <x:c r="R121" s="82"/>
      <x:c r="S121" s="82" t="str">
        <x:v>좌표 링크 추가 / 영상 미확정</x:v>
      </x:c>
    </x:row>
    <x:row r="122" ht="80" customHeight="1">
      <x:c r="A122" s="82" t="str">
        <x:v>CW29-B-K</x:v>
      </x:c>
      <x:c r="B122" s="82" t="str">
        <x:v>CW29-B</x:v>
      </x:c>
      <x:c r="C122" s="82" t="str">
        <x:v>카카오</x:v>
      </x:c>
      <x:c r="D122" s="85" t="e">
        <x:f>IF(F122&lt;&gt;"",HYPERLINK(F122,"거리뷰 열기"),HYPERLINK(Q122,IF(C122="네이버","네이버 위치","카카오 위치")))</x:f>
        <x:v>HYPERLINK is not implemented. linkLocation=https://map.kakao.com/?panoid=1202970285&amp;pan=67.5&amp;zoom=0&amp;map_type=TYPE_MAP&amp;map_attribute=ROADVIEW&amp;urlX=483408.0&amp;urlY=1080836.0, friendlyName=거리뷰 열기</x:v>
      </x:c>
      <x:c r="E122" s="239" t="n">
        <x:v>45978.56230324074</x:v>
      </x:c>
      <x:c r="F122" s="87" t="str">
        <x:v>https://map.kakao.com/?panoid=1202970285&amp;pan=67.5&amp;zoom=0&amp;map_type=TYPE_MAP&amp;map_attribute=ROADVIEW&amp;urlX=483408.0&amp;urlY=1080836.0</x:v>
      </x:c>
      <x:c r="G122" s="83"/>
      <x:c r="H122" s="83"/>
      <x:c r="I122" s="93"/>
      <x:c r="J122" s="83"/>
      <x:c r="K122" s="83"/>
      <x:c r="L122" s="93"/>
      <x:c r="M122" s="82" t="str">
        <x:v>Y</x:v>
      </x:c>
      <x:c r="N122" s="90" t="n">
        <x:v>8.73</x:v>
      </x:c>
      <x:c r="O122" s="92" t="n">
        <x:v>37.390403245910555</x:v>
      </x:c>
      <x:c r="P122" s="92" t="n">
        <x:v>126.92504233833175</x:v>
      </x:c>
      <x:c r="Q122" s="82" t="str">
        <x:v>https://map.kakao.com/link/roadview/37.3904032,126.9250423</x:v>
      </x:c>
      <x:c r="R122" s="82" t="str">
        <x:v>1202970285</x:v>
      </x:c>
      <x:c r="S122" s="82" t="str">
        <x:v>기존 파일의 촬영정보·URL</x:v>
      </x:c>
    </x:row>
    <x:row r="123" ht="32" customHeight="1">
      <x:c r="A123" s="81" t="str">
        <x:v>CW30-A-N</x:v>
      </x:c>
      <x:c r="B123" s="81" t="str">
        <x:v>CW30-A</x:v>
      </x:c>
      <x:c r="C123" s="81" t="str">
        <x:v>네이버</x:v>
      </x:c>
      <x:c r="D123" s="84" t="e">
        <x:f>IF(F123&lt;&gt;"",HYPERLINK(F123,"거리뷰 열기"),HYPERLINK(Q123,IF(C123="네이버","네이버 위치","카카오 위치")))</x:f>
        <x:v>HYPERLINK is not implemented. linkLocation=https://map.naver.com/p/entry/coordinates/3zfoUG,2AEEa2?c=15.00,0,0,0,dh, friendlyName=네이버 위치</x:v>
      </x:c>
      <x:c r="E123" s="239"/>
      <x:c r="F123" s="87"/>
      <x:c r="G123" s="83"/>
      <x:c r="H123" s="83"/>
      <x:c r="I123" s="93"/>
      <x:c r="J123" s="83"/>
      <x:c r="K123" s="83"/>
      <x:c r="L123" s="93"/>
      <x:c r="M123" s="82" t="str">
        <x:v>N</x:v>
      </x:c>
      <x:c r="N123" s="89"/>
      <x:c r="O123" s="91" t="n">
        <x:v>37.39012616733453</x:v>
      </x:c>
      <x:c r="P123" s="91" t="n">
        <x:v>126.92409457142617</x:v>
      </x:c>
      <x:c r="Q123" s="81" t="str">
        <x:v>https://map.naver.com/p/entry/coordinates/3zfoUG,2AEEa2?c=15.00,0,0,0,dh</x:v>
      </x:c>
      <x:c r="R123" s="81"/>
      <x:c r="S123" s="81" t="str">
        <x:v>좌표 링크 추가 / 영상 미확정</x:v>
      </x:c>
    </x:row>
    <x:row r="124" ht="80" customHeight="1">
      <x:c r="A124" s="81" t="str">
        <x:v>CW30-A-K</x:v>
      </x:c>
      <x:c r="B124" s="81" t="str">
        <x:v>CW30-A</x:v>
      </x:c>
      <x:c r="C124" s="81" t="str">
        <x:v>카카오</x:v>
      </x:c>
      <x:c r="D124" s="84" t="e">
        <x:f>IF(F124&lt;&gt;"",HYPERLINK(F124,"거리뷰 열기"),HYPERLINK(Q124,IF(C124="네이버","네이버 위치","카카오 위치")))</x:f>
        <x:v>HYPERLINK is not implemented. linkLocation=https://map.kakao.com/?panoid=1202970276&amp;pan=110.3&amp;zoom=0&amp;map_type=TYPE_MAP&amp;map_attribute=ROADVIEW&amp;urlX=483198.0&amp;urlY=1080769.0, friendlyName=거리뷰 열기</x:v>
      </x:c>
      <x:c r="E124" s="239" t="n">
        <x:v>45978.56217592592</x:v>
      </x:c>
      <x:c r="F124" s="87" t="str">
        <x:v>https://map.kakao.com/?panoid=1202970276&amp;pan=110.3&amp;zoom=0&amp;map_type=TYPE_MAP&amp;map_attribute=ROADVIEW&amp;urlX=483198.0&amp;urlY=1080769.0</x:v>
      </x:c>
      <x:c r="G124" s="83"/>
      <x:c r="H124" s="83"/>
      <x:c r="I124" s="93"/>
      <x:c r="J124" s="83"/>
      <x:c r="K124" s="83"/>
      <x:c r="L124" s="93"/>
      <x:c r="M124" s="82" t="str">
        <x:v>N</x:v>
      </x:c>
      <x:c r="N124" s="89" t="n">
        <x:v>4.88</x:v>
      </x:c>
      <x:c r="O124" s="91" t="n">
        <x:v>37.39012616733453</x:v>
      </x:c>
      <x:c r="P124" s="91" t="n">
        <x:v>126.92409457142617</x:v>
      </x:c>
      <x:c r="Q124" s="81" t="str">
        <x:v>https://map.kakao.com/link/roadview/37.3901262,126.9240946</x:v>
      </x:c>
      <x:c r="R124" s="81" t="str">
        <x:v>1202970276</x:v>
      </x:c>
      <x:c r="S124" s="81" t="str">
        <x:v>기존 파일의 촬영정보·URL</x:v>
      </x:c>
    </x:row>
    <x:row r="125" ht="32" customHeight="1">
      <x:c r="A125" s="82" t="str">
        <x:v>CW30-B-N</x:v>
      </x:c>
      <x:c r="B125" s="82" t="str">
        <x:v>CW30-B</x:v>
      </x:c>
      <x:c r="C125" s="82" t="str">
        <x:v>네이버</x:v>
      </x:c>
      <x:c r="D125" s="85" t="e">
        <x:f>IF(F125&lt;&gt;"",HYPERLINK(F125,"거리뷰 열기"),HYPERLINK(Q125,IF(C125="네이버","네이버 위치","카카오 위치")))</x:f>
        <x:v>HYPERLINK is not implemented. linkLocation=https://map.naver.com/p/entry/coordinates/3zfp0a,2AEEmH?c=15.00,0,0,0,dh, friendlyName=네이버 위치</x:v>
      </x:c>
      <x:c r="E125" s="239"/>
      <x:c r="F125" s="87"/>
      <x:c r="G125" s="83"/>
      <x:c r="H125" s="83"/>
      <x:c r="I125" s="93"/>
      <x:c r="J125" s="83"/>
      <x:c r="K125" s="83"/>
      <x:c r="L125" s="93"/>
      <x:c r="M125" s="82" t="str">
        <x:v>N</x:v>
      </x:c>
      <x:c r="N125" s="90"/>
      <x:c r="O125" s="92" t="n">
        <x:v>37.390204712665465</x:v>
      </x:c>
      <x:c r="P125" s="92" t="n">
        <x:v>126.92412862857385</x:v>
      </x:c>
      <x:c r="Q125" s="82" t="str">
        <x:v>https://map.naver.com/p/entry/coordinates/3zfp0a,2AEEmH?c=15.00,0,0,0,dh</x:v>
      </x:c>
      <x:c r="R125" s="82"/>
      <x:c r="S125" s="82" t="str">
        <x:v>좌표 링크 추가 / 영상 미확정</x:v>
      </x:c>
    </x:row>
    <x:row r="126" ht="80" customHeight="1">
      <x:c r="A126" s="82" t="str">
        <x:v>CW30-B-K</x:v>
      </x:c>
      <x:c r="B126" s="82" t="str">
        <x:v>CW30-B</x:v>
      </x:c>
      <x:c r="C126" s="82" t="str">
        <x:v>카카오</x:v>
      </x:c>
      <x:c r="D126" s="85" t="e">
        <x:f>IF(F126&lt;&gt;"",HYPERLINK(F126,"거리뷰 열기"),HYPERLINK(Q126,IF(C126="네이버","네이버 위치","카카오 위치")))</x:f>
        <x:v>HYPERLINK is not implemented. linkLocation=https://map.kakao.com/?panoid=1202970276&amp;pan=110.3&amp;zoom=0&amp;map_type=TYPE_MAP&amp;map_attribute=ROADVIEW&amp;urlX=483198.0&amp;urlY=1080769.0, friendlyName=거리뷰 열기</x:v>
      </x:c>
      <x:c r="E126" s="239" t="n">
        <x:v>45978.56217592592</x:v>
      </x:c>
      <x:c r="F126" s="87" t="str">
        <x:v>https://map.kakao.com/?panoid=1202970276&amp;pan=110.3&amp;zoom=0&amp;map_type=TYPE_MAP&amp;map_attribute=ROADVIEW&amp;urlX=483198.0&amp;urlY=1080769.0</x:v>
      </x:c>
      <x:c r="G126" s="83"/>
      <x:c r="H126" s="83"/>
      <x:c r="I126" s="93"/>
      <x:c r="J126" s="83"/>
      <x:c r="K126" s="83"/>
      <x:c r="L126" s="93"/>
      <x:c r="M126" s="82" t="str">
        <x:v>N</x:v>
      </x:c>
      <x:c r="N126" s="90" t="n">
        <x:v>13.66</x:v>
      </x:c>
      <x:c r="O126" s="92" t="n">
        <x:v>37.390204712665465</x:v>
      </x:c>
      <x:c r="P126" s="92" t="n">
        <x:v>126.92412862857385</x:v>
      </x:c>
      <x:c r="Q126" s="82" t="str">
        <x:v>https://map.kakao.com/link/roadview/37.3902047,126.9241286</x:v>
      </x:c>
      <x:c r="R126" s="82" t="str">
        <x:v>1202970276</x:v>
      </x:c>
      <x:c r="S126" s="82" t="str">
        <x:v>기존 파일의 촬영정보·URL</x:v>
      </x:c>
    </x:row>
    <x:row r="127" ht="32" customHeight="1">
      <x:c r="A127" s="81" t="str">
        <x:v>CW31-A-N</x:v>
      </x:c>
      <x:c r="B127" s="81" t="str">
        <x:v>CW31-A</x:v>
      </x:c>
      <x:c r="C127" s="81" t="str">
        <x:v>네이버</x:v>
      </x:c>
      <x:c r="D127" s="84" t="e">
        <x:f>IF(F127&lt;&gt;"",HYPERLINK(F127,"거리뷰 열기"),HYPERLINK(Q127,IF(C127="네이버","네이버 위치","카카오 위치")))</x:f>
        <x:v>HYPERLINK is not implemented. linkLocation=https://map.naver.com/p/entry/coordinates/3zfrNW,2AEEFT?c=15.00,0,0,0,dh, friendlyName=네이버 위치</x:v>
      </x:c>
      <x:c r="E127" s="239"/>
      <x:c r="F127" s="87"/>
      <x:c r="G127" s="83"/>
      <x:c r="H127" s="83"/>
      <x:c r="I127" s="93"/>
      <x:c r="J127" s="83"/>
      <x:c r="K127" s="83"/>
      <x:c r="L127" s="93"/>
      <x:c r="M127" s="82" t="str">
        <x:v>N</x:v>
      </x:c>
      <x:c r="N127" s="89"/>
      <x:c r="O127" s="91" t="n">
        <x:v>37.39032369675492</x:v>
      </x:c>
      <x:c r="P127" s="91" t="n">
        <x:v>126.92520600321222</x:v>
      </x:c>
      <x:c r="Q127" s="81" t="str">
        <x:v>https://map.naver.com/p/entry/coordinates/3zfrNW,2AEEFT?c=15.00,0,0,0,dh</x:v>
      </x:c>
      <x:c r="R127" s="81"/>
      <x:c r="S127" s="81" t="str">
        <x:v>좌표 링크 추가 / 영상 미확정</x:v>
      </x:c>
    </x:row>
    <x:row r="128" ht="80" customHeight="1">
      <x:c r="A128" s="81" t="str">
        <x:v>CW31-A-K</x:v>
      </x:c>
      <x:c r="B128" s="81" t="str">
        <x:v>CW31-A</x:v>
      </x:c>
      <x:c r="C128" s="81" t="str">
        <x:v>카카오</x:v>
      </x:c>
      <x:c r="D128" s="84" t="e">
        <x:f>IF(F128&lt;&gt;"",HYPERLINK(F128,"거리뷰 열기"),HYPERLINK(Q128,IF(C128="네이버","네이버 위치","카카오 위치")))</x:f>
        <x:v>HYPERLINK is not implemented. linkLocation=https://map.kakao.com/?panoid=1202969661&amp;pan=334.4&amp;zoom=0&amp;map_type=TYPE_MAP&amp;map_attribute=ROADVIEW&amp;urlX=483455.0&amp;urlY=1080835.0, friendlyName=거리뷰 열기</x:v>
      </x:c>
      <x:c r="E128" s="239" t="n">
        <x:v>45978.49818287037</x:v>
      </x:c>
      <x:c r="F128" s="87" t="str">
        <x:v>https://map.kakao.com/?panoid=1202969661&amp;pan=334.4&amp;zoom=0&amp;map_type=TYPE_MAP&amp;map_attribute=ROADVIEW&amp;urlX=483455.0&amp;urlY=1080835.0</x:v>
      </x:c>
      <x:c r="G128" s="83"/>
      <x:c r="H128" s="83"/>
      <x:c r="I128" s="93"/>
      <x:c r="J128" s="83"/>
      <x:c r="K128" s="83"/>
      <x:c r="L128" s="93"/>
      <x:c r="M128" s="82" t="str">
        <x:v>N</x:v>
      </x:c>
      <x:c r="N128" s="89" t="n">
        <x:v>5.35</x:v>
      </x:c>
      <x:c r="O128" s="91" t="n">
        <x:v>37.39032369675492</x:v>
      </x:c>
      <x:c r="P128" s="91" t="n">
        <x:v>126.92520600321222</x:v>
      </x:c>
      <x:c r="Q128" s="81" t="str">
        <x:v>https://map.kakao.com/link/roadview/37.3903237,126.9252060</x:v>
      </x:c>
      <x:c r="R128" s="81" t="str">
        <x:v>1202969661</x:v>
      </x:c>
      <x:c r="S128" s="81" t="str">
        <x:v>기존 파일의 촬영정보·URL</x:v>
      </x:c>
    </x:row>
    <x:row r="129" ht="32" customHeight="1">
      <x:c r="A129" s="82" t="str">
        <x:v>CW31-B-N</x:v>
      </x:c>
      <x:c r="B129" s="82" t="str">
        <x:v>CW31-B</x:v>
      </x:c>
      <x:c r="C129" s="82" t="str">
        <x:v>네이버</x:v>
      </x:c>
      <x:c r="D129" s="85" t="e">
        <x:f>IF(F129&lt;&gt;"",HYPERLINK(F129,"거리뷰 열기"),HYPERLINK(Q129,IF(C129="네이버","네이버 위치","카카오 위치")))</x:f>
        <x:v>HYPERLINK is not implemented. linkLocation=https://map.naver.com/p/entry/coordinates/3zfsam,2AEEMx?c=15.00,0,0,0,dh, friendlyName=네이버 위치</x:v>
      </x:c>
      <x:c r="E129" s="239"/>
      <x:c r="F129" s="87"/>
      <x:c r="G129" s="83"/>
      <x:c r="H129" s="83"/>
      <x:c r="I129" s="93"/>
      <x:c r="J129" s="83"/>
      <x:c r="K129" s="83"/>
      <x:c r="L129" s="93"/>
      <x:c r="M129" s="82" t="str">
        <x:v>N</x:v>
      </x:c>
      <x:c r="N129" s="90"/>
      <x:c r="O129" s="92" t="n">
        <x:v>37.39036492324509</x:v>
      </x:c>
      <x:c r="P129" s="92" t="n">
        <x:v>126.92534499678776</x:v>
      </x:c>
      <x:c r="Q129" s="82" t="str">
        <x:v>https://map.naver.com/p/entry/coordinates/3zfsam,2AEEMx?c=15.00,0,0,0,dh</x:v>
      </x:c>
      <x:c r="R129" s="82"/>
      <x:c r="S129" s="82" t="str">
        <x:v>좌표 링크 추가 / 영상 미확정</x:v>
      </x:c>
    </x:row>
    <x:row r="130" ht="80" customHeight="1">
      <x:c r="A130" s="82" t="str">
        <x:v>CW31-B-K</x:v>
      </x:c>
      <x:c r="B130" s="82" t="str">
        <x:v>CW31-B</x:v>
      </x:c>
      <x:c r="C130" s="82" t="str">
        <x:v>카카오</x:v>
      </x:c>
      <x:c r="D130" s="85" t="e">
        <x:f>IF(F130&lt;&gt;"",HYPERLINK(F130,"거리뷰 열기"),HYPERLINK(Q130,IF(C130="네이버","네이버 위치","카카오 위치")))</x:f>
        <x:v>HYPERLINK is not implemented. linkLocation=https://map.kakao.com/?panoid=1202970288&amp;pan=58.4&amp;zoom=0&amp;map_type=TYPE_MAP&amp;map_attribute=ROADVIEW&amp;urlX=483475.0&amp;urlY=1080867.0, friendlyName=거리뷰 열기</x:v>
      </x:c>
      <x:c r="E130" s="239" t="n">
        <x:v>45978.56233796296</x:v>
      </x:c>
      <x:c r="F130" s="87" t="str">
        <x:v>https://map.kakao.com/?panoid=1202970288&amp;pan=58.4&amp;zoom=0&amp;map_type=TYPE_MAP&amp;map_attribute=ROADVIEW&amp;urlX=483475.0&amp;urlY=1080867.0</x:v>
      </x:c>
      <x:c r="G130" s="83"/>
      <x:c r="H130" s="83"/>
      <x:c r="I130" s="93"/>
      <x:c r="J130" s="83"/>
      <x:c r="K130" s="83"/>
      <x:c r="L130" s="93"/>
      <x:c r="M130" s="82" t="str">
        <x:v>N</x:v>
      </x:c>
      <x:c r="N130" s="90" t="n">
        <x:v>8.1</x:v>
      </x:c>
      <x:c r="O130" s="92" t="n">
        <x:v>37.39036492324509</x:v>
      </x:c>
      <x:c r="P130" s="92" t="n">
        <x:v>126.92534499678776</x:v>
      </x:c>
      <x:c r="Q130" s="82" t="str">
        <x:v>https://map.kakao.com/link/roadview/37.3903649,126.9253450</x:v>
      </x:c>
      <x:c r="R130" s="82" t="str">
        <x:v>1202970288</x:v>
      </x:c>
      <x:c r="S130" s="82" t="str">
        <x:v>기존 파일의 촬영정보·URL</x:v>
      </x:c>
    </x:row>
    <x:row r="131" ht="32" customHeight="1">
      <x:c r="A131" s="81" t="str">
        <x:v>CW32-A-N</x:v>
      </x:c>
      <x:c r="B131" s="81" t="str">
        <x:v>CW32-A</x:v>
      </x:c>
      <x:c r="C131" s="81" t="str">
        <x:v>네이버</x:v>
      </x:c>
      <x:c r="D131" s="84" t="e">
        <x:f>IF(F131&lt;&gt;"",HYPERLINK(F131,"거리뷰 열기"),HYPERLINK(Q131,IF(C131="네이버","네이버 위치","카카오 위치")))</x:f>
        <x:v>HYPERLINK is not implemented. linkLocation=https://map.naver.com/p/entry/coordinates/3zfpqY,2AEDXy?c=15.00,0,0,0,dh, friendlyName=네이버 위치</x:v>
      </x:c>
      <x:c r="E131" s="239"/>
      <x:c r="F131" s="87"/>
      <x:c r="G131" s="83"/>
      <x:c r="H131" s="83"/>
      <x:c r="I131" s="93"/>
      <x:c r="J131" s="83"/>
      <x:c r="K131" s="83"/>
      <x:c r="L131" s="93"/>
      <x:c r="M131" s="82" t="str">
        <x:v>Y</x:v>
      </x:c>
      <x:c r="N131" s="89"/>
      <x:c r="O131" s="91" t="n">
        <x:v>37.390048790568265</x:v>
      </x:c>
      <x:c r="P131" s="91" t="n">
        <x:v>126.9242948447004</x:v>
      </x:c>
      <x:c r="Q131" s="81" t="str">
        <x:v>https://map.naver.com/p/entry/coordinates/3zfpqY,2AEDXy?c=15.00,0,0,0,dh</x:v>
      </x:c>
      <x:c r="R131" s="81"/>
      <x:c r="S131" s="81" t="str">
        <x:v>좌표 링크 추가 / 영상 미확정</x:v>
      </x:c>
    </x:row>
    <x:row r="132" ht="80" customHeight="1">
      <x:c r="A132" s="81" t="str">
        <x:v>CW32-A-K</x:v>
      </x:c>
      <x:c r="B132" s="81" t="str">
        <x:v>CW32-A</x:v>
      </x:c>
      <x:c r="C132" s="81" t="str">
        <x:v>카카오</x:v>
      </x:c>
      <x:c r="D132" s="84" t="e">
        <x:f>IF(F132&lt;&gt;"",HYPERLINK(F132,"거리뷰 열기"),HYPERLINK(Q132,IF(C132="네이버","네이버 위치","카카오 위치")))</x:f>
        <x:v>HYPERLINK is not implemented. linkLocation=https://map.kakao.com/?panoid=1202970278&amp;pan=71.5&amp;zoom=0&amp;map_type=TYPE_MAP&amp;map_attribute=ROADVIEW&amp;urlX=483247.0&amp;urlY=1080769.0, friendlyName=거리뷰 열기</x:v>
      </x:c>
      <x:c r="E132" s="239" t="n">
        <x:v>45978.562210648146</x:v>
      </x:c>
      <x:c r="F132" s="87" t="str">
        <x:v>https://map.kakao.com/?panoid=1202970278&amp;pan=71.5&amp;zoom=0&amp;map_type=TYPE_MAP&amp;map_attribute=ROADVIEW&amp;urlX=483247.0&amp;urlY=1080769.0</x:v>
      </x:c>
      <x:c r="G132" s="83"/>
      <x:c r="H132" s="83"/>
      <x:c r="I132" s="93"/>
      <x:c r="J132" s="83"/>
      <x:c r="K132" s="83"/>
      <x:c r="L132" s="93"/>
      <x:c r="M132" s="82" t="str">
        <x:v>Y</x:v>
      </x:c>
      <x:c r="N132" s="89" t="n">
        <x:v>4.79</x:v>
      </x:c>
      <x:c r="O132" s="91" t="n">
        <x:v>37.390048790568265</x:v>
      </x:c>
      <x:c r="P132" s="91" t="n">
        <x:v>126.9242948447004</x:v>
      </x:c>
      <x:c r="Q132" s="81" t="str">
        <x:v>https://map.kakao.com/link/roadview/37.3900488,126.9242948</x:v>
      </x:c>
      <x:c r="R132" s="81" t="str">
        <x:v>1202970278</x:v>
      </x:c>
      <x:c r="S132" s="81" t="str">
        <x:v>기존 파일의 촬영정보·URL</x:v>
      </x:c>
    </x:row>
    <x:row r="133" ht="32" customHeight="1">
      <x:c r="A133" s="82" t="str">
        <x:v>CW32-B-N</x:v>
      </x:c>
      <x:c r="B133" s="82" t="str">
        <x:v>CW32-B</x:v>
      </x:c>
      <x:c r="C133" s="82" t="str">
        <x:v>네이버</x:v>
      </x:c>
      <x:c r="D133" s="85" t="e">
        <x:f>IF(F133&lt;&gt;"",HYPERLINK(F133,"거리뷰 열기"),HYPERLINK(Q133,IF(C133="네이버","네이버 위치","카카오 위치")))</x:f>
        <x:v>HYPERLINK is not implemented. linkLocation=https://map.naver.com/p/entry/coordinates/3zfpl8,2AEE9j?c=15.00,0,0,0,dh, friendlyName=네이버 위치</x:v>
      </x:c>
      <x:c r="E133" s="239"/>
      <x:c r="F133" s="87"/>
      <x:c r="G133" s="83"/>
      <x:c r="H133" s="83"/>
      <x:c r="I133" s="93"/>
      <x:c r="J133" s="83"/>
      <x:c r="K133" s="83"/>
      <x:c r="L133" s="93"/>
      <x:c r="M133" s="82" t="str">
        <x:v>Y</x:v>
      </x:c>
      <x:c r="N133" s="90"/>
      <x:c r="O133" s="92" t="n">
        <x:v>37.39012174943174</x:v>
      </x:c>
      <x:c r="P133" s="92" t="n">
        <x:v>126.92425855529957</x:v>
      </x:c>
      <x:c r="Q133" s="82" t="str">
        <x:v>https://map.naver.com/p/entry/coordinates/3zfpl8,2AEE9j?c=15.00,0,0,0,dh</x:v>
      </x:c>
      <x:c r="R133" s="82"/>
      <x:c r="S133" s="82" t="str">
        <x:v>좌표 링크 추가 / 영상 미확정</x:v>
      </x:c>
    </x:row>
    <x:row r="134" ht="80" customHeight="1">
      <x:c r="A134" s="82" t="str">
        <x:v>CW32-B-K</x:v>
      </x:c>
      <x:c r="B134" s="82" t="str">
        <x:v>CW32-B</x:v>
      </x:c>
      <x:c r="C134" s="82" t="str">
        <x:v>카카오</x:v>
      </x:c>
      <x:c r="D134" s="85" t="e">
        <x:f>IF(F134&lt;&gt;"",HYPERLINK(F134,"거리뷰 열기"),HYPERLINK(Q134,IF(C134="네이버","네이버 위치","카카오 위치")))</x:f>
        <x:v>HYPERLINK is not implemented. linkLocation=https://map.kakao.com/?panoid=1202970277&amp;pan=90.4&amp;zoom=0&amp;map_type=TYPE_MAP&amp;map_attribute=ROADVIEW&amp;urlX=483222.0&amp;urlY=1080765.0, friendlyName=거리뷰 열기</x:v>
      </x:c>
      <x:c r="E134" s="239" t="n">
        <x:v>45978.56219907408</x:v>
      </x:c>
      <x:c r="F134" s="87" t="str">
        <x:v>https://map.kakao.com/?panoid=1202970277&amp;pan=90.4&amp;zoom=0&amp;map_type=TYPE_MAP&amp;map_attribute=ROADVIEW&amp;urlX=483222.0&amp;urlY=1080765.0</x:v>
      </x:c>
      <x:c r="G134" s="83"/>
      <x:c r="H134" s="83"/>
      <x:c r="I134" s="93"/>
      <x:c r="J134" s="83"/>
      <x:c r="K134" s="83"/>
      <x:c r="L134" s="93"/>
      <x:c r="M134" s="82" t="str">
        <x:v>Y</x:v>
      </x:c>
      <x:c r="N134" s="90" t="n">
        <x:v>7.06</x:v>
      </x:c>
      <x:c r="O134" s="92" t="n">
        <x:v>37.39012174943174</x:v>
      </x:c>
      <x:c r="P134" s="92" t="n">
        <x:v>126.92425855529957</x:v>
      </x:c>
      <x:c r="Q134" s="82" t="str">
        <x:v>https://map.kakao.com/link/roadview/37.3901217,126.9242586</x:v>
      </x:c>
      <x:c r="R134" s="82" t="str">
        <x:v>1202970277</x:v>
      </x:c>
      <x:c r="S134" s="82" t="str">
        <x:v>기존 파일의 촬영정보·URL</x:v>
      </x:c>
    </x:row>
    <x:row r="135" ht="32" customHeight="1">
      <x:c r="A135" s="81" t="str">
        <x:v>CW33-A-N</x:v>
      </x:c>
      <x:c r="B135" s="81" t="str">
        <x:v>CW33-A</x:v>
      </x:c>
      <x:c r="C135" s="81" t="str">
        <x:v>네이버</x:v>
      </x:c>
      <x:c r="D135" s="84" t="e">
        <x:f>IF(F135&lt;&gt;"",HYPERLINK(F135,"거리뷰 열기"),HYPERLINK(Q135,IF(C135="네이버","네이버 위치","카카오 위치")))</x:f>
        <x:v>HYPERLINK is not implemented. linkLocation=https://map.naver.com/p/entry/coordinates/3zfsyo,2AEDMO?c=15.00,0,0,0,dh, friendlyName=네이버 위치</x:v>
      </x:c>
      <x:c r="E135" s="239"/>
      <x:c r="F135" s="87"/>
      <x:c r="G135" s="83"/>
      <x:c r="H135" s="83"/>
      <x:c r="I135" s="93"/>
      <x:c r="J135" s="83"/>
      <x:c r="K135" s="83"/>
      <x:c r="L135" s="93"/>
      <x:c r="M135" s="82" t="str">
        <x:v>Y</x:v>
      </x:c>
      <x:c r="N135" s="89"/>
      <x:c r="O135" s="91" t="n">
        <x:v>37.389982227292826</x:v>
      </x:c>
      <x:c r="P135" s="91" t="n">
        <x:v>126.9254940088399</x:v>
      </x:c>
      <x:c r="Q135" s="81" t="str">
        <x:v>https://map.naver.com/p/entry/coordinates/3zfsyo,2AEDMO?c=15.00,0,0,0,dh</x:v>
      </x:c>
      <x:c r="R135" s="81"/>
      <x:c r="S135" s="81" t="str">
        <x:v>좌표 링크 추가 / 영상 미확정</x:v>
      </x:c>
    </x:row>
    <x:row r="136" ht="80" customHeight="1">
      <x:c r="A136" s="81" t="str">
        <x:v>CW33-A-K</x:v>
      </x:c>
      <x:c r="B136" s="81" t="str">
        <x:v>CW33-A</x:v>
      </x:c>
      <x:c r="C136" s="81" t="str">
        <x:v>카카오</x:v>
      </x:c>
      <x:c r="D136" s="84" t="e">
        <x:f>IF(F136&lt;&gt;"",HYPERLINK(F136,"거리뷰 열기"),HYPERLINK(Q136,IF(C136="네이버","네이버 위치","카카오 위치")))</x:f>
        <x:v>HYPERLINK is not implemented. linkLocation=https://map.kakao.com/?panoid=1202972599&amp;pan=251.4&amp;zoom=0&amp;map_type=TYPE_MAP&amp;map_attribute=ROADVIEW&amp;urlX=483511.0&amp;urlY=1080749.0, friendlyName=거리뷰 열기</x:v>
      </x:c>
      <x:c r="E136" s="239" t="n">
        <x:v>45978.6521875</x:v>
      </x:c>
      <x:c r="F136" s="87" t="str">
        <x:v>https://map.kakao.com/?panoid=1202972599&amp;pan=251.4&amp;zoom=0&amp;map_type=TYPE_MAP&amp;map_attribute=ROADVIEW&amp;urlX=483511.0&amp;urlY=1080749.0</x:v>
      </x:c>
      <x:c r="G136" s="83"/>
      <x:c r="H136" s="83"/>
      <x:c r="I136" s="93"/>
      <x:c r="J136" s="83"/>
      <x:c r="K136" s="83"/>
      <x:c r="L136" s="93"/>
      <x:c r="M136" s="82" t="str">
        <x:v>Y</x:v>
      </x:c>
      <x:c r="N136" s="89" t="n">
        <x:v>4.02</x:v>
      </x:c>
      <x:c r="O136" s="91" t="n">
        <x:v>37.389982227292826</x:v>
      </x:c>
      <x:c r="P136" s="91" t="n">
        <x:v>126.9254940088399</x:v>
      </x:c>
      <x:c r="Q136" s="81" t="str">
        <x:v>https://map.kakao.com/link/roadview/37.3899822,126.9254940</x:v>
      </x:c>
      <x:c r="R136" s="81" t="str">
        <x:v>1202972599</x:v>
      </x:c>
      <x:c r="S136" s="81" t="str">
        <x:v>기존 파일의 촬영정보·URL</x:v>
      </x:c>
    </x:row>
    <x:row r="137" ht="32" customHeight="1">
      <x:c r="A137" s="82" t="str">
        <x:v>CW33-B-N</x:v>
      </x:c>
      <x:c r="B137" s="82" t="str">
        <x:v>CW33-B</x:v>
      </x:c>
      <x:c r="C137" s="82" t="str">
        <x:v>네이버</x:v>
      </x:c>
      <x:c r="D137" s="85" t="e">
        <x:f>IF(F137&lt;&gt;"",HYPERLINK(F137,"거리뷰 열기"),HYPERLINK(Q137,IF(C137="네이버","네이버 위치","카카오 위치")))</x:f>
        <x:v>HYPERLINK is not implemented. linkLocation=https://map.naver.com/p/entry/coordinates/3zfstU,2AEDSe?c=15.00,0,0,0,dh, friendlyName=네이버 위치</x:v>
      </x:c>
      <x:c r="E137" s="239"/>
      <x:c r="F137" s="87"/>
      <x:c r="G137" s="83"/>
      <x:c r="H137" s="83"/>
      <x:c r="I137" s="93"/>
      <x:c r="J137" s="83"/>
      <x:c r="K137" s="83"/>
      <x:c r="L137" s="93"/>
      <x:c r="M137" s="82" t="str">
        <x:v>Y</x:v>
      </x:c>
      <x:c r="N137" s="90"/>
      <x:c r="O137" s="92" t="n">
        <x:v>37.39001577270718</x:v>
      </x:c>
      <x:c r="P137" s="92" t="n">
        <x:v>126.9254661911601</x:v>
      </x:c>
      <x:c r="Q137" s="82" t="str">
        <x:v>https://map.naver.com/p/entry/coordinates/3zfstU,2AEDSe?c=15.00,0,0,0,dh</x:v>
      </x:c>
      <x:c r="R137" s="82"/>
      <x:c r="S137" s="82" t="str">
        <x:v>좌표 링크 추가 / 영상 미확정</x:v>
      </x:c>
    </x:row>
    <x:row r="138" ht="80" customHeight="1">
      <x:c r="A138" s="82" t="str">
        <x:v>CW33-B-K</x:v>
      </x:c>
      <x:c r="B138" s="82" t="str">
        <x:v>CW33-B</x:v>
      </x:c>
      <x:c r="C138" s="82" t="str">
        <x:v>카카오</x:v>
      </x:c>
      <x:c r="D138" s="85" t="e">
        <x:f>IF(F138&lt;&gt;"",HYPERLINK(F138,"거리뷰 열기"),HYPERLINK(Q138,IF(C138="네이버","네이버 위치","카카오 위치")))</x:f>
        <x:v>HYPERLINK is not implemented. linkLocation=https://map.kakao.com/?panoid=1202972599&amp;pan=251.4&amp;zoom=0&amp;map_type=TYPE_MAP&amp;map_attribute=ROADVIEW&amp;urlX=483511.0&amp;urlY=1080749.0, friendlyName=거리뷰 열기</x:v>
      </x:c>
      <x:c r="E138" s="239" t="n">
        <x:v>45978.6521875</x:v>
      </x:c>
      <x:c r="F138" s="87" t="str">
        <x:v>https://map.kakao.com/?panoid=1202972599&amp;pan=251.4&amp;zoom=0&amp;map_type=TYPE_MAP&amp;map_attribute=ROADVIEW&amp;urlX=483511.0&amp;urlY=1080749.0</x:v>
      </x:c>
      <x:c r="G138" s="83"/>
      <x:c r="H138" s="83"/>
      <x:c r="I138" s="93"/>
      <x:c r="J138" s="83"/>
      <x:c r="K138" s="83"/>
      <x:c r="L138" s="93"/>
      <x:c r="M138" s="82" t="str">
        <x:v>Y</x:v>
      </x:c>
      <x:c r="N138" s="90" t="n">
        <x:v>4.75</x:v>
      </x:c>
      <x:c r="O138" s="92" t="n">
        <x:v>37.39001577270718</x:v>
      </x:c>
      <x:c r="P138" s="92" t="n">
        <x:v>126.9254661911601</x:v>
      </x:c>
      <x:c r="Q138" s="82" t="str">
        <x:v>https://map.kakao.com/link/roadview/37.3900158,126.9254662</x:v>
      </x:c>
      <x:c r="R138" s="82" t="str">
        <x:v>1202972599</x:v>
      </x:c>
      <x:c r="S138" s="82" t="str">
        <x:v>기존 파일의 촬영정보·URL</x:v>
      </x:c>
    </x:row>
    <x:row r="139" ht="32" customHeight="1">
      <x:c r="A139" s="81" t="str">
        <x:v>CW34-A-N</x:v>
      </x:c>
      <x:c r="B139" s="81" t="str">
        <x:v>CW34-A</x:v>
      </x:c>
      <x:c r="C139" s="81" t="str">
        <x:v>네이버</x:v>
      </x:c>
      <x:c r="D139" s="84" t="e">
        <x:f>IF(F139&lt;&gt;"",HYPERLINK(F139,"거리뷰 열기"),HYPERLINK(Q139,IF(C139="네이버","네이버 위치","카카오 위치")))</x:f>
        <x:v>HYPERLINK is not implemented. linkLocation=https://map.naver.com/p/entry/coordinates/3zfsx2,2AECQK?c=15.00,0,0,0,dh, friendlyName=네이버 위치</x:v>
      </x:c>
      <x:c r="E139" s="239"/>
      <x:c r="F139" s="87"/>
      <x:c r="G139" s="83"/>
      <x:c r="H139" s="83"/>
      <x:c r="I139" s="93"/>
      <x:c r="J139" s="83"/>
      <x:c r="K139" s="83"/>
      <x:c r="L139" s="93"/>
      <x:c r="M139" s="82" t="str">
        <x:v>Y</x:v>
      </x:c>
      <x:c r="N139" s="89"/>
      <x:c r="O139" s="91" t="n">
        <x:v>37.389622186729625</x:v>
      </x:c>
      <x:c r="P139" s="91" t="n">
        <x:v>126.92548561896953</x:v>
      </x:c>
      <x:c r="Q139" s="81" t="str">
        <x:v>https://map.naver.com/p/entry/coordinates/3zfsx2,2AECQK?c=15.00,0,0,0,dh</x:v>
      </x:c>
      <x:c r="R139" s="81"/>
      <x:c r="S139" s="81" t="str">
        <x:v>좌표 링크 추가 / 영상 미확정</x:v>
      </x:c>
    </x:row>
    <x:row r="140" ht="80" customHeight="1">
      <x:c r="A140" s="81" t="str">
        <x:v>CW34-A-K</x:v>
      </x:c>
      <x:c r="B140" s="81" t="str">
        <x:v>CW34-A</x:v>
      </x:c>
      <x:c r="C140" s="81" t="str">
        <x:v>카카오</x:v>
      </x:c>
      <x:c r="D140" s="84" t="e">
        <x:f>IF(F140&lt;&gt;"",HYPERLINK(F140,"거리뷰 열기"),HYPERLINK(Q140,IF(C140="네이버","네이버 위치","카카오 위치")))</x:f>
        <x:v>HYPERLINK is not implemented. linkLocation=https://map.kakao.com/?panoid=1202970045&amp;pan=233.1&amp;zoom=0&amp;map_type=TYPE_MAP&amp;map_attribute=ROADVIEW&amp;urlX=483504.0&amp;urlY=1080615.0, friendlyName=거리뷰 열기</x:v>
      </x:c>
      <x:c r="E140" s="239" t="n">
        <x:v>45978.54866898148</x:v>
      </x:c>
      <x:c r="F140" s="87" t="str">
        <x:v>https://map.kakao.com/?panoid=1202970045&amp;pan=233.1&amp;zoom=0&amp;map_type=TYPE_MAP&amp;map_attribute=ROADVIEW&amp;urlX=483504.0&amp;urlY=1080615.0</x:v>
      </x:c>
      <x:c r="G140" s="83"/>
      <x:c r="H140" s="83"/>
      <x:c r="I140" s="93"/>
      <x:c r="J140" s="83"/>
      <x:c r="K140" s="83"/>
      <x:c r="L140" s="93"/>
      <x:c r="M140" s="82" t="str">
        <x:v>Y</x:v>
      </x:c>
      <x:c r="N140" s="89" t="n">
        <x:v>10.36</x:v>
      </x:c>
      <x:c r="O140" s="91" t="n">
        <x:v>37.389622186729625</x:v>
      </x:c>
      <x:c r="P140" s="91" t="n">
        <x:v>126.92548561896953</x:v>
      </x:c>
      <x:c r="Q140" s="81" t="str">
        <x:v>https://map.kakao.com/link/roadview/37.3896222,126.9254856</x:v>
      </x:c>
      <x:c r="R140" s="81" t="str">
        <x:v>1202970045</x:v>
      </x:c>
      <x:c r="S140" s="81" t="str">
        <x:v>기존 파일의 촬영정보·URL</x:v>
      </x:c>
    </x:row>
    <x:row r="141" ht="32" customHeight="1">
      <x:c r="A141" s="82" t="str">
        <x:v>CW34-B-N</x:v>
      </x:c>
      <x:c r="B141" s="82" t="str">
        <x:v>CW34-B</x:v>
      </x:c>
      <x:c r="C141" s="82" t="str">
        <x:v>네이버</x:v>
      </x:c>
      <x:c r="D141" s="85" t="e">
        <x:f>IF(F141&lt;&gt;"",HYPERLINK(F141,"거리뷰 열기"),HYPERLINK(Q141,IF(C141="네이버","네이버 위치","카카오 위치")))</x:f>
        <x:v>HYPERLINK is not implemented. linkLocation=https://map.naver.com/p/entry/coordinates/3zfsRO,2AECWm?c=15.00,0,0,0,dh, friendlyName=네이버 위치</x:v>
      </x:c>
      <x:c r="E141" s="239"/>
      <x:c r="F141" s="87"/>
      <x:c r="G141" s="83"/>
      <x:c r="H141" s="83"/>
      <x:c r="I141" s="93"/>
      <x:c r="J141" s="83"/>
      <x:c r="K141" s="83"/>
      <x:c r="L141" s="93"/>
      <x:c r="M141" s="82" t="str">
        <x:v>Y</x:v>
      </x:c>
      <x:c r="N141" s="90"/>
      <x:c r="O141" s="92" t="n">
        <x:v>37.38965699327038</x:v>
      </x:c>
      <x:c r="P141" s="92" t="n">
        <x:v>126.92561438103047</x:v>
      </x:c>
      <x:c r="Q141" s="82" t="str">
        <x:v>https://map.naver.com/p/entry/coordinates/3zfsRO,2AECWm?c=15.00,0,0,0,dh</x:v>
      </x:c>
      <x:c r="R141" s="82"/>
      <x:c r="S141" s="82" t="str">
        <x:v>좌표 링크 추가 / 영상 미확정</x:v>
      </x:c>
    </x:row>
    <x:row r="142" ht="80" customHeight="1">
      <x:c r="A142" s="82" t="str">
        <x:v>CW34-B-K</x:v>
      </x:c>
      <x:c r="B142" s="82" t="str">
        <x:v>CW34-B</x:v>
      </x:c>
      <x:c r="C142" s="82" t="str">
        <x:v>카카오</x:v>
      </x:c>
      <x:c r="D142" s="85" t="e">
        <x:f>IF(F142&lt;&gt;"",HYPERLINK(F142,"거리뷰 열기"),HYPERLINK(Q142,IF(C142="네이버","네이버 위치","카카오 위치")))</x:f>
        <x:v>HYPERLINK is not implemented. linkLocation=https://map.kakao.com/?panoid=1202969653&amp;pan=339.7&amp;zoom=0&amp;map_type=TYPE_MAP&amp;map_attribute=ROADVIEW&amp;urlX=483529.0&amp;urlY=1080649.0, friendlyName=거리뷰 열기</x:v>
      </x:c>
      <x:c r="E142" s="239" t="n">
        <x:v>45978.49800925926</x:v>
      </x:c>
      <x:c r="F142" s="87" t="str">
        <x:v>https://map.kakao.com/?panoid=1202969653&amp;pan=339.7&amp;zoom=0&amp;map_type=TYPE_MAP&amp;map_attribute=ROADVIEW&amp;urlX=483529.0&amp;urlY=1080649.0</x:v>
      </x:c>
      <x:c r="G142" s="83"/>
      <x:c r="H142" s="83"/>
      <x:c r="I142" s="93"/>
      <x:c r="J142" s="83"/>
      <x:c r="K142" s="83"/>
      <x:c r="L142" s="93"/>
      <x:c r="M142" s="82" t="str">
        <x:v>Y</x:v>
      </x:c>
      <x:c r="N142" s="90" t="n">
        <x:v>1.29</x:v>
      </x:c>
      <x:c r="O142" s="92" t="n">
        <x:v>37.38965699327038</x:v>
      </x:c>
      <x:c r="P142" s="92" t="n">
        <x:v>126.92561438103047</x:v>
      </x:c>
      <x:c r="Q142" s="82" t="str">
        <x:v>https://map.kakao.com/link/roadview/37.3896570,126.9256144</x:v>
      </x:c>
      <x:c r="R142" s="82" t="str">
        <x:v>1202969653</x:v>
      </x:c>
      <x:c r="S142" s="82" t="str">
        <x:v>기존 파일의 촬영정보·URL</x:v>
      </x:c>
    </x:row>
    <x:row r="143" ht="32" customHeight="1">
      <x:c r="A143" s="81" t="str">
        <x:v>CW35-A-N</x:v>
      </x:c>
      <x:c r="B143" s="81" t="str">
        <x:v>CW35-A</x:v>
      </x:c>
      <x:c r="C143" s="81" t="str">
        <x:v>네이버</x:v>
      </x:c>
      <x:c r="D143" s="84" t="e">
        <x:f>IF(F143&lt;&gt;"",HYPERLINK(F143,"거리뷰 열기"),HYPERLINK(Q143,IF(C143="네이버","네이버 위치","카카오 위치")))</x:f>
        <x:v>HYPERLINK is not implemented. linkLocation=https://map.naver.com/p/entry/coordinates/3zft2N,2AECHB?c=15.00,0,0,0,dh, friendlyName=네이버 위치</x:v>
      </x:c>
      <x:c r="E143" s="239"/>
      <x:c r="F143" s="87"/>
      <x:c r="G143" s="83"/>
      <x:c r="H143" s="83"/>
      <x:c r="I143" s="93"/>
      <x:c r="J143" s="83"/>
      <x:c r="K143" s="83"/>
      <x:c r="L143" s="93"/>
      <x:c r="M143" s="82" t="str">
        <x:v>N</x:v>
      </x:c>
      <x:c r="N143" s="89"/>
      <x:c r="O143" s="91" t="n">
        <x:v>37.38956545502662</x:v>
      </x:c>
      <x:c r="P143" s="91" t="n">
        <x:v>126.92568254442703</x:v>
      </x:c>
      <x:c r="Q143" s="81" t="str">
        <x:v>https://map.naver.com/p/entry/coordinates/3zft2N,2AECHB?c=15.00,0,0,0,dh</x:v>
      </x:c>
      <x:c r="R143" s="81"/>
      <x:c r="S143" s="81" t="str">
        <x:v>좌표 링크 추가 / 영상 미확정</x:v>
      </x:c>
    </x:row>
    <x:row r="144" ht="80" customHeight="1">
      <x:c r="A144" s="81" t="str">
        <x:v>CW35-A-K</x:v>
      </x:c>
      <x:c r="B144" s="81" t="str">
        <x:v>CW35-A</x:v>
      </x:c>
      <x:c r="C144" s="81" t="str">
        <x:v>카카오</x:v>
      </x:c>
      <x:c r="D144" s="84" t="e">
        <x:f>IF(F144&lt;&gt;"",HYPERLINK(F144,"거리뷰 열기"),HYPERLINK(Q144,IF(C144="네이버","네이버 위치","카카오 위치")))</x:f>
        <x:v>HYPERLINK is not implemented. linkLocation=https://map.kakao.com/?panoid=1202969652&amp;pan=339.6&amp;zoom=0&amp;map_type=TYPE_MAP&amp;map_attribute=ROADVIEW&amp;urlX=483537.0&amp;urlY=1080625.0, friendlyName=거리뷰 열기</x:v>
      </x:c>
      <x:c r="E144" s="239" t="n">
        <x:v>45978.49799768518</x:v>
      </x:c>
      <x:c r="F144" s="87" t="str">
        <x:v>https://map.kakao.com/?panoid=1202969652&amp;pan=339.6&amp;zoom=0&amp;map_type=TYPE_MAP&amp;map_attribute=ROADVIEW&amp;urlX=483537.0&amp;urlY=1080625.0</x:v>
      </x:c>
      <x:c r="G144" s="83"/>
      <x:c r="H144" s="83"/>
      <x:c r="I144" s="93"/>
      <x:c r="J144" s="83"/>
      <x:c r="K144" s="83"/>
      <x:c r="L144" s="93"/>
      <x:c r="M144" s="82" t="str">
        <x:v>N</x:v>
      </x:c>
      <x:c r="N144" s="89" t="n">
        <x:v>3.97</x:v>
      </x:c>
      <x:c r="O144" s="91" t="n">
        <x:v>37.38956545502662</x:v>
      </x:c>
      <x:c r="P144" s="91" t="n">
        <x:v>126.92568254442703</x:v>
      </x:c>
      <x:c r="Q144" s="81" t="str">
        <x:v>https://map.kakao.com/link/roadview/37.3895655,126.9256825</x:v>
      </x:c>
      <x:c r="R144" s="81" t="str">
        <x:v>1202969652</x:v>
      </x:c>
      <x:c r="S144" s="81" t="str">
        <x:v>기존 파일의 촬영정보·URL</x:v>
      </x:c>
    </x:row>
    <x:row r="145" ht="32" customHeight="1">
      <x:c r="A145" s="82" t="str">
        <x:v>CW35-B-N</x:v>
      </x:c>
      <x:c r="B145" s="82" t="str">
        <x:v>CW35-B</x:v>
      </x:c>
      <x:c r="C145" s="82" t="str">
        <x:v>네이버</x:v>
      </x:c>
      <x:c r="D145" s="85" t="e">
        <x:f>IF(F145&lt;&gt;"",HYPERLINK(F145,"거리뷰 열기"),HYPERLINK(Q145,IF(C145="네이버","네이버 위치","카카오 위치")))</x:f>
        <x:v>HYPERLINK is not implemented. linkLocation=https://map.naver.com/p/entry/coordinates/3zfsW3,2AECSQ?c=15.00,0,0,0,dh, friendlyName=네이버 위치</x:v>
      </x:c>
      <x:c r="E145" s="239"/>
      <x:c r="F145" s="87"/>
      <x:c r="G145" s="83"/>
      <x:c r="H145" s="83"/>
      <x:c r="I145" s="93"/>
      <x:c r="J145" s="83"/>
      <x:c r="K145" s="83"/>
      <x:c r="L145" s="93"/>
      <x:c r="M145" s="82" t="str">
        <x:v>N</x:v>
      </x:c>
      <x:c r="N145" s="90"/>
      <x:c r="O145" s="92" t="n">
        <x:v>37.38963516497338</x:v>
      </x:c>
      <x:c r="P145" s="92" t="n">
        <x:v>126.92564065557295</x:v>
      </x:c>
      <x:c r="Q145" s="82" t="str">
        <x:v>https://map.naver.com/p/entry/coordinates/3zfsW3,2AECSQ?c=15.00,0,0,0,dh</x:v>
      </x:c>
      <x:c r="R145" s="82"/>
      <x:c r="S145" s="82" t="str">
        <x:v>좌표 링크 추가 / 영상 미확정</x:v>
      </x:c>
    </x:row>
    <x:row r="146" ht="80" customHeight="1">
      <x:c r="A146" s="82" t="str">
        <x:v>CW35-B-K</x:v>
      </x:c>
      <x:c r="B146" s="82" t="str">
        <x:v>CW35-B</x:v>
      </x:c>
      <x:c r="C146" s="82" t="str">
        <x:v>카카오</x:v>
      </x:c>
      <x:c r="D146" s="85" t="e">
        <x:f>IF(F146&lt;&gt;"",HYPERLINK(F146,"거리뷰 열기"),HYPERLINK(Q146,IF(C146="네이버","네이버 위치","카카오 위치")))</x:f>
        <x:v>HYPERLINK is not implemented. linkLocation=https://map.kakao.com/?panoid=1202969653&amp;pan=339.7&amp;zoom=0&amp;map_type=TYPE_MAP&amp;map_attribute=ROADVIEW&amp;urlX=483529.0&amp;urlY=1080649.0, friendlyName=거리뷰 열기</x:v>
      </x:c>
      <x:c r="E146" s="239" t="n">
        <x:v>45978.49800925926</x:v>
      </x:c>
      <x:c r="F146" s="87" t="str">
        <x:v>https://map.kakao.com/?panoid=1202969653&amp;pan=339.7&amp;zoom=0&amp;map_type=TYPE_MAP&amp;map_attribute=ROADVIEW&amp;urlX=483529.0&amp;urlY=1080649.0</x:v>
      </x:c>
      <x:c r="G146" s="83"/>
      <x:c r="H146" s="83"/>
      <x:c r="I146" s="93"/>
      <x:c r="J146" s="83"/>
      <x:c r="K146" s="83"/>
      <x:c r="L146" s="93"/>
      <x:c r="M146" s="82" t="str">
        <x:v>N</x:v>
      </x:c>
      <x:c r="N146" s="90" t="n">
        <x:v>3.92</x:v>
      </x:c>
      <x:c r="O146" s="92" t="n">
        <x:v>37.38963516497338</x:v>
      </x:c>
      <x:c r="P146" s="92" t="n">
        <x:v>126.92564065557295</x:v>
      </x:c>
      <x:c r="Q146" s="82" t="str">
        <x:v>https://map.kakao.com/link/roadview/37.3896352,126.9256407</x:v>
      </x:c>
      <x:c r="R146" s="82" t="str">
        <x:v>1202969653</x:v>
      </x:c>
      <x:c r="S146" s="82" t="str">
        <x:v>기존 파일의 촬영정보·URL</x:v>
      </x:c>
    </x:row>
    <x:row r="147" ht="32" customHeight="1">
      <x:c r="A147" s="81" t="str">
        <x:v>CW36-A-N</x:v>
      </x:c>
      <x:c r="B147" s="81" t="str">
        <x:v>CW36-A</x:v>
      </x:c>
      <x:c r="C147" s="81" t="str">
        <x:v>네이버</x:v>
      </x:c>
      <x:c r="D147" s="84" t="e">
        <x:f>IF(F147&lt;&gt;"",HYPERLINK(F147,"거리뷰 열기"),HYPERLINK(Q147,IF(C147="네이버","네이버 위치","카카오 위치")))</x:f>
        <x:v>HYPERLINK is not implemented. linkLocation=https://map.naver.com/p/entry/coordinates/3zfsFq,2AECqJ?c=15.00,0,0,0,dh, friendlyName=네이버 위치</x:v>
      </x:c>
      <x:c r="E147" s="239"/>
      <x:c r="F147" s="87"/>
      <x:c r="G147" s="83"/>
      <x:c r="H147" s="83"/>
      <x:c r="I147" s="93"/>
      <x:c r="J147" s="83"/>
      <x:c r="K147" s="83"/>
      <x:c r="L147" s="93"/>
      <x:c r="M147" s="82" t="str">
        <x:v>Y</x:v>
      </x:c>
      <x:c r="N147" s="89"/>
      <x:c r="O147" s="91" t="n">
        <x:v>37.389460889905884</x:v>
      </x:c>
      <x:c r="P147" s="91" t="n">
        <x:v>126.92553763921738</x:v>
      </x:c>
      <x:c r="Q147" s="81" t="str">
        <x:v>https://map.naver.com/p/entry/coordinates/3zfsFq,2AECqJ?c=15.00,0,0,0,dh</x:v>
      </x:c>
      <x:c r="R147" s="81"/>
      <x:c r="S147" s="81" t="str">
        <x:v>좌표 링크 추가 / 영상 미확정</x:v>
      </x:c>
    </x:row>
    <x:row r="148" ht="80" customHeight="1">
      <x:c r="A148" s="81" t="str">
        <x:v>CW36-A-K</x:v>
      </x:c>
      <x:c r="B148" s="81" t="str">
        <x:v>CW36-A</x:v>
      </x:c>
      <x:c r="C148" s="81" t="str">
        <x:v>카카오</x:v>
      </x:c>
      <x:c r="D148" s="84" t="e">
        <x:f>IF(F148&lt;&gt;"",HYPERLINK(F148,"거리뷰 열기"),HYPERLINK(Q148,IF(C148="네이버","네이버 위치","카카오 위치")))</x:f>
        <x:v>HYPERLINK is not implemented. linkLocation=https://map.kakao.com/?panoid=1202970045&amp;pan=233.1&amp;zoom=0&amp;map_type=TYPE_MAP&amp;map_attribute=ROADVIEW&amp;urlX=483504.0&amp;urlY=1080615.0, friendlyName=거리뷰 열기</x:v>
      </x:c>
      <x:c r="E148" s="239" t="n">
        <x:v>45978.54866898148</x:v>
      </x:c>
      <x:c r="F148" s="87" t="str">
        <x:v>https://map.kakao.com/?panoid=1202970045&amp;pan=233.1&amp;zoom=0&amp;map_type=TYPE_MAP&amp;map_attribute=ROADVIEW&amp;urlX=483504.0&amp;urlY=1080615.0</x:v>
      </x:c>
      <x:c r="G148" s="83"/>
      <x:c r="H148" s="83"/>
      <x:c r="I148" s="93"/>
      <x:c r="J148" s="83"/>
      <x:c r="K148" s="83"/>
      <x:c r="L148" s="93"/>
      <x:c r="M148" s="82" t="str">
        <x:v>Y</x:v>
      </x:c>
      <x:c r="N148" s="89" t="n">
        <x:v>8.73</x:v>
      </x:c>
      <x:c r="O148" s="91" t="n">
        <x:v>37.389460889905884</x:v>
      </x:c>
      <x:c r="P148" s="91" t="n">
        <x:v>126.92553763921738</x:v>
      </x:c>
      <x:c r="Q148" s="81" t="str">
        <x:v>https://map.kakao.com/link/roadview/37.3894609,126.9255376</x:v>
      </x:c>
      <x:c r="R148" s="81" t="str">
        <x:v>1202970045</x:v>
      </x:c>
      <x:c r="S148" s="81" t="str">
        <x:v>기존 파일의 촬영정보·URL</x:v>
      </x:c>
    </x:row>
    <x:row r="149" ht="32" customHeight="1">
      <x:c r="A149" s="82" t="str">
        <x:v>CW36-B-N</x:v>
      </x:c>
      <x:c r="B149" s="82" t="str">
        <x:v>CW36-B</x:v>
      </x:c>
      <x:c r="C149" s="82" t="str">
        <x:v>네이버</x:v>
      </x:c>
      <x:c r="D149" s="85" t="e">
        <x:f>IF(F149&lt;&gt;"",HYPERLINK(F149,"거리뷰 열기"),HYPERLINK(Q149,IF(C149="네이버","네이버 위치","카카오 위치")))</x:f>
        <x:v>HYPERLINK is not implemented. linkLocation=https://map.naver.com/p/entry/coordinates/3zfssm,2AECBC?c=15.00,0,0,0,dh, friendlyName=네이버 위치</x:v>
      </x:c>
      <x:c r="E149" s="239"/>
      <x:c r="F149" s="87"/>
      <x:c r="G149" s="83"/>
      <x:c r="H149" s="83"/>
      <x:c r="I149" s="93"/>
      <x:c r="J149" s="83"/>
      <x:c r="K149" s="83"/>
      <x:c r="L149" s="93"/>
      <x:c r="M149" s="82" t="str">
        <x:v>Y</x:v>
      </x:c>
      <x:c r="N149" s="90"/>
      <x:c r="O149" s="92" t="n">
        <x:v>37.389528410094115</x:v>
      </x:c>
      <x:c r="P149" s="92" t="n">
        <x:v>126.92545656078262</x:v>
      </x:c>
      <x:c r="Q149" s="82" t="str">
        <x:v>https://map.naver.com/p/entry/coordinates/3zfssm,2AECBC?c=15.00,0,0,0,dh</x:v>
      </x:c>
      <x:c r="R149" s="82"/>
      <x:c r="S149" s="82" t="str">
        <x:v>좌표 링크 추가 / 영상 미확정</x:v>
      </x:c>
    </x:row>
    <x:row r="150" ht="80" customHeight="1">
      <x:c r="A150" s="82" t="str">
        <x:v>CW36-B-K</x:v>
      </x:c>
      <x:c r="B150" s="82" t="str">
        <x:v>CW36-B</x:v>
      </x:c>
      <x:c r="C150" s="82" t="str">
        <x:v>카카오</x:v>
      </x:c>
      <x:c r="D150" s="85" t="e">
        <x:f>IF(F150&lt;&gt;"",HYPERLINK(F150,"거리뷰 열기"),HYPERLINK(Q150,IF(C150="네이버","네이버 위치","카카오 위치")))</x:f>
        <x:v>HYPERLINK is not implemented. linkLocation=https://map.kakao.com/?panoid=1202970045&amp;pan=233.1&amp;zoom=0&amp;map_type=TYPE_MAP&amp;map_attribute=ROADVIEW&amp;urlX=483504.0&amp;urlY=1080615.0, friendlyName=거리뷰 열기</x:v>
      </x:c>
      <x:c r="E150" s="239" t="n">
        <x:v>45978.54866898148</x:v>
      </x:c>
      <x:c r="F150" s="87" t="str">
        <x:v>https://map.kakao.com/?panoid=1202970045&amp;pan=233.1&amp;zoom=0&amp;map_type=TYPE_MAP&amp;map_attribute=ROADVIEW&amp;urlX=483504.0&amp;urlY=1080615.0</x:v>
      </x:c>
      <x:c r="G150" s="83"/>
      <x:c r="H150" s="83"/>
      <x:c r="I150" s="93"/>
      <x:c r="J150" s="83"/>
      <x:c r="K150" s="83"/>
      <x:c r="L150" s="93"/>
      <x:c r="M150" s="82" t="str">
        <x:v>Y</x:v>
      </x:c>
      <x:c r="N150" s="90" t="n">
        <x:v>2.83</x:v>
      </x:c>
      <x:c r="O150" s="92" t="n">
        <x:v>37.389528410094115</x:v>
      </x:c>
      <x:c r="P150" s="92" t="n">
        <x:v>126.92545656078262</x:v>
      </x:c>
      <x:c r="Q150" s="82" t="str">
        <x:v>https://map.kakao.com/link/roadview/37.3895284,126.9254566</x:v>
      </x:c>
      <x:c r="R150" s="82" t="str">
        <x:v>1202970045</x:v>
      </x:c>
      <x:c r="S150" s="82" t="str">
        <x:v>기존 파일의 촬영정보·URL</x:v>
      </x:c>
    </x:row>
    <x:row r="151" ht="32" customHeight="1">
      <x:c r="A151" s="81" t="str">
        <x:v>CW37-A-N</x:v>
      </x:c>
      <x:c r="B151" s="81" t="str">
        <x:v>CW37-A</x:v>
      </x:c>
      <x:c r="C151" s="81" t="str">
        <x:v>네이버</x:v>
      </x:c>
      <x:c r="D151" s="84" t="e">
        <x:f>IF(F151&lt;&gt;"",HYPERLINK(F151,"거리뷰 열기"),HYPERLINK(Q151,IF(C151="네이버","네이버 위치","카카오 위치")))</x:f>
        <x:v>HYPERLINK is not implemented. linkLocation=https://map.naver.com/p/entry/coordinates/3zfsRo,2AECln?c=15.00,0,0,0,dh, friendlyName=네이버 위치</x:v>
      </x:c>
      <x:c r="E151" s="239"/>
      <x:c r="F151" s="87"/>
      <x:c r="G151" s="83"/>
      <x:c r="H151" s="83"/>
      <x:c r="I151" s="93"/>
      <x:c r="J151" s="83"/>
      <x:c r="K151" s="83"/>
      <x:c r="L151" s="93"/>
      <x:c r="M151" s="82" t="str">
        <x:v>N</x:v>
      </x:c>
      <x:c r="N151" s="89"/>
      <x:c r="O151" s="91" t="n">
        <x:v>37.38942767602712</x:v>
      </x:c>
      <x:c r="P151" s="91" t="n">
        <x:v>126.92561176972762</x:v>
      </x:c>
      <x:c r="Q151" s="81" t="str">
        <x:v>https://map.naver.com/p/entry/coordinates/3zfsRo,2AECln?c=15.00,0,0,0,dh</x:v>
      </x:c>
      <x:c r="R151" s="81"/>
      <x:c r="S151" s="81" t="str">
        <x:v>좌표 링크 추가 / 영상 미확정</x:v>
      </x:c>
    </x:row>
    <x:row r="152" ht="80" customHeight="1">
      <x:c r="A152" s="81" t="str">
        <x:v>CW37-A-K</x:v>
      </x:c>
      <x:c r="B152" s="81" t="str">
        <x:v>CW37-A</x:v>
      </x:c>
      <x:c r="C152" s="81" t="str">
        <x:v>카카오</x:v>
      </x:c>
      <x:c r="D152" s="84" t="e">
        <x:f>IF(F152&lt;&gt;"",HYPERLINK(F152,"거리뷰 열기"),HYPERLINK(Q152,IF(C152="네이버","네이버 위치","카카오 위치")))</x:f>
        <x:v>HYPERLINK is not implemented. linkLocation=https://map.kakao.com/?panoid=1202969651&amp;pan=339.3&amp;zoom=0&amp;map_type=TYPE_MAP&amp;map_attribute=ROADVIEW&amp;urlX=483546.0&amp;urlY=1080602.0, friendlyName=거리뷰 열기</x:v>
      </x:c>
      <x:c r="E152" s="239" t="n">
        <x:v>45978.49798611111</x:v>
      </x:c>
      <x:c r="F152" s="87" t="str">
        <x:v>https://map.kakao.com/?panoid=1202969651&amp;pan=339.3&amp;zoom=0&amp;map_type=TYPE_MAP&amp;map_attribute=ROADVIEW&amp;urlX=483546.0&amp;urlY=1080602.0</x:v>
      </x:c>
      <x:c r="G152" s="83"/>
      <x:c r="H152" s="83"/>
      <x:c r="I152" s="93"/>
      <x:c r="J152" s="83"/>
      <x:c r="K152" s="83"/>
      <x:c r="L152" s="93"/>
      <x:c r="M152" s="82" t="str">
        <x:v>N</x:v>
      </x:c>
      <x:c r="N152" s="89" t="n">
        <x:v>8.46</x:v>
      </x:c>
      <x:c r="O152" s="91" t="n">
        <x:v>37.38942767602712</x:v>
      </x:c>
      <x:c r="P152" s="91" t="n">
        <x:v>126.92561176972762</x:v>
      </x:c>
      <x:c r="Q152" s="81" t="str">
        <x:v>https://map.kakao.com/link/roadview/37.3894277,126.9256118</x:v>
      </x:c>
      <x:c r="R152" s="81" t="str">
        <x:v>1202969651</x:v>
      </x:c>
      <x:c r="S152" s="81" t="str">
        <x:v>기존 파일의 촬영정보·URL</x:v>
      </x:c>
    </x:row>
    <x:row r="153" ht="32" customHeight="1">
      <x:c r="A153" s="82" t="str">
        <x:v>CW37-B-N</x:v>
      </x:c>
      <x:c r="B153" s="82" t="str">
        <x:v>CW37-B</x:v>
      </x:c>
      <x:c r="C153" s="82" t="str">
        <x:v>네이버</x:v>
      </x:c>
      <x:c r="D153" s="85" t="e">
        <x:f>IF(F153&lt;&gt;"",HYPERLINK(F153,"거리뷰 열기"),HYPERLINK(Q153,IF(C153="네이버","네이버 위치","카카오 위치")))</x:f>
        <x:v>HYPERLINK is not implemented. linkLocation=https://map.naver.com/p/entry/coordinates/3zft6i,2AECpF?c=15.00,0,0,0,dh, friendlyName=네이버 위치</x:v>
      </x:c>
      <x:c r="E153" s="239"/>
      <x:c r="F153" s="87"/>
      <x:c r="G153" s="83"/>
      <x:c r="H153" s="83"/>
      <x:c r="I153" s="93"/>
      <x:c r="J153" s="83"/>
      <x:c r="K153" s="83"/>
      <x:c r="L153" s="93"/>
      <x:c r="M153" s="82" t="str">
        <x:v>N</x:v>
      </x:c>
      <x:c r="N153" s="90"/>
      <x:c r="O153" s="92" t="n">
        <x:v>37.38945428397289</x:v>
      </x:c>
      <x:c r="P153" s="92" t="n">
        <x:v>126.92570423027236</x:v>
      </x:c>
      <x:c r="Q153" s="82" t="str">
        <x:v>https://map.naver.com/p/entry/coordinates/3zft6i,2AECpF?c=15.00,0,0,0,dh</x:v>
      </x:c>
      <x:c r="R153" s="82"/>
      <x:c r="S153" s="82" t="str">
        <x:v>좌표 링크 추가 / 영상 미확정</x:v>
      </x:c>
    </x:row>
    <x:row r="154" ht="80" customHeight="1">
      <x:c r="A154" s="82" t="str">
        <x:v>CW37-B-K</x:v>
      </x:c>
      <x:c r="B154" s="82" t="str">
        <x:v>CW37-B</x:v>
      </x:c>
      <x:c r="C154" s="82" t="str">
        <x:v>카카오</x:v>
      </x:c>
      <x:c r="D154" s="85" t="e">
        <x:f>IF(F154&lt;&gt;"",HYPERLINK(F154,"거리뷰 열기"),HYPERLINK(Q154,IF(C154="네이버","네이버 위치","카카오 위치")))</x:f>
        <x:v>HYPERLINK is not implemented. linkLocation=https://map.kakao.com/?panoid=1202969651&amp;pan=339.3&amp;zoom=0&amp;map_type=TYPE_MAP&amp;map_attribute=ROADVIEW&amp;urlX=483546.0&amp;urlY=1080602.0, friendlyName=거리뷰 열기</x:v>
      </x:c>
      <x:c r="E154" s="239" t="n">
        <x:v>45978.49798611111</x:v>
      </x:c>
      <x:c r="F154" s="87" t="str">
        <x:v>https://map.kakao.com/?panoid=1202969651&amp;pan=339.3&amp;zoom=0&amp;map_type=TYPE_MAP&amp;map_attribute=ROADVIEW&amp;urlX=483546.0&amp;urlY=1080602.0</x:v>
      </x:c>
      <x:c r="G154" s="83"/>
      <x:c r="H154" s="83"/>
      <x:c r="I154" s="93"/>
      <x:c r="J154" s="83"/>
      <x:c r="K154" s="83"/>
      <x:c r="L154" s="93"/>
      <x:c r="M154" s="82" t="str">
        <x:v>N</x:v>
      </x:c>
      <x:c r="N154" s="90" t="n">
        <x:v>3.87</x:v>
      </x:c>
      <x:c r="O154" s="92" t="n">
        <x:v>37.38945428397289</x:v>
      </x:c>
      <x:c r="P154" s="92" t="n">
        <x:v>126.92570423027236</x:v>
      </x:c>
      <x:c r="Q154" s="82" t="str">
        <x:v>https://map.kakao.com/link/roadview/37.3894543,126.9257042</x:v>
      </x:c>
      <x:c r="R154" s="82" t="str">
        <x:v>1202969651</x:v>
      </x:c>
      <x:c r="S154" s="82" t="str">
        <x:v>기존 파일의 촬영정보·URL</x:v>
      </x:c>
    </x:row>
    <x:row r="155" ht="32" customHeight="1">
      <x:c r="A155" s="81" t="str">
        <x:v>CW38-A-N</x:v>
      </x:c>
      <x:c r="B155" s="81" t="str">
        <x:v>CW38-A</x:v>
      </x:c>
      <x:c r="C155" s="81" t="str">
        <x:v>네이버</x:v>
      </x:c>
      <x:c r="D155" s="84" t="e">
        <x:f>IF(F155&lt;&gt;"",HYPERLINK(F155,"거리뷰 열기"),HYPERLINK(Q155,IF(C155="네이버","네이버 위치","카카오 위치")))</x:f>
        <x:v>HYPERLINK is not implemented. linkLocation=https://map.naver.com/p/entry/coordinates/3zfrNg,2AEBSr?c=15.00,0,0,0,dh, friendlyName=네이버 위치</x:v>
      </x:c>
      <x:c r="E155" s="239"/>
      <x:c r="F155" s="87"/>
      <x:c r="G155" s="83"/>
      <x:c r="H155" s="83"/>
      <x:c r="I155" s="93"/>
      <x:c r="J155" s="83"/>
      <x:c r="K155" s="83"/>
      <x:c r="L155" s="93"/>
      <x:c r="M155" s="82" t="str">
        <x:v>Y</x:v>
      </x:c>
      <x:c r="N155" s="89"/>
      <x:c r="O155" s="91" t="n">
        <x:v>37.389248330727646</x:v>
      </x:c>
      <x:c r="P155" s="91" t="n">
        <x:v>126.92520180052233</x:v>
      </x:c>
      <x:c r="Q155" s="81" t="str">
        <x:v>https://map.naver.com/p/entry/coordinates/3zfrNg,2AEBSr?c=15.00,0,0,0,dh</x:v>
      </x:c>
      <x:c r="R155" s="81"/>
      <x:c r="S155" s="81" t="str">
        <x:v>좌표 링크 추가 / 영상 미확정</x:v>
      </x:c>
    </x:row>
    <x:row r="156" ht="80" customHeight="1">
      <x:c r="A156" s="81" t="str">
        <x:v>CW38-A-K</x:v>
      </x:c>
      <x:c r="B156" s="81" t="str">
        <x:v>CW38-A</x:v>
      </x:c>
      <x:c r="C156" s="81" t="str">
        <x:v>카카오</x:v>
      </x:c>
      <x:c r="D156" s="84" t="e">
        <x:f>IF(F156&lt;&gt;"",HYPERLINK(F156,"거리뷰 열기"),HYPERLINK(Q156,IF(C156="네이버","네이버 위치","카카오 위치")))</x:f>
        <x:v>HYPERLINK is not implemented. linkLocation=https://map.kakao.com/?panoid=1202970049&amp;pan=225.5&amp;zoom=0&amp;map_type=TYPE_MAP&amp;map_attribute=ROADVIEW&amp;urlX=483430.0&amp;urlY=1080548.0, friendlyName=거리뷰 열기</x:v>
      </x:c>
      <x:c r="E156" s="239" t="n">
        <x:v>45978.548726851855</x:v>
      </x:c>
      <x:c r="F156" s="87" t="str">
        <x:v>https://map.kakao.com/?panoid=1202970049&amp;pan=225.5&amp;zoom=0&amp;map_type=TYPE_MAP&amp;map_attribute=ROADVIEW&amp;urlX=483430.0&amp;urlY=1080548.0</x:v>
      </x:c>
      <x:c r="G156" s="83"/>
      <x:c r="H156" s="83"/>
      <x:c r="I156" s="93"/>
      <x:c r="J156" s="83"/>
      <x:c r="K156" s="83"/>
      <x:c r="L156" s="93"/>
      <x:c r="M156" s="82" t="str">
        <x:v>Y</x:v>
      </x:c>
      <x:c r="N156" s="89" t="n">
        <x:v>6.02</x:v>
      </x:c>
      <x:c r="O156" s="91" t="n">
        <x:v>37.389248330727646</x:v>
      </x:c>
      <x:c r="P156" s="91" t="n">
        <x:v>126.92520180052233</x:v>
      </x:c>
      <x:c r="Q156" s="81" t="str">
        <x:v>https://map.kakao.com/link/roadview/37.3892483,126.9252018</x:v>
      </x:c>
      <x:c r="R156" s="81" t="str">
        <x:v>1202970049</x:v>
      </x:c>
      <x:c r="S156" s="81" t="str">
        <x:v>기존 파일의 촬영정보·URL</x:v>
      </x:c>
    </x:row>
    <x:row r="157" ht="32" customHeight="1">
      <x:c r="A157" s="82" t="str">
        <x:v>CW38-B-N</x:v>
      </x:c>
      <x:c r="B157" s="82" t="str">
        <x:v>CW38-B</x:v>
      </x:c>
      <x:c r="C157" s="82" t="str">
        <x:v>네이버</x:v>
      </x:c>
      <x:c r="D157" s="85" t="e">
        <x:f>IF(F157&lt;&gt;"",HYPERLINK(F157,"거리뷰 열기"),HYPERLINK(Q157,IF(C157="네이버","네이버 위치","카카오 위치")))</x:f>
        <x:v>HYPERLINK is not implemented. linkLocation=https://map.naver.com/p/entry/coordinates/3zfrCW,2AEC12?c=15.00,0,0,0,dh, friendlyName=네이버 위치</x:v>
      </x:c>
      <x:c r="E157" s="239"/>
      <x:c r="F157" s="87"/>
      <x:c r="G157" s="83"/>
      <x:c r="H157" s="83"/>
      <x:c r="I157" s="93"/>
      <x:c r="J157" s="83"/>
      <x:c r="K157" s="83"/>
      <x:c r="L157" s="93"/>
      <x:c r="M157" s="82" t="str">
        <x:v>Y</x:v>
      </x:c>
      <x:c r="N157" s="90"/>
      <x:c r="O157" s="92" t="n">
        <x:v>37.38930162927237</x:v>
      </x:c>
      <x:c r="P157" s="92" t="n">
        <x:v>126.9251377994777</x:v>
      </x:c>
      <x:c r="Q157" s="82" t="str">
        <x:v>https://map.naver.com/p/entry/coordinates/3zfrCW,2AEC12?c=15.00,0,0,0,dh</x:v>
      </x:c>
      <x:c r="R157" s="82"/>
      <x:c r="S157" s="82" t="str">
        <x:v>좌표 링크 추가 / 영상 미확정</x:v>
      </x:c>
    </x:row>
    <x:row r="158" ht="80" customHeight="1">
      <x:c r="A158" s="82" t="str">
        <x:v>CW38-B-K</x:v>
      </x:c>
      <x:c r="B158" s="82" t="str">
        <x:v>CW38-B</x:v>
      </x:c>
      <x:c r="C158" s="82" t="str">
        <x:v>카카오</x:v>
      </x:c>
      <x:c r="D158" s="85" t="e">
        <x:f>IF(F158&lt;&gt;"",HYPERLINK(F158,"거리뷰 열기"),HYPERLINK(Q158,IF(C158="네이버","네이버 위치","카카오 위치")))</x:f>
        <x:v>HYPERLINK is not implemented. linkLocation=https://map.kakao.com/?panoid=1202970049&amp;pan=225.5&amp;zoom=0&amp;map_type=TYPE_MAP&amp;map_attribute=ROADVIEW&amp;urlX=483430.0&amp;urlY=1080548.0, friendlyName=거리뷰 열기</x:v>
      </x:c>
      <x:c r="E158" s="239" t="n">
        <x:v>45978.548726851855</x:v>
      </x:c>
      <x:c r="F158" s="87" t="str">
        <x:v>https://map.kakao.com/?panoid=1202970049&amp;pan=225.5&amp;zoom=0&amp;map_type=TYPE_MAP&amp;map_attribute=ROADVIEW&amp;urlX=483430.0&amp;urlY=1080548.0</x:v>
      </x:c>
      <x:c r="G158" s="83"/>
      <x:c r="H158" s="83"/>
      <x:c r="I158" s="93"/>
      <x:c r="J158" s="83"/>
      <x:c r="K158" s="83"/>
      <x:c r="L158" s="93"/>
      <x:c r="M158" s="82" t="str">
        <x:v>Y</x:v>
      </x:c>
      <x:c r="N158" s="90" t="n">
        <x:v>2.17</x:v>
      </x:c>
      <x:c r="O158" s="92" t="n">
        <x:v>37.38930162927237</x:v>
      </x:c>
      <x:c r="P158" s="92" t="n">
        <x:v>126.9251377994777</x:v>
      </x:c>
      <x:c r="Q158" s="82" t="str">
        <x:v>https://map.kakao.com/link/roadview/37.3893016,126.9251378</x:v>
      </x:c>
      <x:c r="R158" s="82" t="str">
        <x:v>1202970049</x:v>
      </x:c>
      <x:c r="S158" s="82" t="str">
        <x:v>기존 파일의 촬영정보·URL</x:v>
      </x:c>
    </x:row>
    <x:row r="159" ht="32" customHeight="1">
      <x:c r="A159" s="81" t="str">
        <x:v>CW39-A-N</x:v>
      </x:c>
      <x:c r="B159" s="81" t="str">
        <x:v>CW39-A</x:v>
      </x:c>
      <x:c r="C159" s="81" t="str">
        <x:v>네이버</x:v>
      </x:c>
      <x:c r="D159" s="84" t="e">
        <x:f>IF(F159&lt;&gt;"",HYPERLINK(F159,"거리뷰 열기"),HYPERLINK(Q159,IF(C159="네이버","네이버 위치","카카오 위치")))</x:f>
        <x:v>HYPERLINK is not implemented. linkLocation=https://map.naver.com/p/entry/coordinates/3zfrw3,2AEBRQ?c=15.00,0,0,0,dh, friendlyName=네이버 위치</x:v>
      </x:c>
      <x:c r="E159" s="239"/>
      <x:c r="F159" s="87"/>
      <x:c r="G159" s="83"/>
      <x:c r="H159" s="83"/>
      <x:c r="I159" s="93"/>
      <x:c r="J159" s="83"/>
      <x:c r="K159" s="83"/>
      <x:c r="L159" s="93"/>
      <x:c r="M159" s="82" t="str">
        <x:v>N</x:v>
      </x:c>
      <x:c r="N159" s="89"/>
      <x:c r="O159" s="91" t="n">
        <x:v>37.38924455741109</x:v>
      </x:c>
      <x:c r="P159" s="91" t="n">
        <x:v>126.92509509723544</x:v>
      </x:c>
      <x:c r="Q159" s="81" t="str">
        <x:v>https://map.naver.com/p/entry/coordinates/3zfrw3,2AEBRQ?c=15.00,0,0,0,dh</x:v>
      </x:c>
      <x:c r="R159" s="81"/>
      <x:c r="S159" s="81" t="str">
        <x:v>좌표 링크 추가 / 영상 미확정</x:v>
      </x:c>
    </x:row>
    <x:row r="160" ht="80" customHeight="1">
      <x:c r="A160" s="81" t="str">
        <x:v>CW39-A-K</x:v>
      </x:c>
      <x:c r="B160" s="81" t="str">
        <x:v>CW39-A</x:v>
      </x:c>
      <x:c r="C160" s="81" t="str">
        <x:v>카카오</x:v>
      </x:c>
      <x:c r="D160" s="84" t="e">
        <x:f>IF(F160&lt;&gt;"",HYPERLINK(F160,"거리뷰 열기"),HYPERLINK(Q160,IF(C160="네이버","네이버 위치","카카오 위치")))</x:f>
        <x:v>HYPERLINK is not implemented. linkLocation=https://map.kakao.com/?panoid=1202970050&amp;pan=224.2&amp;zoom=0&amp;map_type=TYPE_MAP&amp;map_attribute=ROADVIEW&amp;urlX=483412.0&amp;urlY=1080530.0, friendlyName=거리뷰 열기</x:v>
      </x:c>
      <x:c r="E160" s="239" t="n">
        <x:v>45978.548738425925</x:v>
      </x:c>
      <x:c r="F160" s="87" t="str">
        <x:v>https://map.kakao.com/?panoid=1202970050&amp;pan=224.2&amp;zoom=0&amp;map_type=TYPE_MAP&amp;map_attribute=ROADVIEW&amp;urlX=483412.0&amp;urlY=1080530.0</x:v>
      </x:c>
      <x:c r="G160" s="83"/>
      <x:c r="H160" s="83"/>
      <x:c r="I160" s="93"/>
      <x:c r="J160" s="83"/>
      <x:c r="K160" s="83"/>
      <x:c r="L160" s="93"/>
      <x:c r="M160" s="82" t="str">
        <x:v>N</x:v>
      </x:c>
      <x:c r="N160" s="89" t="n">
        <x:v>3.12</x:v>
      </x:c>
      <x:c r="O160" s="91" t="n">
        <x:v>37.38924455741109</x:v>
      </x:c>
      <x:c r="P160" s="91" t="n">
        <x:v>126.92509509723544</x:v>
      </x:c>
      <x:c r="Q160" s="81" t="str">
        <x:v>https://map.kakao.com/link/roadview/37.3892446,126.9250951</x:v>
      </x:c>
      <x:c r="R160" s="81" t="str">
        <x:v>1202970050</x:v>
      </x:c>
      <x:c r="S160" s="81" t="str">
        <x:v>기존 파일의 촬영정보·URL</x:v>
      </x:c>
    </x:row>
    <x:row r="161" ht="32" customHeight="1">
      <x:c r="A161" s="82" t="str">
        <x:v>CW39-B-N</x:v>
      </x:c>
      <x:c r="B161" s="82" t="str">
        <x:v>CW39-B</x:v>
      </x:c>
      <x:c r="C161" s="82" t="str">
        <x:v>네이버</x:v>
      </x:c>
      <x:c r="D161" s="85" t="e">
        <x:f>IF(F161&lt;&gt;"",HYPERLINK(F161,"거리뷰 열기"),HYPERLINK(Q161,IF(C161="네이버","네이버 위치","카카오 위치")))</x:f>
        <x:v>HYPERLINK is not implemented. linkLocation=https://map.naver.com/p/entry/coordinates/3zfrln,2AEC0J?c=15.00,0,0,0,dh, friendlyName=네이버 위치</x:v>
      </x:c>
      <x:c r="E161" s="239"/>
      <x:c r="F161" s="87"/>
      <x:c r="G161" s="83"/>
      <x:c r="H161" s="83"/>
      <x:c r="I161" s="93"/>
      <x:c r="J161" s="83"/>
      <x:c r="K161" s="83"/>
      <x:c r="L161" s="93"/>
      <x:c r="M161" s="82" t="str">
        <x:v>N</x:v>
      </x:c>
      <x:c r="N161" s="90"/>
      <x:c r="O161" s="92" t="n">
        <x:v>37.38929968258892</x:v>
      </x:c>
      <x:c r="P161" s="92" t="n">
        <x:v>126.92502890276454</x:v>
      </x:c>
      <x:c r="Q161" s="82" t="str">
        <x:v>https://map.naver.com/p/entry/coordinates/3zfrln,2AEC0J?c=15.00,0,0,0,dh</x:v>
      </x:c>
      <x:c r="R161" s="82"/>
      <x:c r="S161" s="82" t="str">
        <x:v>좌표 링크 추가 / 영상 미확정</x:v>
      </x:c>
    </x:row>
    <x:row r="162" ht="80" customHeight="1">
      <x:c r="A162" s="82" t="str">
        <x:v>CW39-B-K</x:v>
      </x:c>
      <x:c r="B162" s="82" t="str">
        <x:v>CW39-B</x:v>
      </x:c>
      <x:c r="C162" s="82" t="str">
        <x:v>카카오</x:v>
      </x:c>
      <x:c r="D162" s="85" t="e">
        <x:f>IF(F162&lt;&gt;"",HYPERLINK(F162,"거리뷰 열기"),HYPERLINK(Q162,IF(C162="네이버","네이버 위치","카카오 위치")))</x:f>
        <x:v>HYPERLINK is not implemented. linkLocation=https://map.kakao.com/?panoid=1202970050&amp;pan=224.2&amp;zoom=0&amp;map_type=TYPE_MAP&amp;map_attribute=ROADVIEW&amp;urlX=483412.0&amp;urlY=1080530.0, friendlyName=거리뷰 열기</x:v>
      </x:c>
      <x:c r="E162" s="239" t="n">
        <x:v>45978.548738425925</x:v>
      </x:c>
      <x:c r="F162" s="87" t="str">
        <x:v>https://map.kakao.com/?panoid=1202970050&amp;pan=224.2&amp;zoom=0&amp;map_type=TYPE_MAP&amp;map_attribute=ROADVIEW&amp;urlX=483412.0&amp;urlY=1080530.0</x:v>
      </x:c>
      <x:c r="G162" s="83"/>
      <x:c r="H162" s="83"/>
      <x:c r="I162" s="93"/>
      <x:c r="J162" s="83"/>
      <x:c r="K162" s="83"/>
      <x:c r="L162" s="93"/>
      <x:c r="M162" s="82" t="str">
        <x:v>N</x:v>
      </x:c>
      <x:c r="N162" s="90" t="n">
        <x:v>9.44</x:v>
      </x:c>
      <x:c r="O162" s="92" t="n">
        <x:v>37.38929968258892</x:v>
      </x:c>
      <x:c r="P162" s="92" t="n">
        <x:v>126.92502890276454</x:v>
      </x:c>
      <x:c r="Q162" s="82" t="str">
        <x:v>https://map.kakao.com/link/roadview/37.3892997,126.9250289</x:v>
      </x:c>
      <x:c r="R162" s="82" t="str">
        <x:v>1202970050</x:v>
      </x:c>
      <x:c r="S162" s="82" t="str">
        <x:v>기존 파일의 촬영정보·URL</x:v>
      </x:c>
    </x:row>
    <x:row r="163" ht="32" customHeight="1">
      <x:c r="A163" s="81" t="str">
        <x:v>CW40-A-N</x:v>
      </x:c>
      <x:c r="B163" s="81" t="str">
        <x:v>CW40-A</x:v>
      </x:c>
      <x:c r="C163" s="81" t="str">
        <x:v>네이버</x:v>
      </x:c>
      <x:c r="D163" s="84" t="e">
        <x:f>IF(F163&lt;&gt;"",HYPERLINK(F163,"거리뷰 열기"),HYPERLINK(Q163,IF(C163="네이버","네이버 위치","카카오 위치")))</x:f>
        <x:v>HYPERLINK is not implemented. linkLocation=https://map.naver.com/p/entry/coordinates/3zfrr1,2AEBCd?c=15.00,0,0,0,dh, friendlyName=네이버 위치</x:v>
      </x:c>
      <x:c r="E163" s="239"/>
      <x:c r="F163" s="87"/>
      <x:c r="G163" s="83"/>
      <x:c r="H163" s="83"/>
      <x:c r="I163" s="93"/>
      <x:c r="J163" s="83"/>
      <x:c r="K163" s="83"/>
      <x:c r="L163" s="93"/>
      <x:c r="M163" s="82" t="str">
        <x:v>N</x:v>
      </x:c>
      <x:c r="N163" s="89"/>
      <x:c r="O163" s="91" t="n">
        <x:v>37.38914772596454</x:v>
      </x:c>
      <x:c r="P163" s="91" t="n">
        <x:v>126.92506392218567</x:v>
      </x:c>
      <x:c r="Q163" s="81" t="str">
        <x:v>https://map.naver.com/p/entry/coordinates/3zfrr1,2AEBCd?c=15.00,0,0,0,dh</x:v>
      </x:c>
      <x:c r="R163" s="81"/>
      <x:c r="S163" s="81" t="str">
        <x:v>좌표 링크 추가 / 영상 미확정</x:v>
      </x:c>
    </x:row>
    <x:row r="164" ht="80" customHeight="1">
      <x:c r="A164" s="81" t="str">
        <x:v>CW40-A-K</x:v>
      </x:c>
      <x:c r="B164" s="81" t="str">
        <x:v>CW40-A</x:v>
      </x:c>
      <x:c r="C164" s="81" t="str">
        <x:v>카카오</x:v>
      </x:c>
      <x:c r="D164" s="84" t="e">
        <x:f>IF(F164&lt;&gt;"",HYPERLINK(F164,"거리뷰 열기"),HYPERLINK(Q164,IF(C164="네이버","네이버 위치","카카오 위치")))</x:f>
        <x:v>HYPERLINK is not implemented. linkLocation=https://map.kakao.com/?panoid=1202970051&amp;pan=225.5&amp;zoom=0&amp;map_type=TYPE_MAP&amp;map_attribute=ROADVIEW&amp;urlX=483394.0&amp;urlY=1080512.0, friendlyName=거리뷰 열기</x:v>
      </x:c>
      <x:c r="E164" s="239" t="n">
        <x:v>45978.54875</x:v>
      </x:c>
      <x:c r="F164" s="87" t="str">
        <x:v>https://map.kakao.com/?panoid=1202970051&amp;pan=225.5&amp;zoom=0&amp;map_type=TYPE_MAP&amp;map_attribute=ROADVIEW&amp;urlX=483394.0&amp;urlY=1080512.0</x:v>
      </x:c>
      <x:c r="G164" s="83"/>
      <x:c r="H164" s="83"/>
      <x:c r="I164" s="93"/>
      <x:c r="J164" s="83"/>
      <x:c r="K164" s="83"/>
      <x:c r="L164" s="93"/>
      <x:c r="M164" s="82" t="str">
        <x:v>N</x:v>
      </x:c>
      <x:c r="N164" s="89" t="n">
        <x:v>6.44</x:v>
      </x:c>
      <x:c r="O164" s="91" t="n">
        <x:v>37.38914772596454</x:v>
      </x:c>
      <x:c r="P164" s="91" t="n">
        <x:v>126.92506392218567</x:v>
      </x:c>
      <x:c r="Q164" s="81" t="str">
        <x:v>https://map.kakao.com/link/roadview/37.3891477,126.9250639</x:v>
      </x:c>
      <x:c r="R164" s="81" t="str">
        <x:v>1202970051</x:v>
      </x:c>
      <x:c r="S164" s="81" t="str">
        <x:v>기존 파일의 촬영정보·URL</x:v>
      </x:c>
    </x:row>
    <x:row r="165" ht="32" customHeight="1">
      <x:c r="A165" s="82" t="str">
        <x:v>CW40-B-N</x:v>
      </x:c>
      <x:c r="B165" s="82" t="str">
        <x:v>CW40-B</x:v>
      </x:c>
      <x:c r="C165" s="82" t="str">
        <x:v>네이버</x:v>
      </x:c>
      <x:c r="D165" s="85" t="e">
        <x:f>IF(F165&lt;&gt;"",HYPERLINK(F165,"거리뷰 열기"),HYPERLINK(Q165,IF(C165="네이버","네이버 위치","카카오 위치")))</x:f>
        <x:v>HYPERLINK is not implemented. linkLocation=https://map.naver.com/p/entry/coordinates/3zfrgJ,2AEBKN?c=15.00,0,0,0,dh, friendlyName=네이버 위치</x:v>
      </x:c>
      <x:c r="E165" s="239"/>
      <x:c r="F165" s="87"/>
      <x:c r="G165" s="83"/>
      <x:c r="H165" s="83"/>
      <x:c r="I165" s="93"/>
      <x:c r="J165" s="83"/>
      <x:c r="K165" s="83"/>
      <x:c r="L165" s="93"/>
      <x:c r="M165" s="82" t="str">
        <x:v>N</x:v>
      </x:c>
      <x:c r="N165" s="90"/>
      <x:c r="O165" s="92" t="n">
        <x:v>37.38920089403547</x:v>
      </x:c>
      <x:c r="P165" s="92" t="n">
        <x:v>126.92500007781435</x:v>
      </x:c>
      <x:c r="Q165" s="82" t="str">
        <x:v>https://map.naver.com/p/entry/coordinates/3zfrgJ,2AEBKN?c=15.00,0,0,0,dh</x:v>
      </x:c>
      <x:c r="R165" s="82"/>
      <x:c r="S165" s="82" t="str">
        <x:v>좌표 링크 추가 / 영상 미확정</x:v>
      </x:c>
    </x:row>
    <x:row r="166" ht="80" customHeight="1">
      <x:c r="A166" s="82" t="str">
        <x:v>CW40-B-K</x:v>
      </x:c>
      <x:c r="B166" s="82" t="str">
        <x:v>CW40-B</x:v>
      </x:c>
      <x:c r="C166" s="82" t="str">
        <x:v>카카오</x:v>
      </x:c>
      <x:c r="D166" s="85" t="e">
        <x:f>IF(F166&lt;&gt;"",HYPERLINK(F166,"거리뷰 열기"),HYPERLINK(Q166,IF(C166="네이버","네이버 위치","카카오 위치")))</x:f>
        <x:v>HYPERLINK is not implemented. linkLocation=https://map.kakao.com/?panoid=1202970051&amp;pan=225.5&amp;zoom=0&amp;map_type=TYPE_MAP&amp;map_attribute=ROADVIEW&amp;urlX=483394.0&amp;urlY=1080512.0, friendlyName=거리뷰 열기</x:v>
      </x:c>
      <x:c r="E166" s="239" t="n">
        <x:v>45978.54875</x:v>
      </x:c>
      <x:c r="F166" s="87" t="str">
        <x:v>https://map.kakao.com/?panoid=1202970051&amp;pan=225.5&amp;zoom=0&amp;map_type=TYPE_MAP&amp;map_attribute=ROADVIEW&amp;urlX=483394.0&amp;urlY=1080512.0</x:v>
      </x:c>
      <x:c r="G166" s="83"/>
      <x:c r="H166" s="83"/>
      <x:c r="I166" s="93"/>
      <x:c r="J166" s="83"/>
      <x:c r="K166" s="83"/>
      <x:c r="L166" s="93"/>
      <x:c r="M166" s="82" t="str">
        <x:v>N</x:v>
      </x:c>
      <x:c r="N166" s="90" t="n">
        <x:v>4.88</x:v>
      </x:c>
      <x:c r="O166" s="92" t="n">
        <x:v>37.38920089403547</x:v>
      </x:c>
      <x:c r="P166" s="92" t="n">
        <x:v>126.92500007781435</x:v>
      </x:c>
      <x:c r="Q166" s="82" t="str">
        <x:v>https://map.kakao.com/link/roadview/37.3892009,126.9250001</x:v>
      </x:c>
      <x:c r="R166" s="82" t="str">
        <x:v>1202970051</x:v>
      </x:c>
      <x:c r="S166" s="82" t="str">
        <x:v>기존 파일의 촬영정보·URL</x:v>
      </x:c>
    </x:row>
  </x:sheetData>
  <x:conditionalFormatting sqref="H7:H166">
    <x:cfRule type="containsText" dxfId="28" priority="1" operator="containsText" text="unknown"/>
    <x:cfRule type="containsText" dxfId="29" priority="2" operator="containsText" text="block"/>
  </x:conditionalFormatting>
  <x:conditionalFormatting sqref="K7:K166">
    <x:cfRule type="containsText" dxfId="30" priority="3" operator="containsText" text="unknown"/>
    <x:cfRule type="containsText" dxfId="31" priority="4" operator="containsText" text="block"/>
  </x:conditionalFormatting>
  <x:dataValidations count="4">
    <x:dataValidation type="list" sqref="G7:G166">
      <x:formula1>"충분,일부,판독불가"</x:formula1>
    </x:dataValidation>
    <x:dataValidation type="list" sqref="J7:J166">
      <x:formula1>"충분,일부,판독불가"</x:formula1>
    </x:dataValidation>
    <x:dataValidation type="list" sqref="H7:H166">
      <x:formula1>"pass,block,unknown"</x:formula1>
    </x:dataValidation>
    <x:dataValidation type="list" sqref="K7:K166">
      <x:formula1>"pass,block,unknown"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FF2F6B8A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8" hidden="0" customWidth="1"/>
    <x:col min="2" max="2" width="24" hidden="0" customWidth="1"/>
    <x:col min="3" max="3" width="22" hidden="0" customWidth="1"/>
    <x:col min="4" max="4" width="19" hidden="0" customWidth="1"/>
    <x:col min="5" max="5" width="22" hidden="0" customWidth="1"/>
    <x:col min="6" max="6" width="25" hidden="0" customWidth="1"/>
    <x:col min="7" max="7" width="24" hidden="0" customWidth="1"/>
    <x:col min="8" max="8" width="38" hidden="0" customWidth="1"/>
  </x:cols>
  <x:sheetData>
    <x:row r="1">
      <x:c r="A1" s="67"/>
      <x:c r="B1" s="67"/>
      <x:c r="C1" s="67"/>
      <x:c r="D1" s="67"/>
      <x:c r="E1" s="67"/>
      <x:c r="F1" s="67"/>
      <x:c r="G1" s="67"/>
      <x:c r="H1" s="67"/>
    </x:row>
    <x:row r="2" ht="28" customHeight="1">
      <x:c r="A2" s="271" t="str">
        <x:v>사용자 조건별 판정 기준</x:v>
      </x:c>
      <x:c r="B2" s="271"/>
      <x:c r="C2" s="271"/>
      <x:c r="D2" s="271"/>
      <x:c r="E2" s="271"/>
      <x:c r="F2" s="271"/>
      <x:c r="G2" s="271"/>
      <x:c r="H2" s="271"/>
    </x:row>
    <x:row r="3" ht="22" customHeight="1">
      <x:c r="A3" s="272" t="str">
        <x:v>관찰 속성과 경로정책을 분리하고, 사람 승인 전에는 하드차단하지 않습니다.</x:v>
      </x:c>
      <x:c r="B3" s="272"/>
      <x:c r="C3" s="272"/>
      <x:c r="D3" s="272"/>
      <x:c r="E3" s="272"/>
      <x:c r="F3" s="272"/>
      <x:c r="G3" s="272"/>
      <x:c r="H3" s="272"/>
    </x:row>
    <x:row r="4">
      <x:c r="A4" s="273"/>
      <x:c r="B4" s="273"/>
      <x:c r="C4" s="273"/>
      <x:c r="D4" s="273"/>
      <x:c r="E4" s="273"/>
      <x:c r="F4" s="273"/>
      <x:c r="G4" s="273"/>
      <x:c r="H4" s="273"/>
    </x:row>
    <x:row r="5">
      <x:c r="A5" s="67"/>
      <x:c r="B5" s="67"/>
      <x:c r="C5" s="67"/>
      <x:c r="D5" s="67"/>
      <x:c r="E5" s="67"/>
      <x:c r="F5" s="67"/>
      <x:c r="G5" s="67"/>
      <x:c r="H5" s="67"/>
    </x:row>
    <x:row r="6" ht="24" customHeight="1">
      <x:c r="A6" s="274" t="str">
        <x:v>프로필별 경로정책</x:v>
      </x:c>
      <x:c r="B6" s="274"/>
      <x:c r="C6" s="274"/>
      <x:c r="D6" s="274"/>
      <x:c r="E6" s="274"/>
      <x:c r="F6" s="274"/>
      <x:c r="G6" s="274"/>
      <x:c r="H6" s="274"/>
    </x:row>
    <x:row r="7" ht="32" customHeight="1">
      <x:c r="A7" s="197" t="str">
        <x:v>프로필</x:v>
      </x:c>
      <x:c r="B7" s="198" t="str">
        <x:v>관찰 속성</x:v>
      </x:c>
      <x:c r="C7" s="198" t="str">
        <x:v>관찰값</x:v>
      </x:c>
      <x:c r="D7" s="198" t="str">
        <x:v>후보 상태</x:v>
      </x:c>
      <x:c r="E7" s="198" t="str">
        <x:v>하드차단</x:v>
      </x:c>
      <x:c r="F7" s="198" t="str">
        <x:v>가중치/경고</x:v>
      </x:c>
      <x:c r="G7" s="198" t="str">
        <x:v>승인 조건</x:v>
      </x:c>
      <x:c r="H7" s="199" t="str">
        <x:v>주의</x:v>
      </x:c>
    </x:row>
    <x:row r="8" ht="46" customHeight="1">
      <x:c r="A8" s="109" t="str">
        <x:v>휠체어</x:v>
      </x:c>
      <x:c r="B8" s="109" t="str">
        <x:v>보도턱낮춤</x:v>
      </x:c>
      <x:c r="C8" s="109" t="str">
        <x:v>없음</x:v>
      </x:c>
      <x:c r="D8" s="109" t="str">
        <x:v>물리 제약 후보</x:v>
      </x:c>
      <x:c r="E8" s="109" t="str">
        <x:v>검수 후 가능</x:v>
      </x:c>
      <x:c r="F8" s="109" t="str">
        <x:v>우회 우선</x:v>
      </x:c>
      <x:c r="G8" s="109" t="str">
        <x:v>사람 또는 현장 확인</x:v>
      </x:c>
      <x:c r="H8" s="109" t="str">
        <x:v>자산 단위 원자료를 양단 확정값으로 사용 금지</x:v>
      </x:c>
    </x:row>
    <x:row r="9" ht="46" customHeight="1">
      <x:c r="A9" s="109" t="str">
        <x:v>휠체어</x:v>
      </x:c>
      <x:c r="B9" s="109" t="str">
        <x:v>단차·계단</x:v>
      </x:c>
      <x:c r="C9" s="109" t="str">
        <x:v>확인됨</x:v>
      </x:c>
      <x:c r="D9" s="109" t="str">
        <x:v>물리 제약 후보</x:v>
      </x:c>
      <x:c r="E9" s="109" t="str">
        <x:v>검수 후 가능</x:v>
      </x:c>
      <x:c r="F9" s="109" t="str">
        <x:v>우회 우선</x:v>
      </x:c>
      <x:c r="G9" s="109" t="str">
        <x:v>사람 또는 현장 확인</x:v>
      </x:c>
      <x:c r="H9" s="109" t="str">
        <x:v>영상으로 높이 수치 추정 금지</x:v>
      </x:c>
    </x:row>
    <x:row r="10" ht="46" customHeight="1">
      <x:c r="A10" s="109" t="str">
        <x:v>휠체어</x:v>
      </x:c>
      <x:c r="B10" s="109" t="str">
        <x:v>고정 장애물</x:v>
      </x:c>
      <x:c r="C10" s="109" t="str">
        <x:v>통행폭 차단</x:v>
      </x:c>
      <x:c r="D10" s="109" t="str">
        <x:v>물리 제약 후보</x:v>
      </x:c>
      <x:c r="E10" s="109" t="str">
        <x:v>검수 후 가능</x:v>
      </x:c>
      <x:c r="F10" s="109" t="str">
        <x:v>우회 우선</x:v>
      </x:c>
      <x:c r="G10" s="109" t="str">
        <x:v>유효폭 확인</x:v>
      </x:c>
      <x:c r="H10" s="109" t="str">
        <x:v>일시 장애물과 분리</x:v>
      </x:c>
    </x:row>
    <x:row r="11" ht="46" customHeight="1">
      <x:c r="A11" s="109" t="str">
        <x:v>휠체어</x:v>
      </x:c>
      <x:c r="B11" s="109" t="str">
        <x:v>점자블록</x:v>
      </x:c>
      <x:c r="C11" s="109" t="str">
        <x:v>없음·파손</x:v>
      </x:c>
      <x:c r="D11" s="109" t="str">
        <x:v>점자 결함 후보</x:v>
      </x:c>
      <x:c r="E11" s="109" t="str">
        <x:v>N</x:v>
      </x:c>
      <x:c r="F11" s="109" t="str">
        <x:v>경로 차단 없음</x:v>
      </x:c>
      <x:c r="G11" s="109" t="str">
        <x:v>시각장애 정책에서 처리</x:v>
      </x:c>
      <x:c r="H11" s="109" t="str">
        <x:v>휠체어 판정에 사용하지 않음</x:v>
      </x:c>
    </x:row>
    <x:row r="12" ht="46" customHeight="1">
      <x:c r="A12" s="109" t="str">
        <x:v>휠체어</x:v>
      </x:c>
      <x:c r="B12" s="109" t="str">
        <x:v>가림·시야부족</x:v>
      </x:c>
      <x:c r="C12" s="109" t="str">
        <x:v>판독불가</x:v>
      </x:c>
      <x:c r="D12" s="109" t="str">
        <x:v>unknown</x:v>
      </x:c>
      <x:c r="E12" s="109" t="str">
        <x:v>N</x:v>
      </x:c>
      <x:c r="F12" s="109" t="str">
        <x:v>불확실성 표시</x:v>
      </x:c>
      <x:c r="G12" s="109" t="str">
        <x:v>재관측</x:v>
      </x:c>
      <x:c r="H12" s="109" t="str">
        <x:v>통과 또는 차단으로 치환 금지</x:v>
      </x:c>
    </x:row>
    <x:row r="13" ht="46" customHeight="1">
      <x:c r="A13" s="109" t="str">
        <x:v>시각장애</x:v>
      </x:c>
      <x:c r="B13" s="109" t="str">
        <x:v>점자블록</x:v>
      </x:c>
      <x:c r="C13" s="109" t="str">
        <x:v>없음·파손</x:v>
      </x:c>
      <x:c r="D13" s="109" t="str">
        <x:v>안내 위험 후보</x:v>
      </x:c>
      <x:c r="E13" s="109" t="str">
        <x:v>기본 N</x:v>
      </x:c>
      <x:c r="F13" s="109" t="str">
        <x:v>회피 가중치·경고</x:v>
      </x:c>
      <x:c r="G13" s="109" t="str">
        <x:v>사용자 선호+사람 확인</x:v>
      </x:c>
      <x:c r="H13" s="109" t="str">
        <x:v>보편적 통행불가로 단정 금지</x:v>
      </x:c>
    </x:row>
    <x:row r="14" ht="46" customHeight="1">
      <x:c r="A14" s="109" t="str">
        <x:v>시각장애</x:v>
      </x:c>
      <x:c r="B14" s="109" t="str">
        <x:v>음향신호</x:v>
      </x:c>
      <x:c r="C14" s="109" t="str">
        <x:v>없음·미확인</x:v>
      </x:c>
      <x:c r="D14" s="109" t="str">
        <x:v>안내 위험 후보</x:v>
      </x:c>
      <x:c r="E14" s="109" t="str">
        <x:v>기본 N</x:v>
      </x:c>
      <x:c r="F14" s="109" t="str">
        <x:v>회피 가중치·경고</x:v>
      </x:c>
      <x:c r="G14" s="109" t="str">
        <x:v>별도 데이터 확인</x:v>
      </x:c>
      <x:c r="H14" s="109" t="str">
        <x:v>현재 데이터에 없음</x:v>
      </x:c>
    </x:row>
    <x:row r="15" ht="46" customHeight="1">
      <x:c r="A15" s="109" t="str">
        <x:v>시각장애</x:v>
      </x:c>
      <x:c r="B15" s="109" t="str">
        <x:v>보행공간 단절</x:v>
      </x:c>
      <x:c r="C15" s="109" t="str">
        <x:v>확인됨</x:v>
      </x:c>
      <x:c r="D15" s="109" t="str">
        <x:v>물리 제약 후보</x:v>
      </x:c>
      <x:c r="E15" s="109" t="str">
        <x:v>검수 후 가능</x:v>
      </x:c>
      <x:c r="F15" s="109" t="str">
        <x:v>우회 우선</x:v>
      </x:c>
      <x:c r="G15" s="109" t="str">
        <x:v>사람 또는 현장 확인</x:v>
      </x:c>
      <x:c r="H15" s="109" t="str">
        <x:v>진행방향 확인</x:v>
      </x:c>
    </x:row>
    <x:row r="16" ht="46" customHeight="1">
      <x:c r="A16" s="109" t="str">
        <x:v>공통</x:v>
      </x:c>
      <x:c r="B16" s="109" t="str">
        <x:v>공사·임시 장애물</x:v>
      </x:c>
      <x:c r="C16" s="109" t="str">
        <x:v>확인됨</x:v>
      </x:c>
      <x:c r="D16" s="109" t="str">
        <x:v>시간제 차단 후보</x:v>
      </x:c>
      <x:c r="E16" s="109" t="str">
        <x:v>최신성 충족 시 가능</x:v>
      </x:c>
      <x:c r="F16" s="109" t="str">
        <x:v>만료·재확인</x:v>
      </x:c>
      <x:c r="G16" s="109" t="str">
        <x:v>유효시점+사람 확인</x:v>
      </x:c>
      <x:c r="H16" s="109" t="str">
        <x:v>영구 차단 금지</x:v>
      </x:c>
    </x:row>
    <x:row r="17" ht="46" customHeight="1">
      <x:c r="A17" s="109" t="str">
        <x:v>공통</x:v>
      </x:c>
      <x:c r="B17" s="109" t="str">
        <x:v>공란</x:v>
      </x:c>
      <x:c r="C17" s="109" t="str">
        <x:v>미관측</x:v>
      </x:c>
      <x:c r="D17" s="109" t="str">
        <x:v>unknown</x:v>
      </x:c>
      <x:c r="E17" s="109" t="str">
        <x:v>N</x:v>
      </x:c>
      <x:c r="F17" s="109" t="str">
        <x:v>기본경로 중립</x:v>
      </x:c>
      <x:c r="G17" s="109" t="str">
        <x:v>민감도 분석만 별도</x:v>
      </x:c>
      <x:c r="H17" s="109" t="str">
        <x:v>1.15를 기본정책으로 사용 금지</x:v>
      </x:c>
    </x:row>
    <x:row r="18" ht="46" customHeight="1">
      <x:c r="A18" s="109" t="str">
        <x:v>공통</x:v>
      </x:c>
      <x:c r="B18" s="109" t="str">
        <x:v>위치 불일치</x:v>
      </x:c>
      <x:c r="C18" s="109" t="str">
        <x:v>확인됨</x:v>
      </x:c>
      <x:c r="D18" s="109" t="str">
        <x:v>geometry_review</x:v>
      </x:c>
      <x:c r="E18" s="109" t="str">
        <x:v>N</x:v>
      </x:c>
      <x:c r="F18" s="109" t="str">
        <x:v>경로 계산 제외</x:v>
      </x:c>
      <x:c r="G18" s="109" t="str">
        <x:v>좌표 보정 완료</x:v>
      </x:c>
      <x:c r="H18" s="109" t="str">
        <x:v>사람 검수 전 선행</x:v>
      </x:c>
    </x:row>
    <x:row r="19" ht="46" customHeight="1">
      <x:c r="A19" s="109" t="str">
        <x:v>공통</x:v>
      </x:c>
      <x:c r="B19" s="109" t="str">
        <x:v>영상 간 불일치</x:v>
      </x:c>
      <x:c r="C19" s="109" t="str">
        <x:v>확인됨</x:v>
      </x:c>
      <x:c r="D19" s="109" t="str">
        <x:v>needs_adjudication</x:v>
      </x:c>
      <x:c r="E19" s="109" t="str">
        <x:v>N</x:v>
      </x:c>
      <x:c r="F19" s="109" t="str">
        <x:v>사람 조정</x:v>
      </x:c>
      <x:c r="G19" s="109" t="str">
        <x:v>독립 판독·조정</x:v>
      </x:c>
      <x:c r="H19" s="109" t="str">
        <x:v>최신 영상 자동 우선 금지</x:v>
      </x:c>
    </x:row>
    <x:row r="20">
      <x:c r="A20" s="67"/>
      <x:c r="B20" s="67"/>
      <x:c r="C20" s="67"/>
      <x:c r="D20" s="67"/>
      <x:c r="E20" s="67"/>
      <x:c r="F20" s="67"/>
      <x:c r="G20" s="67"/>
      <x:c r="H20" s="67"/>
    </x:row>
    <x:row r="21" ht="24" customHeight="1">
      <x:c r="A21" s="274" t="str">
        <x:v>상태 승격 규칙</x:v>
      </x:c>
      <x:c r="B21" s="274"/>
      <x:c r="C21" s="274"/>
      <x:c r="D21" s="274"/>
      <x:c r="E21" s="274"/>
      <x:c r="F21" s="274"/>
      <x:c r="G21" s="274"/>
      <x:c r="H21" s="274"/>
    </x:row>
    <x:row r="22" ht="32" customHeight="1">
      <x:c r="A22" s="197" t="str">
        <x:v>현재 상태</x:v>
      </x:c>
      <x:c r="B22" s="198" t="str">
        <x:v>다음 상태</x:v>
      </x:c>
      <x:c r="C22" s="198" t="str">
        <x:v>필수 근거</x:v>
      </x:c>
      <x:c r="D22" s="198" t="str">
        <x:v>경로 반영</x:v>
      </x:c>
      <x:c r="E22" s="198" t="str">
        <x:v>제출 표현</x:v>
      </x:c>
      <x:c r="F22" s="199" t="str">
        <x:v>금지 표현</x:v>
      </x:c>
      <x:c r="G22" s="67"/>
      <x:c r="H22" s="67"/>
    </x:row>
    <x:row r="23" ht="42" customHeight="1">
      <x:c r="A23" s="109" t="str">
        <x:v>candidate</x:v>
      </x:c>
      <x:c r="B23" s="109" t="str">
        <x:v>human_verified</x:v>
      </x:c>
      <x:c r="C23" s="109" t="str">
        <x:v>사람 독립 판독·필요 시 조정</x:v>
      </x:c>
      <x:c r="D23" s="109" t="str">
        <x:v>프로필 정책에 따라 조건부</x:v>
      </x:c>
      <x:c r="E23" s="109" t="str">
        <x:v>사람 검수 확인</x:v>
      </x:c>
      <x:c r="F23" s="109" t="str">
        <x:v>AI가 확정</x:v>
      </x:c>
      <x:c r="G23" s="67"/>
      <x:c r="H23" s="67"/>
    </x:row>
    <x:row r="24" ht="42" customHeight="1">
      <x:c r="A24" s="109" t="str">
        <x:v>human_verified</x:v>
      </x:c>
      <x:c r="B24" s="109" t="str">
        <x:v>field_verified</x:v>
      </x:c>
      <x:c r="C24" s="109" t="str">
        <x:v>현장 관찰·일자·촬영 근거</x:v>
      </x:c>
      <x:c r="D24" s="109" t="str">
        <x:v>가능</x:v>
      </x:c>
      <x:c r="E24" s="109" t="str">
        <x:v>현장 확인</x:v>
      </x:c>
      <x:c r="F24" s="109" t="str">
        <x:v>안양 전역 검증</x:v>
      </x:c>
      <x:c r="G24" s="67"/>
      <x:c r="H24" s="67"/>
    </x:row>
    <x:row r="25" ht="42" customHeight="1">
      <x:c r="A25" s="109" t="str">
        <x:v>unknown</x:v>
      </x:c>
      <x:c r="B25" s="109" t="str">
        <x:v>candidate</x:v>
      </x:c>
      <x:c r="C25" s="109" t="str">
        <x:v>식별 가능한 새 영상 또는 위치보정</x:v>
      </x:c>
      <x:c r="D25" s="109" t="str">
        <x:v>불가</x:v>
      </x:c>
      <x:c r="E25" s="109" t="str">
        <x:v>판독보류</x:v>
      </x:c>
      <x:c r="F25" s="109" t="str">
        <x:v>통행 가능</x:v>
      </x:c>
      <x:c r="G25" s="67"/>
      <x:c r="H25" s="67"/>
    </x:row>
    <x:row r="26" ht="42" customHeight="1">
      <x:c r="A26" s="109" t="str">
        <x:v>temporary_candidate</x:v>
      </x:c>
      <x:c r="B26" s="109" t="str">
        <x:v>active_restriction</x:v>
      </x:c>
      <x:c r="C26" s="109" t="str">
        <x:v>최신성·유효기간·사람 확인</x:v>
      </x:c>
      <x:c r="D26" s="109" t="str">
        <x:v>시간제</x:v>
      </x:c>
      <x:c r="E26" s="109" t="str">
        <x:v>관측시점 차단</x:v>
      </x:c>
      <x:c r="F26" s="109" t="str">
        <x:v>영구 차단</x:v>
      </x:c>
      <x:c r="G26" s="67"/>
      <x:c r="H26" s="67"/>
    </x:row>
    <x:row r="27" ht="42" customHeight="1">
      <x:c r="A27" s="109" t="str">
        <x:v>stale</x:v>
      </x:c>
      <x:c r="B27" s="109" t="str">
        <x:v>candidate</x:v>
      </x:c>
      <x:c r="C27" s="109" t="str">
        <x:v>재관측</x:v>
      </x:c>
      <x:c r="D27" s="109" t="str">
        <x:v>불가</x:v>
      </x:c>
      <x:c r="E27" s="109" t="str">
        <x:v>과거 관측</x:v>
      </x:c>
      <x:c r="F27" s="109" t="str">
        <x:v>현재 상태</x:v>
      </x:c>
      <x:c r="G27" s="67"/>
      <x:c r="H27" s="67"/>
    </x:row>
    <x:row r="28">
      <x:c r="A28" s="67"/>
      <x:c r="B28" s="67"/>
      <x:c r="C28" s="67"/>
      <x:c r="D28" s="67"/>
      <x:c r="E28" s="67"/>
      <x:c r="F28" s="67"/>
      <x:c r="G28" s="67"/>
      <x:c r="H28" s="67"/>
    </x:row>
    <x:row r="29">
      <x:c r="A29" s="67"/>
      <x:c r="B29" s="67"/>
      <x:c r="C29" s="67"/>
      <x:c r="D29" s="67"/>
      <x:c r="E29" s="67"/>
      <x:c r="F29" s="67"/>
      <x:c r="G29" s="67"/>
      <x:c r="H29" s="67"/>
    </x:row>
    <x:row r="30">
      <x:c r="A30" s="67"/>
      <x:c r="B30" s="67"/>
      <x:c r="C30" s="67"/>
      <x:c r="D30" s="67"/>
      <x:c r="E30" s="67"/>
      <x:c r="F30" s="67"/>
      <x:c r="G30" s="67"/>
      <x:c r="H30" s="67"/>
    </x:row>
    <x:row r="31">
      <x:c r="A31" s="67"/>
      <x:c r="B31" s="67"/>
      <x:c r="C31" s="67"/>
      <x:c r="D31" s="67"/>
      <x:c r="E31" s="67"/>
      <x:c r="F31" s="67"/>
      <x:c r="G31" s="67"/>
      <x:c r="H31" s="67"/>
    </x:row>
    <x:row r="32">
      <x:c r="A32" s="67"/>
      <x:c r="B32" s="67"/>
      <x:c r="C32" s="67"/>
      <x:c r="D32" s="67"/>
      <x:c r="E32" s="67"/>
      <x:c r="F32" s="67"/>
      <x:c r="G32" s="67"/>
      <x:c r="H32" s="67"/>
    </x:row>
    <x:row r="33">
      <x:c r="A33" s="67"/>
      <x:c r="B33" s="67"/>
      <x:c r="C33" s="67"/>
      <x:c r="D33" s="67"/>
      <x:c r="E33" s="67"/>
      <x:c r="F33" s="67"/>
      <x:c r="G33" s="67"/>
      <x:c r="H33" s="67"/>
    </x:row>
    <x:row r="34">
      <x:c r="A34" s="67"/>
      <x:c r="B34" s="67"/>
      <x:c r="C34" s="67"/>
      <x:c r="D34" s="67"/>
      <x:c r="E34" s="67"/>
      <x:c r="F34" s="67"/>
      <x:c r="G34" s="67"/>
      <x:c r="H34" s="67"/>
    </x:row>
    <x:row r="35">
      <x:c r="A35" s="67"/>
      <x:c r="B35" s="67"/>
      <x:c r="C35" s="67"/>
      <x:c r="D35" s="67"/>
      <x:c r="E35" s="67"/>
      <x:c r="F35" s="67"/>
      <x:c r="G35" s="67"/>
      <x:c r="H35" s="67"/>
    </x:row>
    <x:row r="36">
      <x:c r="A36" s="67"/>
      <x:c r="B36" s="67"/>
      <x:c r="C36" s="67"/>
      <x:c r="D36" s="67"/>
      <x:c r="E36" s="67"/>
      <x:c r="F36" s="67"/>
      <x:c r="G36" s="67"/>
      <x:c r="H36" s="67"/>
    </x:row>
    <x:row r="37">
      <x:c r="A37" s="67"/>
      <x:c r="B37" s="67"/>
      <x:c r="C37" s="67"/>
      <x:c r="D37" s="67"/>
      <x:c r="E37" s="67"/>
      <x:c r="F37" s="67"/>
      <x:c r="G37" s="67"/>
      <x:c r="H37" s="67"/>
    </x:row>
    <x:row r="38">
      <x:c r="A38" s="67"/>
      <x:c r="B38" s="67"/>
      <x:c r="C38" s="67"/>
      <x:c r="D38" s="67"/>
      <x:c r="E38" s="67"/>
      <x:c r="F38" s="67"/>
      <x:c r="G38" s="67"/>
      <x:c r="H38" s="67"/>
    </x:row>
    <x:row r="39">
      <x:c r="A39" s="67"/>
      <x:c r="B39" s="67"/>
      <x:c r="C39" s="67"/>
      <x:c r="D39" s="67"/>
      <x:c r="E39" s="67"/>
      <x:c r="F39" s="67"/>
      <x:c r="G39" s="67"/>
      <x:c r="H39" s="67"/>
    </x:row>
    <x:row r="40">
      <x:c r="A40" s="67"/>
      <x:c r="B40" s="67"/>
      <x:c r="C40" s="67"/>
      <x:c r="D40" s="67"/>
      <x:c r="E40" s="67"/>
      <x:c r="F40" s="67"/>
      <x:c r="G40" s="67"/>
      <x:c r="H40" s="67"/>
    </x:row>
    <x:row r="41">
      <x:c r="A41" s="67"/>
      <x:c r="B41" s="67"/>
      <x:c r="C41" s="67"/>
      <x:c r="D41" s="67"/>
      <x:c r="E41" s="67"/>
      <x:c r="F41" s="67"/>
      <x:c r="G41" s="67"/>
      <x:c r="H41" s="67"/>
    </x:row>
    <x:row r="42">
      <x:c r="A42" s="67"/>
      <x:c r="B42" s="67"/>
      <x:c r="C42" s="67"/>
      <x:c r="D42" s="67"/>
      <x:c r="E42" s="67"/>
      <x:c r="F42" s="67"/>
      <x:c r="G42" s="67"/>
      <x:c r="H42" s="67"/>
    </x:row>
    <x:row r="43">
      <x:c r="A43" s="67"/>
      <x:c r="B43" s="67"/>
      <x:c r="C43" s="67"/>
      <x:c r="D43" s="67"/>
      <x:c r="E43" s="67"/>
      <x:c r="F43" s="67"/>
      <x:c r="G43" s="67"/>
      <x:c r="H43" s="67"/>
    </x:row>
    <x:row r="44">
      <x:c r="A44" s="67"/>
      <x:c r="B44" s="67"/>
      <x:c r="C44" s="67"/>
      <x:c r="D44" s="67"/>
      <x:c r="E44" s="67"/>
      <x:c r="F44" s="67"/>
      <x:c r="G44" s="67"/>
      <x:c r="H44" s="67"/>
    </x:row>
    <x:row r="45">
      <x:c r="A45" s="67"/>
      <x:c r="B45" s="67"/>
      <x:c r="C45" s="67"/>
      <x:c r="D45" s="67"/>
      <x:c r="E45" s="67"/>
      <x:c r="F45" s="67"/>
      <x:c r="G45" s="67"/>
      <x:c r="H45" s="67"/>
    </x:row>
    <x:row r="46">
      <x:c r="A46" s="67"/>
      <x:c r="B46" s="67"/>
      <x:c r="C46" s="67"/>
      <x:c r="D46" s="67"/>
      <x:c r="E46" s="67"/>
      <x:c r="F46" s="67"/>
      <x:c r="G46" s="67"/>
      <x:c r="H46" s="67"/>
    </x:row>
    <x:row r="47">
      <x:c r="A47" s="67"/>
      <x:c r="B47" s="67"/>
      <x:c r="C47" s="67"/>
      <x:c r="D47" s="67"/>
      <x:c r="E47" s="67"/>
      <x:c r="F47" s="67"/>
      <x:c r="G47" s="67"/>
      <x:c r="H47" s="67"/>
    </x:row>
    <x:row r="48">
      <x:c r="A48" s="67"/>
      <x:c r="B48" s="67"/>
      <x:c r="C48" s="67"/>
      <x:c r="D48" s="67"/>
      <x:c r="E48" s="67"/>
      <x:c r="F48" s="67"/>
      <x:c r="G48" s="67"/>
      <x:c r="H48" s="67"/>
    </x:row>
    <x:row r="49">
      <x:c r="A49" s="67"/>
      <x:c r="B49" s="67"/>
      <x:c r="C49" s="67"/>
      <x:c r="D49" s="67"/>
      <x:c r="E49" s="67"/>
      <x:c r="F49" s="67"/>
      <x:c r="G49" s="67"/>
      <x:c r="H49" s="67"/>
    </x:row>
    <x:row r="50">
      <x:c r="A50" s="67"/>
      <x:c r="B50" s="67"/>
      <x:c r="C50" s="67"/>
      <x:c r="D50" s="67"/>
      <x:c r="E50" s="67"/>
      <x:c r="F50" s="67"/>
      <x:c r="G50" s="67"/>
      <x:c r="H50" s="67"/>
    </x:row>
    <x:row r="51">
      <x:c r="A51" s="67"/>
      <x:c r="B51" s="67"/>
      <x:c r="C51" s="67"/>
      <x:c r="D51" s="67"/>
      <x:c r="E51" s="67"/>
      <x:c r="F51" s="67"/>
      <x:c r="G51" s="67"/>
      <x:c r="H51" s="67"/>
    </x:row>
    <x:row r="52">
      <x:c r="A52" s="67"/>
      <x:c r="B52" s="67"/>
      <x:c r="C52" s="67"/>
      <x:c r="D52" s="67"/>
      <x:c r="E52" s="67"/>
      <x:c r="F52" s="67"/>
      <x:c r="G52" s="67"/>
      <x:c r="H52" s="67"/>
    </x:row>
    <x:row r="53">
      <x:c r="A53" s="67"/>
      <x:c r="B53" s="67"/>
      <x:c r="C53" s="67"/>
      <x:c r="D53" s="67"/>
      <x:c r="E53" s="67"/>
      <x:c r="F53" s="67"/>
      <x:c r="G53" s="67"/>
      <x:c r="H53" s="67"/>
    </x:row>
    <x:row r="54">
      <x:c r="A54" s="67"/>
      <x:c r="B54" s="67"/>
      <x:c r="C54" s="67"/>
      <x:c r="D54" s="67"/>
      <x:c r="E54" s="67"/>
      <x:c r="F54" s="67"/>
      <x:c r="G54" s="67"/>
      <x:c r="H54" s="67"/>
    </x:row>
    <x:row r="55">
      <x:c r="A55" s="67"/>
      <x:c r="B55" s="67"/>
      <x:c r="C55" s="67"/>
      <x:c r="D55" s="67"/>
      <x:c r="E55" s="67"/>
      <x:c r="F55" s="67"/>
      <x:c r="G55" s="67"/>
      <x:c r="H55" s="67"/>
    </x:row>
    <x:row r="56">
      <x:c r="A56" s="67"/>
      <x:c r="B56" s="67"/>
      <x:c r="C56" s="67"/>
      <x:c r="D56" s="67"/>
      <x:c r="E56" s="67"/>
      <x:c r="F56" s="67"/>
      <x:c r="G56" s="67"/>
      <x:c r="H56" s="67"/>
    </x:row>
    <x:row r="57">
      <x:c r="A57" s="67"/>
      <x:c r="B57" s="67"/>
      <x:c r="C57" s="67"/>
      <x:c r="D57" s="67"/>
      <x:c r="E57" s="67"/>
      <x:c r="F57" s="67"/>
      <x:c r="G57" s="67"/>
      <x:c r="H57" s="67"/>
    </x:row>
    <x:row r="58">
      <x:c r="A58" s="67"/>
      <x:c r="B58" s="67"/>
      <x:c r="C58" s="67"/>
      <x:c r="D58" s="67"/>
      <x:c r="E58" s="67"/>
      <x:c r="F58" s="67"/>
      <x:c r="G58" s="67"/>
      <x:c r="H58" s="67"/>
    </x:row>
    <x:row r="59">
      <x:c r="A59" s="67"/>
      <x:c r="B59" s="67"/>
      <x:c r="C59" s="67"/>
      <x:c r="D59" s="67"/>
      <x:c r="E59" s="67"/>
      <x:c r="F59" s="67"/>
      <x:c r="G59" s="67"/>
      <x:c r="H59" s="67"/>
    </x:row>
    <x:row r="60">
      <x:c r="A60" s="67"/>
      <x:c r="B60" s="67"/>
      <x:c r="C60" s="67"/>
      <x:c r="D60" s="67"/>
      <x:c r="E60" s="67"/>
      <x:c r="F60" s="67"/>
      <x:c r="G60" s="67"/>
      <x:c r="H60" s="67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Pr>
    <x:tabColor rgb="FFF5B942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4" hidden="0" customWidth="1"/>
    <x:col min="2" max="2" width="11" hidden="0" customWidth="1"/>
    <x:col min="3" max="3" width="9" hidden="0" customWidth="1"/>
    <x:col min="4" max="4" width="16" hidden="0" customWidth="1"/>
    <x:col min="5" max="5" width="16" hidden="0" customWidth="1"/>
    <x:col min="6" max="6" width="40" hidden="0" customWidth="1"/>
    <x:col min="7" max="7" width="40" hidden="0" customWidth="1"/>
    <x:col min="8" max="8" width="17" hidden="0" customWidth="1"/>
    <x:col min="9" max="9" width="16" hidden="0" customWidth="1"/>
    <x:col min="10" max="10" width="16" hidden="0" customWidth="1"/>
    <x:col min="11" max="11" width="25" hidden="0" customWidth="1"/>
    <x:col min="12" max="12" width="18" hidden="0" customWidth="1"/>
    <x:col min="13" max="13" width="15" hidden="0" customWidth="1"/>
    <x:col min="14" max="14" width="14" hidden="0" customWidth="1"/>
  </x:cols>
  <x:sheetData>
    <x:row r="1">
      <x:c r="A1" s="66"/>
      <x:c r="B1" s="66"/>
      <x:c r="C1" s="66"/>
      <x:c r="D1" s="66"/>
      <x:c r="E1" s="66"/>
      <x:c r="F1" s="66"/>
      <x:c r="G1" s="66"/>
      <x:c r="H1" s="66"/>
      <x:c r="I1" s="66"/>
      <x:c r="J1" s="66"/>
      <x:c r="K1" s="66"/>
      <x:c r="L1" s="66"/>
      <x:c r="M1" s="66"/>
      <x:c r="N1" s="66"/>
    </x:row>
    <x:row r="2" ht="28" customHeight="1">
      <x:c r="A2" s="131" t="str">
        <x:v>접근부 위치보정 큐 26건</x:v>
      </x:c>
      <x:c r="B2" s="131"/>
      <x:c r="C2" s="131"/>
      <x:c r="D2" s="131"/>
      <x:c r="E2" s="131"/>
      <x:c r="F2" s="131"/>
      <x:c r="G2" s="131"/>
      <x:c r="H2" s="131"/>
      <x:c r="I2" s="131"/>
      <x:c r="J2" s="131"/>
      <x:c r="K2" s="131"/>
      <x:c r="L2" s="131"/>
      <x:c r="M2" s="131"/>
      <x:c r="N2" s="131"/>
    </x:row>
    <x:row r="3" ht="22" customHeight="1">
      <x:c r="A3" s="132" t="str">
        <x:v>geometry_mismatch_candidate는 실패 확정값이 아니라 수동 위치보정 대상입니다. 노란 칸을 입력한 뒤 검수에 넘깁니다.</x:v>
      </x:c>
      <x:c r="B3" s="132"/>
      <x:c r="C3" s="132"/>
      <x:c r="D3" s="132"/>
      <x:c r="E3" s="132"/>
      <x:c r="F3" s="132"/>
      <x:c r="G3" s="132"/>
      <x:c r="H3" s="132"/>
      <x:c r="I3" s="132"/>
      <x:c r="J3" s="132"/>
      <x:c r="K3" s="132"/>
      <x:c r="L3" s="132"/>
      <x:c r="M3" s="132"/>
      <x:c r="N3" s="132"/>
    </x:row>
    <x:row r="4">
      <x:c r="A4" s="115"/>
      <x:c r="B4" s="115"/>
      <x:c r="C4" s="115"/>
      <x:c r="D4" s="115"/>
      <x:c r="E4" s="115"/>
      <x:c r="F4" s="115"/>
      <x:c r="G4" s="115"/>
      <x:c r="H4" s="115"/>
      <x:c r="I4" s="115"/>
      <x:c r="J4" s="115"/>
      <x:c r="K4" s="115"/>
      <x:c r="L4" s="115"/>
      <x:c r="M4" s="115"/>
      <x:c r="N4" s="115"/>
    </x:row>
    <x:row r="5">
      <x:c r="A5" s="66"/>
      <x:c r="B5" s="66"/>
      <x:c r="C5" s="66"/>
      <x:c r="D5" s="66"/>
      <x:c r="E5" s="66"/>
      <x:c r="F5" s="66"/>
      <x:c r="G5" s="66"/>
      <x:c r="H5" s="66"/>
      <x:c r="I5" s="66"/>
      <x:c r="J5" s="66"/>
      <x:c r="K5" s="66"/>
      <x:c r="L5" s="66"/>
      <x:c r="M5" s="66"/>
      <x:c r="N5" s="66"/>
    </x:row>
    <x:row r="6" ht="32" customHeight="1">
      <x:c r="A6" s="197" t="str">
        <x:v>접근부 ID</x:v>
      </x:c>
      <x:c r="B6" s="198" t="str">
        <x:v>표본 ID</x:v>
      </x:c>
      <x:c r="C6" s="198" t="str">
        <x:v>측면</x:v>
      </x:c>
      <x:c r="D6" s="198" t="str">
        <x:v>현재 위도</x:v>
      </x:c>
      <x:c r="E6" s="198" t="str">
        <x:v>현재 경도</x:v>
      </x:c>
      <x:c r="F6" s="198" t="str">
        <x:v>카카오 영상</x:v>
      </x:c>
      <x:c r="G6" s="198" t="str">
        <x:v>네이버 위치</x:v>
      </x:c>
      <x:c r="H6" s="198" t="str">
        <x:v>촬영점 거리(m)</x:v>
      </x:c>
      <x:c r="I6" s="198" t="str">
        <x:v>보정 위도</x:v>
      </x:c>
      <x:c r="J6" s="198" t="str">
        <x:v>보정 경도</x:v>
      </x:c>
      <x:c r="K6" s="198" t="str">
        <x:v>보정 방법</x:v>
      </x:c>
      <x:c r="L6" s="198" t="str">
        <x:v>상태</x:v>
      </x:c>
      <x:c r="M6" s="198" t="str">
        <x:v>보정자</x:v>
      </x:c>
      <x:c r="N6" s="199" t="str">
        <x:v>보정일</x:v>
      </x:c>
    </x:row>
    <x:row r="7" ht="38" customHeight="1">
      <x:c r="A7" s="67" t="str">
        <x:v>CW02-A</x:v>
      </x:c>
      <x:c r="B7" s="67" t="str">
        <x:v>CW02</x:v>
      </x:c>
      <x:c r="C7" s="67" t="str">
        <x:v>A</x:v>
      </x:c>
      <x:c r="D7" s="235" t="n">
        <x:v>37.402241089845866</x:v>
      </x:c>
      <x:c r="E7" s="235" t="n">
        <x:v>126.9216533145511</x:v>
      </x:c>
      <x:c r="F7" s="232" t="str">
        <x:v>https://map.kakao.com/?panoid=1203476225&amp;pan=326.4&amp;zoom=0&amp;map_type=TYPE_MAP&amp;map_attribute=ROADVIEW&amp;urlX=482616.0&amp;urlY=1084126.0</x:v>
      </x:c>
      <x:c r="G7" s="232" t="str">
        <x:v>https://map.naver.com/p/entry/coordinates/3zfiyV,2AF9G3?c=15.00,0,0,0,dh</x:v>
      </x:c>
      <x:c r="H7" s="237" t="n">
        <x:v>18.01</x:v>
      </x:c>
      <x:c r="I7" s="236"/>
      <x:c r="J7" s="236"/>
      <x:c r="K7" s="233"/>
      <x:c r="L7" s="233" t="str">
        <x:v>대기</x:v>
      </x:c>
      <x:c r="M7" s="233"/>
      <x:c r="N7" s="234"/>
    </x:row>
    <x:row r="8" ht="38" customHeight="1">
      <x:c r="A8" s="67" t="str">
        <x:v>CW02-B</x:v>
      </x:c>
      <x:c r="B8" s="67" t="str">
        <x:v>CW02</x:v>
      </x:c>
      <x:c r="C8" s="67" t="str">
        <x:v>B</x:v>
      </x:c>
      <x:c r="D8" s="235" t="n">
        <x:v>37.40226767015414</x:v>
      </x:c>
      <x:c r="E8" s="235" t="n">
        <x:v>126.92157948544892</x:v>
      </x:c>
      <x:c r="F8" s="232" t="str">
        <x:v>https://map.kakao.com/?panoid=1203476225&amp;pan=326.4&amp;zoom=0&amp;map_type=TYPE_MAP&amp;map_attribute=ROADVIEW&amp;urlX=482616.0&amp;urlY=1084126.0</x:v>
      </x:c>
      <x:c r="G8" s="232" t="str">
        <x:v>https://map.naver.com/p/entry/coordinates/3zfin1,2AF9Kl?c=15.00,0,0,0,dh</x:v>
      </x:c>
      <x:c r="H8" s="237" t="n">
        <x:v>14.06</x:v>
      </x:c>
      <x:c r="I8" s="236"/>
      <x:c r="J8" s="236"/>
      <x:c r="K8" s="233"/>
      <x:c r="L8" s="233" t="str">
        <x:v>대기</x:v>
      </x:c>
      <x:c r="M8" s="233"/>
      <x:c r="N8" s="234"/>
    </x:row>
    <x:row r="9" ht="38" customHeight="1">
      <x:c r="A9" s="67" t="str">
        <x:v>CW03-B</x:v>
      </x:c>
      <x:c r="B9" s="67" t="str">
        <x:v>CW03</x:v>
      </x:c>
      <x:c r="C9" s="67" t="str">
        <x:v>B</x:v>
      </x:c>
      <x:c r="D9" s="235" t="n">
        <x:v>37.40303852795509</x:v>
      </x:c>
      <x:c r="E9" s="235" t="n">
        <x:v>126.92232419359563</x:v>
      </x:c>
      <x:c r="F9" s="232" t="str">
        <x:v>https://map.kakao.com/?panoid=1202971207&amp;pan=327.3&amp;zoom=0&amp;map_type=TYPE_MAP&amp;map_attribute=ROADVIEW&amp;urlX=482811.0&amp;urlY=1084352.0</x:v>
      </x:c>
      <x:c r="G9" s="232" t="str">
        <x:v>https://map.naver.com/p/entry/coordinates/3zfkj8,2AFbKF?c=15.00,0,0,0,dh</x:v>
      </x:c>
      <x:c r="H9" s="237" t="n">
        <x:v>5.11</x:v>
      </x:c>
      <x:c r="I9" s="236"/>
      <x:c r="J9" s="236"/>
      <x:c r="K9" s="233"/>
      <x:c r="L9" s="233" t="str">
        <x:v>대기</x:v>
      </x:c>
      <x:c r="M9" s="233"/>
      <x:c r="N9" s="234"/>
    </x:row>
    <x:row r="10" ht="38" customHeight="1">
      <x:c r="A10" s="67" t="str">
        <x:v>CW07-A</x:v>
      </x:c>
      <x:c r="B10" s="67" t="str">
        <x:v>CW07</x:v>
      </x:c>
      <x:c r="C10" s="67" t="str">
        <x:v>A</x:v>
      </x:c>
      <x:c r="D10" s="235" t="n">
        <x:v>37.40172334566271</x:v>
      </x:c>
      <x:c r="E10" s="235" t="n">
        <x:v>126.92173024130342</x:v>
      </x:c>
      <x:c r="F10" s="232" t="str">
        <x:v>https://map.kakao.com/?panoid=1203476201&amp;pan=325.8&amp;zoom=0&amp;map_type=TYPE_MAP&amp;map_attribute=ROADVIEW&amp;urlX=482700.0&amp;urlY=1084002.0</x:v>
      </x:c>
      <x:c r="G10" s="232" t="str">
        <x:v>https://map.naver.com/p/entry/coordinates/3zfiLk,2AF8kx?c=15.00,0,0,0,dh</x:v>
      </x:c>
      <x:c r="H10" s="237" t="n">
        <x:v>10.14</x:v>
      </x:c>
      <x:c r="I10" s="236"/>
      <x:c r="J10" s="236"/>
      <x:c r="K10" s="233"/>
      <x:c r="L10" s="233" t="str">
        <x:v>대기</x:v>
      </x:c>
      <x:c r="M10" s="233"/>
      <x:c r="N10" s="234"/>
    </x:row>
    <x:row r="11" ht="38" customHeight="1">
      <x:c r="A11" s="67" t="str">
        <x:v>CW07-B</x:v>
      </x:c>
      <x:c r="B11" s="67" t="str">
        <x:v>CW07</x:v>
      </x:c>
      <x:c r="C11" s="67" t="str">
        <x:v>B</x:v>
      </x:c>
      <x:c r="D11" s="235" t="n">
        <x:v>37.4017507743373</x:v>
      </x:c>
      <x:c r="E11" s="235" t="n">
        <x:v>126.9217985586966</x:v>
      </x:c>
      <x:c r="F11" s="232" t="str">
        <x:v>https://map.kakao.com/?panoid=1203476201&amp;pan=325.8&amp;zoom=0&amp;map_type=TYPE_MAP&amp;map_attribute=ROADVIEW&amp;urlX=482700.0&amp;urlY=1084002.0</x:v>
      </x:c>
      <x:c r="G11" s="232" t="str">
        <x:v>https://map.naver.com/p/entry/coordinates/3zfiWm,2AF8oY?c=15.00,0,0,0,dh</x:v>
      </x:c>
      <x:c r="H11" s="237" t="n">
        <x:v>4.46</x:v>
      </x:c>
      <x:c r="I11" s="236"/>
      <x:c r="J11" s="236"/>
      <x:c r="K11" s="233"/>
      <x:c r="L11" s="233" t="str">
        <x:v>대기</x:v>
      </x:c>
      <x:c r="M11" s="233"/>
      <x:c r="N11" s="234"/>
    </x:row>
    <x:row r="12" ht="38" customHeight="1">
      <x:c r="A12" s="67" t="str">
        <x:v>CW09-A</x:v>
      </x:c>
      <x:c r="B12" s="67" t="str">
        <x:v>CW09</x:v>
      </x:c>
      <x:c r="C12" s="67" t="str">
        <x:v>A</x:v>
      </x:c>
      <x:c r="D12" s="235" t="n">
        <x:v>37.4012455863223</x:v>
      </x:c>
      <x:c r="E12" s="235" t="n">
        <x:v>126.92224733040224</x:v>
      </x:c>
      <x:c r="F12" s="232" t="str">
        <x:v>https://map.kakao.com/?panoid=1202871501&amp;pan=287.0&amp;zoom=0&amp;map_type=TYPE_MAP&amp;map_attribute=ROADVIEW&amp;urlX=482792.0&amp;urlY=1083853.0</x:v>
      </x:c>
      <x:c r="G12" s="232" t="str">
        <x:v>https://map.naver.com/p/entry/coordinates/3zfk6J,2AF75u?c=15.00,0,0,0,dh</x:v>
      </x:c>
      <x:c r="H12" s="237" t="n">
        <x:v>5.53</x:v>
      </x:c>
      <x:c r="I12" s="236"/>
      <x:c r="J12" s="236"/>
      <x:c r="K12" s="233"/>
      <x:c r="L12" s="233" t="str">
        <x:v>대기</x:v>
      </x:c>
      <x:c r="M12" s="233"/>
      <x:c r="N12" s="234"/>
    </x:row>
    <x:row r="13" ht="38" customHeight="1">
      <x:c r="A13" s="67" t="str">
        <x:v>CW09-B</x:v>
      </x:c>
      <x:c r="B13" s="67" t="str">
        <x:v>CW09</x:v>
      </x:c>
      <x:c r="C13" s="67" t="str">
        <x:v>B</x:v>
      </x:c>
      <x:c r="D13" s="235" t="n">
        <x:v>37.40129217367772</x:v>
      </x:c>
      <x:c r="E13" s="235" t="n">
        <x:v>126.92232506959778</x:v>
      </x:c>
      <x:c r="F13" s="232" t="str">
        <x:v>https://map.kakao.com/?panoid=1203476172&amp;pan=320.5&amp;zoom=0&amp;map_type=TYPE_MAP&amp;map_attribute=ROADVIEW&amp;urlX=482806.0&amp;urlY=1083863.0</x:v>
      </x:c>
      <x:c r="G13" s="232" t="str">
        <x:v>https://map.naver.com/p/entry/coordinates/3zfkjh,2AF7d0?c=15.00,0,0,0,dh</x:v>
      </x:c>
      <x:c r="H13" s="237" t="n">
        <x:v>6.57</x:v>
      </x:c>
      <x:c r="I13" s="236"/>
      <x:c r="J13" s="236"/>
      <x:c r="K13" s="233"/>
      <x:c r="L13" s="233" t="str">
        <x:v>대기</x:v>
      </x:c>
      <x:c r="M13" s="233"/>
      <x:c r="N13" s="234"/>
    </x:row>
    <x:row r="14" ht="38" customHeight="1">
      <x:c r="A14" s="67" t="str">
        <x:v>CW11-A</x:v>
      </x:c>
      <x:c r="B14" s="67" t="str">
        <x:v>CW11</x:v>
      </x:c>
      <x:c r="C14" s="67" t="str">
        <x:v>A</x:v>
      </x:c>
      <x:c r="D14" s="235" t="n">
        <x:v>37.401019360005925</x:v>
      </x:c>
      <x:c r="E14" s="235" t="n">
        <x:v>126.92269349040264</x:v>
      </x:c>
      <x:c r="F14" s="232" t="str">
        <x:v>https://map.kakao.com/?panoid=1202874755&amp;pan=320.5&amp;zoom=0&amp;map_type=TYPE_MAP&amp;map_attribute=ROADVIEW&amp;urlX=482856.0&amp;urlY=1083789.0</x:v>
      </x:c>
      <x:c r="G14" s="232" t="str">
        <x:v>https://map.naver.com/p/entry/coordinates/3zflgH,2AF6v0?c=15.00,0,0,0,dh</x:v>
      </x:c>
      <x:c r="H14" s="237" t="n">
        <x:v>13.98</x:v>
      </x:c>
      <x:c r="I14" s="236"/>
      <x:c r="J14" s="236"/>
      <x:c r="K14" s="233"/>
      <x:c r="L14" s="233" t="str">
        <x:v>대기</x:v>
      </x:c>
      <x:c r="M14" s="233"/>
      <x:c r="N14" s="234"/>
    </x:row>
    <x:row r="15" ht="38" customHeight="1">
      <x:c r="A15" s="67" t="str">
        <x:v>CW11-B</x:v>
      </x:c>
      <x:c r="B15" s="67" t="str">
        <x:v>CW11</x:v>
      </x:c>
      <x:c r="C15" s="67" t="str">
        <x:v>B</x:v>
      </x:c>
      <x:c r="D15" s="235" t="n">
        <x:v>37.40104407999407</x:v>
      </x:c>
      <x:c r="E15" s="235" t="n">
        <x:v>126.92273490959737</x:v>
      </x:c>
      <x:c r="F15" s="232" t="str">
        <x:v>https://map.kakao.com/?panoid=1202874755&amp;pan=320.5&amp;zoom=0&amp;map_type=TYPE_MAP&amp;map_attribute=ROADVIEW&amp;urlX=482856.0&amp;urlY=1083789.0</x:v>
      </x:c>
      <x:c r="G15" s="232" t="str">
        <x:v>https://map.naver.com/p/entry/coordinates/3zflnn,2AF6yZ?c=15.00,0,0,0,dh</x:v>
      </x:c>
      <x:c r="H15" s="237" t="n">
        <x:v>18.48</x:v>
      </x:c>
      <x:c r="I15" s="236"/>
      <x:c r="J15" s="236"/>
      <x:c r="K15" s="233"/>
      <x:c r="L15" s="233" t="str">
        <x:v>대기</x:v>
      </x:c>
      <x:c r="M15" s="233"/>
      <x:c r="N15" s="234"/>
    </x:row>
    <x:row r="16" ht="38" customHeight="1">
      <x:c r="A16" s="67" t="str">
        <x:v>CW12-A</x:v>
      </x:c>
      <x:c r="B16" s="67" t="str">
        <x:v>CW12</x:v>
      </x:c>
      <x:c r="C16" s="67" t="str">
        <x:v>A</x:v>
      </x:c>
      <x:c r="D16" s="235" t="n">
        <x:v>37.40099326142671</x:v>
      </x:c>
      <x:c r="E16" s="235" t="n">
        <x:v>126.92264523773848</x:v>
      </x:c>
      <x:c r="F16" s="232" t="str">
        <x:v>https://map.kakao.com/?panoid=1202874755&amp;pan=320.5&amp;zoom=0&amp;map_type=TYPE_MAP&amp;map_attribute=ROADVIEW&amp;urlX=482856.0&amp;urlY=1083789.0</x:v>
      </x:c>
      <x:c r="G16" s="232" t="str">
        <x:v>https://map.naver.com/p/entry/coordinates/3zfl8U,2AF6qN?c=15.00,0,0,0,dh</x:v>
      </x:c>
      <x:c r="H16" s="237" t="n">
        <x:v>8.94</x:v>
      </x:c>
      <x:c r="I16" s="236"/>
      <x:c r="J16" s="236"/>
      <x:c r="K16" s="233"/>
      <x:c r="L16" s="233" t="str">
        <x:v>대기</x:v>
      </x:c>
      <x:c r="M16" s="233"/>
      <x:c r="N16" s="234"/>
    </x:row>
    <x:row r="17" ht="38" customHeight="1">
      <x:c r="A17" s="67" t="str">
        <x:v>CW12-B</x:v>
      </x:c>
      <x:c r="B17" s="67" t="str">
        <x:v>CW12</x:v>
      </x:c>
      <x:c r="C17" s="67" t="str">
        <x:v>B</x:v>
      </x:c>
      <x:c r="D17" s="235" t="n">
        <x:v>37.401011598573284</x:v>
      </x:c>
      <x:c r="E17" s="235" t="n">
        <x:v>126.92267596226152</x:v>
      </x:c>
      <x:c r="F17" s="232" t="str">
        <x:v>https://map.kakao.com/?panoid=1202874755&amp;pan=320.5&amp;zoom=0&amp;map_type=TYPE_MAP&amp;map_attribute=ROADVIEW&amp;urlX=482856.0&amp;urlY=1083789.0</x:v>
      </x:c>
      <x:c r="G17" s="232" t="str">
        <x:v>https://map.naver.com/p/entry/coordinates/3zfldS,2AF6tK?c=15.00,0,0,0,dh</x:v>
      </x:c>
      <x:c r="H17" s="237" t="n">
        <x:v>12.22</x:v>
      </x:c>
      <x:c r="I17" s="236"/>
      <x:c r="J17" s="236"/>
      <x:c r="K17" s="233"/>
      <x:c r="L17" s="233" t="str">
        <x:v>대기</x:v>
      </x:c>
      <x:c r="M17" s="233"/>
      <x:c r="N17" s="234"/>
    </x:row>
    <x:row r="18" ht="38" customHeight="1">
      <x:c r="A18" s="67" t="str">
        <x:v>CW13-A</x:v>
      </x:c>
      <x:c r="B18" s="67" t="str">
        <x:v>CW13</x:v>
      </x:c>
      <x:c r="C18" s="67" t="str">
        <x:v>A</x:v>
      </x:c>
      <x:c r="D18" s="235" t="n">
        <x:v>37.40083738053178</x:v>
      </x:c>
      <x:c r="E18" s="235" t="n">
        <x:v>126.92194039159135</x:v>
      </x:c>
      <x:c r="F18" s="232" t="str">
        <x:v>https://map.kakao.com/?panoid=1202874946&amp;pan=70.6&amp;zoom=0&amp;map_type=TYPE_MAP&amp;map_attribute=ROADVIEW&amp;urlX=482731.0&amp;urlY=1083764.0</x:v>
      </x:c>
      <x:c r="G18" s="232" t="str">
        <x:v>https://map.naver.com/p/entry/coordinates/3zfjje,2AF61E?c=15.00,0,0,0,dh</x:v>
      </x:c>
      <x:c r="H18" s="237" t="n">
        <x:v>5.85</x:v>
      </x:c>
      <x:c r="I18" s="236"/>
      <x:c r="J18" s="236"/>
      <x:c r="K18" s="233"/>
      <x:c r="L18" s="233" t="str">
        <x:v>대기</x:v>
      </x:c>
      <x:c r="M18" s="233"/>
      <x:c r="N18" s="234"/>
    </x:row>
    <x:row r="19" ht="38" customHeight="1">
      <x:c r="A19" s="67" t="str">
        <x:v>CW15-A</x:v>
      </x:c>
      <x:c r="B19" s="67" t="str">
        <x:v>CW15</x:v>
      </x:c>
      <x:c r="C19" s="67" t="str">
        <x:v>A</x:v>
      </x:c>
      <x:c r="D19" s="235" t="n">
        <x:v>37.398330514879135</x:v>
      </x:c>
      <x:c r="E19" s="235" t="n">
        <x:v>126.92430267046433</x:v>
      </x:c>
      <x:c r="F19" s="232" t="str">
        <x:v>https://map.kakao.com/?panoid=1202871493&amp;pan=42.8&amp;zoom=0&amp;map_type=TYPE_MAP&amp;map_attribute=ROADVIEW&amp;urlX=483239.0&amp;urlY=1083064.0</x:v>
      </x:c>
      <x:c r="G19" s="232" t="str">
        <x:v>https://map.naver.com/p/entry/coordinates/3zfpsf,2AEZvj?c=15.00,0,0,0,dh</x:v>
      </x:c>
      <x:c r="H19" s="237" t="n">
        <x:v>3.21</x:v>
      </x:c>
      <x:c r="I19" s="236"/>
      <x:c r="J19" s="236"/>
      <x:c r="K19" s="233"/>
      <x:c r="L19" s="233" t="str">
        <x:v>대기</x:v>
      </x:c>
      <x:c r="M19" s="233"/>
      <x:c r="N19" s="234"/>
    </x:row>
    <x:row r="20" ht="38" customHeight="1">
      <x:c r="A20" s="67" t="str">
        <x:v>CW15-B</x:v>
      </x:c>
      <x:c r="B20" s="67" t="str">
        <x:v>CW15</x:v>
      </x:c>
      <x:c r="C20" s="67" t="str">
        <x:v>B</x:v>
      </x:c>
      <x:c r="D20" s="235" t="n">
        <x:v>37.39843440512087</x:v>
      </x:c>
      <x:c r="E20" s="235" t="n">
        <x:v>126.92420312953567</x:v>
      </x:c>
      <x:c r="F20" s="232" t="str">
        <x:v>https://map.kakao.com/?panoid=1202871514&amp;pan=237.3&amp;zoom=0&amp;map_type=TYPE_MAP&amp;map_attribute=ROADVIEW&amp;urlX=483232.0&amp;urlY=1083086.0</x:v>
      </x:c>
      <x:c r="G20" s="232" t="str">
        <x:v>https://map.naver.com/p/entry/coordinates/3zfpcb,2AEZM4?c=15.00,0,0,0,dh</x:v>
      </x:c>
      <x:c r="H20" s="237" t="n">
        <x:v>4.23</x:v>
      </x:c>
      <x:c r="I20" s="236"/>
      <x:c r="J20" s="236"/>
      <x:c r="K20" s="233"/>
      <x:c r="L20" s="233" t="str">
        <x:v>대기</x:v>
      </x:c>
      <x:c r="M20" s="233"/>
      <x:c r="N20" s="234"/>
    </x:row>
    <x:row r="21" ht="38" customHeight="1">
      <x:c r="A21" s="67" t="str">
        <x:v>CW20-A</x:v>
      </x:c>
      <x:c r="B21" s="67" t="str">
        <x:v>CW20</x:v>
      </x:c>
      <x:c r="C21" s="67" t="str">
        <x:v>A</x:v>
      </x:c>
      <x:c r="D21" s="235" t="n">
        <x:v>37.39434797316774</x:v>
      </x:c>
      <x:c r="E21" s="235" t="n">
        <x:v>126.92501464784056</x:v>
      </x:c>
      <x:c r="F21" s="232" t="str">
        <x:v>https://map.kakao.com/?panoid=1203478791&amp;pan=146.9&amp;zoom=0&amp;map_type=TYPE_MAP&amp;map_attribute=ROADVIEW&amp;urlX=483404.0&amp;urlY=1081956.0</x:v>
      </x:c>
      <x:c r="G21" s="232" t="str">
        <x:v>https://map.naver.com/p/entry/coordinates/3zfrj4,2AEP8Y?c=15.00,0,0,0,dh</x:v>
      </x:c>
      <x:c r="H21" s="237" t="n">
        <x:v>2.18</x:v>
      </x:c>
      <x:c r="I21" s="236"/>
      <x:c r="J21" s="236"/>
      <x:c r="K21" s="233"/>
      <x:c r="L21" s="233" t="str">
        <x:v>대기</x:v>
      </x:c>
      <x:c r="M21" s="233"/>
      <x:c r="N21" s="234"/>
    </x:row>
    <x:row r="22" ht="38" customHeight="1">
      <x:c r="A22" s="67" t="str">
        <x:v>CW20-B</x:v>
      </x:c>
      <x:c r="B22" s="67" t="str">
        <x:v>CW20</x:v>
      </x:c>
      <x:c r="C22" s="67" t="str">
        <x:v>B</x:v>
      </x:c>
      <x:c r="D22" s="235" t="n">
        <x:v>37.39446220683226</x:v>
      </x:c>
      <x:c r="E22" s="235" t="n">
        <x:v>126.92522835215944</x:v>
      </x:c>
      <x:c r="F22" s="232" t="str">
        <x:v>https://map.kakao.com/?panoid=1203480668&amp;pan=326.1&amp;zoom=0&amp;map_type=TYPE_MAP&amp;map_attribute=ROADVIEW&amp;urlX=483430.0&amp;urlY=1081979.0</x:v>
      </x:c>
      <x:c r="G22" s="232" t="str">
        <x:v>https://map.naver.com/p/entry/coordinates/3zfrRy,2AEPro?c=15.00,0,0,0,dh</x:v>
      </x:c>
      <x:c r="H22" s="237" t="n">
        <x:v>7.23</x:v>
      </x:c>
      <x:c r="I22" s="236"/>
      <x:c r="J22" s="236"/>
      <x:c r="K22" s="233"/>
      <x:c r="L22" s="233" t="str">
        <x:v>대기</x:v>
      </x:c>
      <x:c r="M22" s="233"/>
      <x:c r="N22" s="234"/>
    </x:row>
    <x:row r="23" ht="38" customHeight="1">
      <x:c r="A23" s="67" t="str">
        <x:v>CW23-A</x:v>
      </x:c>
      <x:c r="B23" s="67" t="str">
        <x:v>CW23</x:v>
      </x:c>
      <x:c r="C23" s="67" t="str">
        <x:v>A</x:v>
      </x:c>
      <x:c r="D23" s="235" t="n">
        <x:v>37.39211628056607</x:v>
      </x:c>
      <x:c r="E23" s="235" t="n">
        <x:v>126.92388323781566</x:v>
      </x:c>
      <x:c r="F23" s="232" t="str">
        <x:v>https://map.kakao.com/?panoid=1202870512&amp;pan=238.8&amp;zoom=0&amp;map_type=TYPE_MAP&amp;map_attribute=ROADVIEW&amp;urlX=483156.0&amp;urlY=1081348.0</x:v>
      </x:c>
      <x:c r="G23" s="232" t="str">
        <x:v>https://map.naver.com/p/entry/coordinates/3zfomA,2AEJl1?c=15.00,0,0,0,dh</x:v>
      </x:c>
      <x:c r="H23" s="237" t="n">
        <x:v>6.55</x:v>
      </x:c>
      <x:c r="I23" s="236"/>
      <x:c r="J23" s="236"/>
      <x:c r="K23" s="233"/>
      <x:c r="L23" s="233" t="str">
        <x:v>대기</x:v>
      </x:c>
      <x:c r="M23" s="233"/>
      <x:c r="N23" s="234"/>
    </x:row>
    <x:row r="24" ht="38" customHeight="1">
      <x:c r="A24" s="67" t="str">
        <x:v>CW23-B</x:v>
      </x:c>
      <x:c r="B24" s="67" t="str">
        <x:v>CW23</x:v>
      </x:c>
      <x:c r="C24" s="67" t="str">
        <x:v>B</x:v>
      </x:c>
      <x:c r="D24" s="235" t="n">
        <x:v>37.39216041943393</x:v>
      </x:c>
      <x:c r="E24" s="235" t="n">
        <x:v>126.92384736218435</x:v>
      </x:c>
      <x:c r="F24" s="232" t="str">
        <x:v>https://map.kakao.com/?panoid=1202870512&amp;pan=238.8&amp;zoom=0&amp;map_type=TYPE_MAP&amp;map_attribute=ROADVIEW&amp;urlX=483156.0&amp;urlY=1081348.0</x:v>
      </x:c>
      <x:c r="G24" s="232" t="str">
        <x:v>https://map.naver.com/p/entry/coordinates/3zfogO,2AEJs8?c=15.00,0,0,0,dh</x:v>
      </x:c>
      <x:c r="H24" s="237" t="n">
        <x:v>5.98</x:v>
      </x:c>
      <x:c r="I24" s="236"/>
      <x:c r="J24" s="236"/>
      <x:c r="K24" s="233"/>
      <x:c r="L24" s="233" t="str">
        <x:v>대기</x:v>
      </x:c>
      <x:c r="M24" s="233"/>
      <x:c r="N24" s="234"/>
    </x:row>
    <x:row r="25" ht="38" customHeight="1">
      <x:c r="A25" s="67" t="str">
        <x:v>CW26-B</x:v>
      </x:c>
      <x:c r="B25" s="67" t="str">
        <x:v>CW26</x:v>
      </x:c>
      <x:c r="C25" s="67" t="str">
        <x:v>B</x:v>
      </x:c>
      <x:c r="D25" s="235" t="n">
        <x:v>37.39135683714544</x:v>
      </x:c>
      <x:c r="E25" s="235" t="n">
        <x:v>126.92446840074679</x:v>
      </x:c>
      <x:c r="F25" s="232" t="str">
        <x:v>https://map.kakao.com/?panoid=1202969675&amp;pan=326.8&amp;zoom=0&amp;map_type=TYPE_MAP&amp;map_attribute=ROADVIEW&amp;urlX=483266.0&amp;urlY=1081128.0</x:v>
      </x:c>
      <x:c r="G25" s="232" t="str">
        <x:v>https://map.naver.com/p/entry/coordinates/3zfpSY,2AEHmw?c=15.00,0,0,0,dh</x:v>
      </x:c>
      <x:c r="H25" s="237" t="n">
        <x:v>5.5</x:v>
      </x:c>
      <x:c r="I25" s="236"/>
      <x:c r="J25" s="236"/>
      <x:c r="K25" s="233"/>
      <x:c r="L25" s="233" t="str">
        <x:v>대기</x:v>
      </x:c>
      <x:c r="M25" s="233"/>
      <x:c r="N25" s="234"/>
    </x:row>
    <x:row r="26" ht="38" customHeight="1">
      <x:c r="A26" s="67" t="str">
        <x:v>CW33-A</x:v>
      </x:c>
      <x:c r="B26" s="67" t="str">
        <x:v>CW33</x:v>
      </x:c>
      <x:c r="C26" s="67" t="str">
        <x:v>A</x:v>
      </x:c>
      <x:c r="D26" s="235" t="n">
        <x:v>37.389982227292826</x:v>
      </x:c>
      <x:c r="E26" s="235" t="n">
        <x:v>126.9254940088399</x:v>
      </x:c>
      <x:c r="F26" s="232" t="str">
        <x:v>https://map.kakao.com/?panoid=1202972599&amp;pan=251.4&amp;zoom=0&amp;map_type=TYPE_MAP&amp;map_attribute=ROADVIEW&amp;urlX=483511.0&amp;urlY=1080749.0</x:v>
      </x:c>
      <x:c r="G26" s="232" t="str">
        <x:v>https://map.naver.com/p/entry/coordinates/3zfsyo,2AEDMO?c=15.00,0,0,0,dh</x:v>
      </x:c>
      <x:c r="H26" s="237" t="n">
        <x:v>4.02</x:v>
      </x:c>
      <x:c r="I26" s="236"/>
      <x:c r="J26" s="236"/>
      <x:c r="K26" s="233"/>
      <x:c r="L26" s="233" t="str">
        <x:v>대기</x:v>
      </x:c>
      <x:c r="M26" s="233"/>
      <x:c r="N26" s="234"/>
    </x:row>
    <x:row r="27" ht="38" customHeight="1">
      <x:c r="A27" s="67" t="str">
        <x:v>CW33-B</x:v>
      </x:c>
      <x:c r="B27" s="67" t="str">
        <x:v>CW33</x:v>
      </x:c>
      <x:c r="C27" s="67" t="str">
        <x:v>B</x:v>
      </x:c>
      <x:c r="D27" s="235" t="n">
        <x:v>37.39001577270718</x:v>
      </x:c>
      <x:c r="E27" s="235" t="n">
        <x:v>126.9254661911601</x:v>
      </x:c>
      <x:c r="F27" s="232" t="str">
        <x:v>https://map.kakao.com/?panoid=1202972599&amp;pan=251.4&amp;zoom=0&amp;map_type=TYPE_MAP&amp;map_attribute=ROADVIEW&amp;urlX=483511.0&amp;urlY=1080749.0</x:v>
      </x:c>
      <x:c r="G27" s="232" t="str">
        <x:v>https://map.naver.com/p/entry/coordinates/3zfstU,2AEDSe?c=15.00,0,0,0,dh</x:v>
      </x:c>
      <x:c r="H27" s="237" t="n">
        <x:v>4.75</x:v>
      </x:c>
      <x:c r="I27" s="236"/>
      <x:c r="J27" s="236"/>
      <x:c r="K27" s="233"/>
      <x:c r="L27" s="233" t="str">
        <x:v>대기</x:v>
      </x:c>
      <x:c r="M27" s="233"/>
      <x:c r="N27" s="234"/>
    </x:row>
    <x:row r="28" ht="38" customHeight="1">
      <x:c r="A28" s="67" t="str">
        <x:v>CW35-B</x:v>
      </x:c>
      <x:c r="B28" s="67" t="str">
        <x:v>CW35</x:v>
      </x:c>
      <x:c r="C28" s="67" t="str">
        <x:v>B</x:v>
      </x:c>
      <x:c r="D28" s="235" t="n">
        <x:v>37.38963516497338</x:v>
      </x:c>
      <x:c r="E28" s="235" t="n">
        <x:v>126.92564065557295</x:v>
      </x:c>
      <x:c r="F28" s="232" t="str">
        <x:v>https://map.kakao.com/?panoid=1202969653&amp;pan=339.7&amp;zoom=0&amp;map_type=TYPE_MAP&amp;map_attribute=ROADVIEW&amp;urlX=483529.0&amp;urlY=1080649.0</x:v>
      </x:c>
      <x:c r="G28" s="232" t="str">
        <x:v>https://map.naver.com/p/entry/coordinates/3zfsW3,2AECSQ?c=15.00,0,0,0,dh</x:v>
      </x:c>
      <x:c r="H28" s="237" t="n">
        <x:v>3.92</x:v>
      </x:c>
      <x:c r="I28" s="236"/>
      <x:c r="J28" s="236"/>
      <x:c r="K28" s="233"/>
      <x:c r="L28" s="233" t="str">
        <x:v>대기</x:v>
      </x:c>
      <x:c r="M28" s="233"/>
      <x:c r="N28" s="234"/>
    </x:row>
    <x:row r="29" ht="38" customHeight="1">
      <x:c r="A29" s="67" t="str">
        <x:v>CW36-B</x:v>
      </x:c>
      <x:c r="B29" s="67" t="str">
        <x:v>CW36</x:v>
      </x:c>
      <x:c r="C29" s="67" t="str">
        <x:v>B</x:v>
      </x:c>
      <x:c r="D29" s="235" t="n">
        <x:v>37.389528410094115</x:v>
      </x:c>
      <x:c r="E29" s="235" t="n">
        <x:v>126.92545656078262</x:v>
      </x:c>
      <x:c r="F29" s="232" t="str">
        <x:v>https://map.kakao.com/?panoid=1202970045&amp;pan=233.1&amp;zoom=0&amp;map_type=TYPE_MAP&amp;map_attribute=ROADVIEW&amp;urlX=483504.0&amp;urlY=1080615.0</x:v>
      </x:c>
      <x:c r="G29" s="232" t="str">
        <x:v>https://map.naver.com/p/entry/coordinates/3zfssm,2AECBC?c=15.00,0,0,0,dh</x:v>
      </x:c>
      <x:c r="H29" s="237" t="n">
        <x:v>2.83</x:v>
      </x:c>
      <x:c r="I29" s="236"/>
      <x:c r="J29" s="236"/>
      <x:c r="K29" s="233"/>
      <x:c r="L29" s="233" t="str">
        <x:v>대기</x:v>
      </x:c>
      <x:c r="M29" s="233"/>
      <x:c r="N29" s="234"/>
    </x:row>
    <x:row r="30" ht="38" customHeight="1">
      <x:c r="A30" s="67" t="str">
        <x:v>CW39-A</x:v>
      </x:c>
      <x:c r="B30" s="67" t="str">
        <x:v>CW39</x:v>
      </x:c>
      <x:c r="C30" s="67" t="str">
        <x:v>A</x:v>
      </x:c>
      <x:c r="D30" s="235" t="n">
        <x:v>37.38924455741109</x:v>
      </x:c>
      <x:c r="E30" s="235" t="n">
        <x:v>126.92509509723544</x:v>
      </x:c>
      <x:c r="F30" s="232" t="str">
        <x:v>https://map.kakao.com/?panoid=1202970050&amp;pan=224.2&amp;zoom=0&amp;map_type=TYPE_MAP&amp;map_attribute=ROADVIEW&amp;urlX=483412.0&amp;urlY=1080530.0</x:v>
      </x:c>
      <x:c r="G30" s="232" t="str">
        <x:v>https://map.naver.com/p/entry/coordinates/3zfrw3,2AEBRQ?c=15.00,0,0,0,dh</x:v>
      </x:c>
      <x:c r="H30" s="237" t="n">
        <x:v>3.12</x:v>
      </x:c>
      <x:c r="I30" s="236"/>
      <x:c r="J30" s="236"/>
      <x:c r="K30" s="233"/>
      <x:c r="L30" s="233" t="str">
        <x:v>대기</x:v>
      </x:c>
      <x:c r="M30" s="233"/>
      <x:c r="N30" s="234"/>
    </x:row>
    <x:row r="31" ht="38" customHeight="1">
      <x:c r="A31" s="67" t="str">
        <x:v>CW39-B</x:v>
      </x:c>
      <x:c r="B31" s="67" t="str">
        <x:v>CW39</x:v>
      </x:c>
      <x:c r="C31" s="67" t="str">
        <x:v>B</x:v>
      </x:c>
      <x:c r="D31" s="235" t="n">
        <x:v>37.38929968258892</x:v>
      </x:c>
      <x:c r="E31" s="235" t="n">
        <x:v>126.92502890276454</x:v>
      </x:c>
      <x:c r="F31" s="232" t="str">
        <x:v>https://map.kakao.com/?panoid=1202970050&amp;pan=224.2&amp;zoom=0&amp;map_type=TYPE_MAP&amp;map_attribute=ROADVIEW&amp;urlX=483412.0&amp;urlY=1080530.0</x:v>
      </x:c>
      <x:c r="G31" s="232" t="str">
        <x:v>https://map.naver.com/p/entry/coordinates/3zfrln,2AEC0J?c=15.00,0,0,0,dh</x:v>
      </x:c>
      <x:c r="H31" s="237" t="n">
        <x:v>9.44</x:v>
      </x:c>
      <x:c r="I31" s="236"/>
      <x:c r="J31" s="236"/>
      <x:c r="K31" s="233"/>
      <x:c r="L31" s="233" t="str">
        <x:v>대기</x:v>
      </x:c>
      <x:c r="M31" s="233"/>
      <x:c r="N31" s="234"/>
    </x:row>
    <x:row r="32" ht="38" customHeight="1">
      <x:c r="A32" s="67" t="str">
        <x:v>CW40-B</x:v>
      </x:c>
      <x:c r="B32" s="67" t="str">
        <x:v>CW40</x:v>
      </x:c>
      <x:c r="C32" s="67" t="str">
        <x:v>B</x:v>
      </x:c>
      <x:c r="D32" s="235" t="n">
        <x:v>37.38920089403547</x:v>
      </x:c>
      <x:c r="E32" s="235" t="n">
        <x:v>126.92500007781435</x:v>
      </x:c>
      <x:c r="F32" s="232" t="str">
        <x:v>https://map.kakao.com/?panoid=1202970051&amp;pan=225.5&amp;zoom=0&amp;map_type=TYPE_MAP&amp;map_attribute=ROADVIEW&amp;urlX=483394.0&amp;urlY=1080512.0</x:v>
      </x:c>
      <x:c r="G32" s="232" t="str">
        <x:v>https://map.naver.com/p/entry/coordinates/3zfrgJ,2AEBKN?c=15.00,0,0,0,dh</x:v>
      </x:c>
      <x:c r="H32" s="237" t="n">
        <x:v>4.88</x:v>
      </x:c>
      <x:c r="I32" s="236"/>
      <x:c r="J32" s="236"/>
      <x:c r="K32" s="233"/>
      <x:c r="L32" s="233" t="str">
        <x:v>대기</x:v>
      </x:c>
      <x:c r="M32" s="233"/>
      <x:c r="N32" s="234"/>
    </x:row>
    <x:row r="33">
      <x:c r="A33" s="66"/>
      <x:c r="B33" s="66"/>
      <x:c r="C33" s="66"/>
      <x:c r="D33" s="66"/>
      <x:c r="E33" s="66"/>
      <x:c r="F33" s="66"/>
      <x:c r="G33" s="66"/>
      <x:c r="H33" s="66"/>
      <x:c r="I33" s="66"/>
      <x:c r="J33" s="66"/>
      <x:c r="K33" s="66"/>
      <x:c r="L33" s="66"/>
      <x:c r="M33" s="66"/>
      <x:c r="N33" s="66"/>
    </x:row>
    <x:row r="34">
      <x:c r="A34" s="66"/>
      <x:c r="B34" s="66"/>
      <x:c r="C34" s="66"/>
      <x:c r="D34" s="66"/>
      <x:c r="E34" s="66"/>
      <x:c r="F34" s="66"/>
      <x:c r="G34" s="66"/>
      <x:c r="H34" s="66"/>
      <x:c r="I34" s="66"/>
      <x:c r="J34" s="66"/>
      <x:c r="K34" s="66"/>
      <x:c r="L34" s="66"/>
      <x:c r="M34" s="66"/>
      <x:c r="N34" s="66"/>
    </x:row>
    <x:row r="35">
      <x:c r="A35" s="66"/>
      <x:c r="B35" s="66"/>
      <x:c r="C35" s="66"/>
      <x:c r="D35" s="66"/>
      <x:c r="E35" s="66"/>
      <x:c r="F35" s="66"/>
      <x:c r="G35" s="66"/>
      <x:c r="H35" s="66"/>
      <x:c r="I35" s="66"/>
      <x:c r="J35" s="66"/>
      <x:c r="K35" s="66"/>
      <x:c r="L35" s="66"/>
      <x:c r="M35" s="66"/>
      <x:c r="N35" s="66"/>
    </x:row>
    <x:row r="36">
      <x:c r="A36" s="66"/>
      <x:c r="B36" s="66"/>
      <x:c r="C36" s="66"/>
      <x:c r="D36" s="66"/>
      <x:c r="E36" s="66"/>
      <x:c r="F36" s="66"/>
      <x:c r="G36" s="66"/>
      <x:c r="H36" s="66"/>
      <x:c r="I36" s="66"/>
      <x:c r="J36" s="66"/>
      <x:c r="K36" s="66"/>
      <x:c r="L36" s="66"/>
      <x:c r="M36" s="66"/>
      <x:c r="N36" s="66"/>
    </x:row>
    <x:row r="37">
      <x:c r="A37" s="66"/>
      <x:c r="B37" s="66"/>
      <x:c r="C37" s="66"/>
      <x:c r="D37" s="66"/>
      <x:c r="E37" s="66"/>
      <x:c r="F37" s="66"/>
      <x:c r="G37" s="66"/>
      <x:c r="H37" s="66"/>
      <x:c r="I37" s="66"/>
      <x:c r="J37" s="66"/>
      <x:c r="K37" s="66"/>
      <x:c r="L37" s="66"/>
      <x:c r="M37" s="66"/>
      <x:c r="N37" s="66"/>
    </x:row>
    <x:row r="38">
      <x:c r="A38" s="66"/>
      <x:c r="B38" s="66"/>
      <x:c r="C38" s="66"/>
      <x:c r="D38" s="66"/>
      <x:c r="E38" s="66"/>
      <x:c r="F38" s="66"/>
      <x:c r="G38" s="66"/>
      <x:c r="H38" s="66"/>
      <x:c r="I38" s="66"/>
      <x:c r="J38" s="66"/>
      <x:c r="K38" s="66"/>
      <x:c r="L38" s="66"/>
      <x:c r="M38" s="66"/>
      <x:c r="N38" s="66"/>
    </x:row>
    <x:row r="39">
      <x:c r="A39" s="66"/>
      <x:c r="B39" s="66"/>
      <x:c r="C39" s="66"/>
      <x:c r="D39" s="66"/>
      <x:c r="E39" s="66"/>
      <x:c r="F39" s="66"/>
      <x:c r="G39" s="66"/>
      <x:c r="H39" s="66"/>
      <x:c r="I39" s="66"/>
      <x:c r="J39" s="66"/>
      <x:c r="K39" s="66"/>
      <x:c r="L39" s="66"/>
      <x:c r="M39" s="66"/>
      <x:c r="N39" s="66"/>
    </x:row>
    <x:row r="40">
      <x:c r="A40" s="66"/>
      <x:c r="B40" s="66"/>
      <x:c r="C40" s="66"/>
      <x:c r="D40" s="66"/>
      <x:c r="E40" s="66"/>
      <x:c r="F40" s="66"/>
      <x:c r="G40" s="66"/>
      <x:c r="H40" s="66"/>
      <x:c r="I40" s="66"/>
      <x:c r="J40" s="66"/>
      <x:c r="K40" s="66"/>
      <x:c r="L40" s="66"/>
      <x:c r="M40" s="66"/>
      <x:c r="N40" s="66"/>
    </x:row>
  </x:sheetData>
  <x:dataValidations count="1">
    <x:dataValidation type="list" sqref="L7:L32">
      <x:formula1>"대기,보정 입력,완료,현장 확인 필요"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Pr>
    <x:tabColor rgb="FF6B4EFF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6" hidden="0" customWidth="1"/>
    <x:col min="2" max="2" width="12" hidden="0" customWidth="1"/>
    <x:col min="3" max="3" width="16" hidden="0" customWidth="1"/>
    <x:col min="4" max="4" width="16" hidden="0" customWidth="1"/>
    <x:col min="5" max="5" width="15" hidden="0" customWidth="1"/>
    <x:col min="6" max="6" width="13" hidden="0" customWidth="1"/>
    <x:col min="7" max="7" width="22" hidden="0" customWidth="1"/>
    <x:col min="8" max="8" width="22" hidden="0" customWidth="1"/>
    <x:col min="9" max="9" width="14" hidden="0" customWidth="1"/>
    <x:col min="10" max="10" width="40" hidden="0" customWidth="1"/>
    <x:col min="11" max="11" width="40" hidden="0" customWidth="1"/>
    <x:col min="12" max="12" width="16" hidden="0" customWidth="1"/>
    <x:col min="13" max="13" width="40" hidden="0" customWidth="1"/>
  </x:cols>
  <x:sheetData>
    <x:row r="1">
      <x:c r="A1" s="66"/>
      <x:c r="B1" s="66"/>
      <x:c r="C1" s="66"/>
      <x:c r="D1" s="66"/>
      <x:c r="E1" s="66"/>
      <x:c r="F1" s="66"/>
      <x:c r="G1" s="66"/>
      <x:c r="H1" s="66"/>
      <x:c r="I1" s="66"/>
      <x:c r="J1" s="66"/>
      <x:c r="K1" s="66"/>
      <x:c r="L1" s="66"/>
      <x:c r="M1" s="66"/>
    </x:row>
    <x:row r="2" ht="28" customHeight="1">
      <x:c r="A2" s="131" t="str">
        <x:v>호계1동 물리 제약 후보 10건</x:v>
      </x:c>
      <x:c r="B2" s="131"/>
      <x:c r="C2" s="131"/>
      <x:c r="D2" s="131"/>
      <x:c r="E2" s="131"/>
      <x:c r="F2" s="131"/>
      <x:c r="G2" s="131"/>
      <x:c r="H2" s="131"/>
      <x:c r="I2" s="131"/>
      <x:c r="J2" s="131"/>
      <x:c r="K2" s="131"/>
      <x:c r="L2" s="131"/>
      <x:c r="M2" s="131"/>
    </x:row>
    <x:row r="3" ht="22" customHeight="1">
      <x:c r="A3" s="132" t="str">
        <x:v>공공데이터의 보도턱낮춤 없음 사례입니다. 공공데이터 효과 검증용 후보이며 영상·현장 확인 전 경로 차단하지 않습니다.</x:v>
      </x:c>
      <x:c r="B3" s="132"/>
      <x:c r="C3" s="132"/>
      <x:c r="D3" s="132"/>
      <x:c r="E3" s="132"/>
      <x:c r="F3" s="132"/>
      <x:c r="G3" s="132"/>
      <x:c r="H3" s="132"/>
      <x:c r="I3" s="132"/>
      <x:c r="J3" s="132"/>
      <x:c r="K3" s="132"/>
      <x:c r="L3" s="132"/>
      <x:c r="M3" s="132"/>
    </x:row>
    <x:row r="4">
      <x:c r="A4" s="115"/>
      <x:c r="B4" s="115"/>
      <x:c r="C4" s="115"/>
      <x:c r="D4" s="115"/>
      <x:c r="E4" s="115"/>
      <x:c r="F4" s="115"/>
      <x:c r="G4" s="115"/>
      <x:c r="H4" s="115"/>
      <x:c r="I4" s="115"/>
      <x:c r="J4" s="115"/>
      <x:c r="K4" s="115"/>
      <x:c r="L4" s="115"/>
      <x:c r="M4" s="115"/>
    </x:row>
    <x:row r="5">
      <x:c r="A5" s="66"/>
      <x:c r="B5" s="66"/>
      <x:c r="C5" s="66"/>
      <x:c r="D5" s="66"/>
      <x:c r="E5" s="66"/>
      <x:c r="F5" s="66"/>
      <x:c r="G5" s="66"/>
      <x:c r="H5" s="66"/>
      <x:c r="I5" s="66"/>
      <x:c r="J5" s="66"/>
      <x:c r="K5" s="66"/>
      <x:c r="L5" s="66"/>
      <x:c r="M5" s="66"/>
    </x:row>
    <x:row r="6" ht="32" customHeight="1">
      <x:c r="A6" s="197" t="str">
        <x:v>관리번호</x:v>
      </x:c>
      <x:c r="B6" s="198" t="str">
        <x:v>관할지역</x:v>
      </x:c>
      <x:c r="C6" s="198" t="str">
        <x:v>위도</x:v>
      </x:c>
      <x:c r="D6" s="198" t="str">
        <x:v>경도</x:v>
      </x:c>
      <x:c r="E6" s="198" t="str">
        <x:v>보도턱낮춤</x:v>
      </x:c>
      <x:c r="F6" s="198" t="str">
        <x:v>점자블록</x:v>
      </x:c>
      <x:c r="G6" s="198" t="str">
        <x:v>휠체어 후보</x:v>
      </x:c>
      <x:c r="H6" s="198" t="str">
        <x:v>시각장애 후보</x:v>
      </x:c>
      <x:c r="I6" s="198" t="str">
        <x:v>우선 검토</x:v>
      </x:c>
      <x:c r="J6" s="198" t="str">
        <x:v>카카오 위치</x:v>
      </x:c>
      <x:c r="K6" s="198" t="str">
        <x:v>네이버 위치</x:v>
      </x:c>
      <x:c r="L6" s="198" t="str">
        <x:v>검증 상태</x:v>
      </x:c>
      <x:c r="M6" s="199" t="str">
        <x:v>주의</x:v>
      </x:c>
    </x:row>
    <x:row r="7" ht="42" customHeight="1">
      <x:c r="A7" s="67" t="str">
        <x:v>2024121753</x:v>
      </x:c>
      <x:c r="B7" s="67" t="str">
        <x:v>호계1동</x:v>
      </x:c>
      <x:c r="C7" s="235" t="n">
        <x:v>37.3753104</x:v>
      </x:c>
      <x:c r="D7" s="235" t="n">
        <x:v>126.9590771</x:v>
      </x:c>
      <x:c r="E7" s="67" t="str">
        <x:v>없음</x:v>
      </x:c>
      <x:c r="F7" s="67" t="str">
        <x:v>있음</x:v>
      </x:c>
      <x:c r="G7" s="67" t="str">
        <x:v>물리 제약 후보</x:v>
      </x:c>
      <x:c r="H7" s="67" t="str">
        <x:v>점자 설치 명시</x:v>
      </x:c>
      <x:c r="I7" s="67" t="str">
        <x:v>N</x:v>
      </x:c>
      <x:c r="J7" s="232" t="str">
        <x:v>https://map.kakao.com/link/roadview/37.3753104,126.9590771</x:v>
      </x:c>
      <x:c r="K7" s="232" t="str">
        <x:v>https://map.naver.com/p/entry/coordinates/3zgRV1,2AE1Co?c=15.00,0,0,0,dh</x:v>
      </x:c>
      <x:c r="L7" s="233" t="str">
        <x:v>미검증</x:v>
      </x:c>
      <x:c r="M7" s="67" t="str">
        <x:v>2024 배치·자산 단위; 양단·현재성 확인 필요</x:v>
      </x:c>
    </x:row>
    <x:row r="8" ht="42" customHeight="1">
      <x:c r="A8" s="67" t="str">
        <x:v>2024121754</x:v>
      </x:c>
      <x:c r="B8" s="67" t="str">
        <x:v>호계1동</x:v>
      </x:c>
      <x:c r="C8" s="235" t="n">
        <x:v>37.37517778</x:v>
      </x:c>
      <x:c r="D8" s="235" t="n">
        <x:v>126.9584713</x:v>
      </x:c>
      <x:c r="E8" s="67" t="str">
        <x:v>없음</x:v>
      </x:c>
      <x:c r="F8" s="67" t="str">
        <x:v>없음</x:v>
      </x:c>
      <x:c r="G8" s="67" t="str">
        <x:v>물리 제약 후보</x:v>
      </x:c>
      <x:c r="H8" s="67" t="str">
        <x:v>복합 결함 후보</x:v>
      </x:c>
      <x:c r="I8" s="67" t="str">
        <x:v>Y</x:v>
      </x:c>
      <x:c r="J8" s="232" t="str">
        <x:v>https://map.kakao.com/link/roadview/37.37517778,126.9584713</x:v>
      </x:c>
      <x:c r="K8" s="232" t="str">
        <x:v>https://map.naver.com/p/entry/coordinates/3zgQlj,2AE1h0?c=15.00,0,0,0,dh</x:v>
      </x:c>
      <x:c r="L8" s="233" t="str">
        <x:v>미검증</x:v>
      </x:c>
      <x:c r="M8" s="67" t="str">
        <x:v>2024 배치·자산 단위; 양단·현재성 확인 필요</x:v>
      </x:c>
    </x:row>
    <x:row r="9" ht="42" customHeight="1">
      <x:c r="A9" s="67" t="str">
        <x:v>2024121759</x:v>
      </x:c>
      <x:c r="B9" s="67" t="str">
        <x:v>호계1동</x:v>
      </x:c>
      <x:c r="C9" s="235" t="n">
        <x:v>37.37396229</x:v>
      </x:c>
      <x:c r="D9" s="235" t="n">
        <x:v>126.9621759</x:v>
      </x:c>
      <x:c r="E9" s="67" t="str">
        <x:v>없음</x:v>
      </x:c>
      <x:c r="F9" s="67" t="str">
        <x:v>있음</x:v>
      </x:c>
      <x:c r="G9" s="67" t="str">
        <x:v>물리 제약 후보</x:v>
      </x:c>
      <x:c r="H9" s="67" t="str">
        <x:v>점자 설치 명시</x:v>
      </x:c>
      <x:c r="I9" s="67" t="str">
        <x:v>Y</x:v>
      </x:c>
      <x:c r="J9" s="232" t="str">
        <x:v>https://map.kakao.com/link/roadview/37.37396229,126.9621759</x:v>
      </x:c>
      <x:c r="K9" s="232" t="str">
        <x:v>https://map.naver.com/p/entry/coordinates/3zgZYP,2ADY6X?c=15.00,0,0,0,dh</x:v>
      </x:c>
      <x:c r="L9" s="233" t="str">
        <x:v>미검증</x:v>
      </x:c>
      <x:c r="M9" s="67" t="str">
        <x:v>2024 배치·자산 단위; 양단·현재성 확인 필요</x:v>
      </x:c>
    </x:row>
    <x:row r="10" ht="42" customHeight="1">
      <x:c r="A10" s="67" t="str">
        <x:v>2024121760</x:v>
      </x:c>
      <x:c r="B10" s="67" t="str">
        <x:v>호계1동</x:v>
      </x:c>
      <x:c r="C10" s="235" t="n">
        <x:v>37.37363739</x:v>
      </x:c>
      <x:c r="D10" s="235" t="n">
        <x:v>126.9623363</x:v>
      </x:c>
      <x:c r="E10" s="67" t="str">
        <x:v>없음</x:v>
      </x:c>
      <x:c r="F10" s="67" t="str">
        <x:v>있음</x:v>
      </x:c>
      <x:c r="G10" s="67" t="str">
        <x:v>물리 제약 후보</x:v>
      </x:c>
      <x:c r="H10" s="67" t="str">
        <x:v>점자 설치 명시</x:v>
      </x:c>
      <x:c r="I10" s="67" t="str">
        <x:v>N</x:v>
      </x:c>
      <x:c r="J10" s="232" t="str">
        <x:v>https://map.kakao.com/link/roadview/37.37363739,126.9623363</x:v>
      </x:c>
      <x:c r="K10" s="232" t="str">
        <x:v>https://map.naver.com/p/entry/coordinates/3zh0oH,2ADXgy?c=15.00,0,0,0,dh</x:v>
      </x:c>
      <x:c r="L10" s="233" t="str">
        <x:v>미검증</x:v>
      </x:c>
      <x:c r="M10" s="67" t="str">
        <x:v>2024 배치·자산 단위; 양단·현재성 확인 필요</x:v>
      </x:c>
    </x:row>
    <x:row r="11" ht="42" customHeight="1">
      <x:c r="A11" s="67" t="str">
        <x:v>2024121761</x:v>
      </x:c>
      <x:c r="B11" s="67" t="str">
        <x:v>호계1동</x:v>
      </x:c>
      <x:c r="C11" s="235" t="n">
        <x:v>37.37376246</x:v>
      </x:c>
      <x:c r="D11" s="235" t="n">
        <x:v>126.9623836</x:v>
      </x:c>
      <x:c r="E11" s="67" t="str">
        <x:v>없음</x:v>
      </x:c>
      <x:c r="F11" s="67" t="str">
        <x:v>있음</x:v>
      </x:c>
      <x:c r="G11" s="67" t="str">
        <x:v>물리 제약 후보</x:v>
      </x:c>
      <x:c r="H11" s="67" t="str">
        <x:v>점자 설치 명시</x:v>
      </x:c>
      <x:c r="I11" s="67" t="str">
        <x:v>N</x:v>
      </x:c>
      <x:c r="J11" s="232" t="str">
        <x:v>https://map.kakao.com/link/roadview/37.37376246,126.9623836</x:v>
      </x:c>
      <x:c r="K11" s="232" t="str">
        <x:v>https://map.naver.com/p/entry/coordinates/3zh0wk,2ADXAJ?c=15.00,0,0,0,dh</x:v>
      </x:c>
      <x:c r="L11" s="233" t="str">
        <x:v>미검증</x:v>
      </x:c>
      <x:c r="M11" s="67" t="str">
        <x:v>2024 배치·자산 단위; 양단·현재성 확인 필요</x:v>
      </x:c>
    </x:row>
    <x:row r="12" ht="42" customHeight="1">
      <x:c r="A12" s="67" t="str">
        <x:v>2024121762</x:v>
      </x:c>
      <x:c r="B12" s="67" t="str">
        <x:v>호계1동</x:v>
      </x:c>
      <x:c r="C12" s="235" t="n">
        <x:v>37.37358946</x:v>
      </x:c>
      <x:c r="D12" s="235" t="n">
        <x:v>126.9625039</x:v>
      </x:c>
      <x:c r="E12" s="67" t="str">
        <x:v>없음</x:v>
      </x:c>
      <x:c r="F12" s="67" t="str">
        <x:v>있음</x:v>
      </x:c>
      <x:c r="G12" s="67" t="str">
        <x:v>물리 제약 후보</x:v>
      </x:c>
      <x:c r="H12" s="67" t="str">
        <x:v>점자 설치 명시</x:v>
      </x:c>
      <x:c r="I12" s="67" t="str">
        <x:v>N</x:v>
      </x:c>
      <x:c r="J12" s="232" t="str">
        <x:v>https://map.kakao.com/link/roadview/37.37358946,126.9625039</x:v>
      </x:c>
      <x:c r="K12" s="232" t="str">
        <x:v>https://map.naver.com/p/entry/coordinates/3zh0PJ,2ADX8P?c=15.00,0,0,0,dh</x:v>
      </x:c>
      <x:c r="L12" s="233" t="str">
        <x:v>미검증</x:v>
      </x:c>
      <x:c r="M12" s="67" t="str">
        <x:v>2024 배치·자산 단위; 양단·현재성 확인 필요</x:v>
      </x:c>
    </x:row>
    <x:row r="13" ht="42" customHeight="1">
      <x:c r="A13" s="67" t="str">
        <x:v>2024121767</x:v>
      </x:c>
      <x:c r="B13" s="67" t="str">
        <x:v>호계1동</x:v>
      </x:c>
      <x:c r="C13" s="235" t="n">
        <x:v>37.37370625</x:v>
      </x:c>
      <x:c r="D13" s="235" t="n">
        <x:v>126.9625012</x:v>
      </x:c>
      <x:c r="E13" s="67" t="str">
        <x:v>없음</x:v>
      </x:c>
      <x:c r="F13" s="67" t="str">
        <x:v>있음</x:v>
      </x:c>
      <x:c r="G13" s="67" t="str">
        <x:v>물리 제약 후보</x:v>
      </x:c>
      <x:c r="H13" s="67" t="str">
        <x:v>점자 설치 명시</x:v>
      </x:c>
      <x:c r="I13" s="67" t="str">
        <x:v>N</x:v>
      </x:c>
      <x:c r="J13" s="232" t="str">
        <x:v>https://map.kakao.com/link/roadview/37.37370625,126.9625012</x:v>
      </x:c>
      <x:c r="K13" s="232" t="str">
        <x:v>https://map.naver.com/p/entry/coordinates/3zh0Pi,2ADXrF?c=15.00,0,0,0,dh</x:v>
      </x:c>
      <x:c r="L13" s="233" t="str">
        <x:v>미검증</x:v>
      </x:c>
      <x:c r="M13" s="67" t="str">
        <x:v>2024 배치·자산 단위; 양단·현재성 확인 필요</x:v>
      </x:c>
    </x:row>
    <x:row r="14" ht="42" customHeight="1">
      <x:c r="A14" s="67" t="str">
        <x:v>2024121770</x:v>
      </x:c>
      <x:c r="B14" s="67" t="str">
        <x:v>호계1동</x:v>
      </x:c>
      <x:c r="C14" s="235" t="n">
        <x:v>37.37174473</x:v>
      </x:c>
      <x:c r="D14" s="235" t="n">
        <x:v>126.9606584</x:v>
      </x:c>
      <x:c r="E14" s="67" t="str">
        <x:v>없음</x:v>
      </x:c>
      <x:c r="F14" s="67" t="str">
        <x:v>있음</x:v>
      </x:c>
      <x:c r="G14" s="67" t="str">
        <x:v>물리 제약 후보</x:v>
      </x:c>
      <x:c r="H14" s="67" t="str">
        <x:v>점자 설치 명시</x:v>
      </x:c>
      <x:c r="I14" s="67" t="str">
        <x:v>Y</x:v>
      </x:c>
      <x:c r="J14" s="232" t="str">
        <x:v>https://map.kakao.com/link/roadview/37.37174473,126.9606584</x:v>
      </x:c>
      <x:c r="K14" s="232" t="str">
        <x:v>https://map.naver.com/p/entry/coordinates/3zgW24,2ADSlh?c=15.00,0,0,0,dh</x:v>
      </x:c>
      <x:c r="L14" s="233" t="str">
        <x:v>미검증</x:v>
      </x:c>
      <x:c r="M14" s="67" t="str">
        <x:v>2024 배치·자산 단위; 양단·현재성 확인 필요</x:v>
      </x:c>
    </x:row>
    <x:row r="15" ht="42" customHeight="1">
      <x:c r="A15" s="67" t="str">
        <x:v>2024121773</x:v>
      </x:c>
      <x:c r="B15" s="67" t="str">
        <x:v>호계1동</x:v>
      </x:c>
      <x:c r="C15" s="235" t="n">
        <x:v>37.3718364</x:v>
      </x:c>
      <x:c r="D15" s="235" t="n">
        <x:v>126.9603835</x:v>
      </x:c>
      <x:c r="E15" s="67" t="str">
        <x:v>없음</x:v>
      </x:c>
      <x:c r="F15" s="67" t="str">
        <x:v>있음</x:v>
      </x:c>
      <x:c r="G15" s="67" t="str">
        <x:v>물리 제약 후보</x:v>
      </x:c>
      <x:c r="H15" s="67" t="str">
        <x:v>점자 설치 명시</x:v>
      </x:c>
      <x:c r="I15" s="67" t="str">
        <x:v>N</x:v>
      </x:c>
      <x:c r="J15" s="232" t="str">
        <x:v>https://map.kakao.com/link/roadview/37.3718364,126.9603835</x:v>
      </x:c>
      <x:c r="K15" s="232" t="str">
        <x:v>https://map.naver.com/p/entry/coordinates/3zgVjJ,2ADSA4?c=15.00,0,0,0,dh</x:v>
      </x:c>
      <x:c r="L15" s="233" t="str">
        <x:v>미검증</x:v>
      </x:c>
      <x:c r="M15" s="67" t="str">
        <x:v>2024 배치·자산 단위; 양단·현재성 확인 필요</x:v>
      </x:c>
    </x:row>
    <x:row r="16" ht="42" customHeight="1">
      <x:c r="A16" s="67" t="str">
        <x:v>2024121777</x:v>
      </x:c>
      <x:c r="B16" s="67" t="str">
        <x:v>호계1동</x:v>
      </x:c>
      <x:c r="C16" s="235" t="n">
        <x:v>37.37307795</x:v>
      </x:c>
      <x:c r="D16" s="235" t="n">
        <x:v>126.9594078</x:v>
      </x:c>
      <x:c r="E16" s="67" t="str">
        <x:v>없음</x:v>
      </x:c>
      <x:c r="F16" s="67" t="str">
        <x:v>있음</x:v>
      </x:c>
      <x:c r="G16" s="67" t="str">
        <x:v>물리 제약 후보</x:v>
      </x:c>
      <x:c r="H16" s="67" t="str">
        <x:v>점자 설치 명시</x:v>
      </x:c>
      <x:c r="I16" s="67" t="str">
        <x:v>N</x:v>
      </x:c>
      <x:c r="J16" s="232" t="str">
        <x:v>https://map.kakao.com/link/roadview/37.37307795,126.9594078</x:v>
      </x:c>
      <x:c r="K16" s="232" t="str">
        <x:v>https://map.naver.com/p/entry/coordinates/3zgSMm,2ADVOk?c=15.00,0,0,0,dh</x:v>
      </x:c>
      <x:c r="L16" s="233" t="str">
        <x:v>미검증</x:v>
      </x:c>
      <x:c r="M16" s="67" t="str">
        <x:v>2024 배치·자산 단위; 양단·현재성 확인 필요</x:v>
      </x:c>
    </x:row>
    <x:row r="17">
      <x:c r="A17" s="66"/>
      <x:c r="B17" s="66"/>
      <x:c r="C17" s="66"/>
      <x:c r="D17" s="66"/>
      <x:c r="E17" s="66"/>
      <x:c r="F17" s="66"/>
      <x:c r="G17" s="66"/>
      <x:c r="H17" s="66"/>
      <x:c r="I17" s="66"/>
      <x:c r="J17" s="66"/>
      <x:c r="K17" s="66"/>
      <x:c r="L17" s="66"/>
      <x:c r="M17" s="66"/>
    </x:row>
    <x:row r="18">
      <x:c r="A18" s="66"/>
      <x:c r="B18" s="66"/>
      <x:c r="C18" s="66"/>
      <x:c r="D18" s="66"/>
      <x:c r="E18" s="66"/>
      <x:c r="F18" s="66"/>
      <x:c r="G18" s="66"/>
      <x:c r="H18" s="66"/>
      <x:c r="I18" s="66"/>
      <x:c r="J18" s="66"/>
      <x:c r="K18" s="66"/>
      <x:c r="L18" s="66"/>
      <x:c r="M18" s="66"/>
    </x:row>
    <x:row r="19">
      <x:c r="A19" s="66"/>
      <x:c r="B19" s="66"/>
      <x:c r="C19" s="66"/>
      <x:c r="D19" s="66"/>
      <x:c r="E19" s="66"/>
      <x:c r="F19" s="66"/>
      <x:c r="G19" s="66"/>
      <x:c r="H19" s="66"/>
      <x:c r="I19" s="66"/>
      <x:c r="J19" s="66"/>
      <x:c r="K19" s="66"/>
      <x:c r="L19" s="66"/>
      <x:c r="M19" s="66"/>
    </x:row>
    <x:row r="20">
      <x:c r="A20" s="66"/>
      <x:c r="B20" s="66"/>
      <x:c r="C20" s="66"/>
      <x:c r="D20" s="66"/>
      <x:c r="E20" s="66"/>
      <x:c r="F20" s="66"/>
      <x:c r="G20" s="66"/>
      <x:c r="H20" s="66"/>
      <x:c r="I20" s="66"/>
      <x:c r="J20" s="66"/>
      <x:c r="K20" s="66"/>
      <x:c r="L20" s="66"/>
      <x:c r="M20" s="66"/>
    </x:row>
    <x:row r="21">
      <x:c r="A21" s="66"/>
      <x:c r="B21" s="66"/>
      <x:c r="C21" s="66"/>
      <x:c r="D21" s="66"/>
      <x:c r="E21" s="66"/>
      <x:c r="F21" s="66"/>
      <x:c r="G21" s="66"/>
      <x:c r="H21" s="66"/>
      <x:c r="I21" s="66"/>
      <x:c r="J21" s="66"/>
      <x:c r="K21" s="66"/>
      <x:c r="L21" s="66"/>
      <x:c r="M21" s="66"/>
    </x:row>
    <x:row r="22">
      <x:c r="A22" s="66"/>
      <x:c r="B22" s="66"/>
      <x:c r="C22" s="66"/>
      <x:c r="D22" s="66"/>
      <x:c r="E22" s="66"/>
      <x:c r="F22" s="66"/>
      <x:c r="G22" s="66"/>
      <x:c r="H22" s="66"/>
      <x:c r="I22" s="66"/>
      <x:c r="J22" s="66"/>
      <x:c r="K22" s="66"/>
      <x:c r="L22" s="66"/>
      <x:c r="M22" s="66"/>
    </x:row>
    <x:row r="23">
      <x:c r="A23" s="66"/>
      <x:c r="B23" s="66"/>
      <x:c r="C23" s="66"/>
      <x:c r="D23" s="66"/>
      <x:c r="E23" s="66"/>
      <x:c r="F23" s="66"/>
      <x:c r="G23" s="66"/>
      <x:c r="H23" s="66"/>
      <x:c r="I23" s="66"/>
      <x:c r="J23" s="66"/>
      <x:c r="K23" s="66"/>
      <x:c r="L23" s="66"/>
      <x:c r="M23" s="66"/>
    </x:row>
    <x:row r="24">
      <x:c r="A24" s="66"/>
      <x:c r="B24" s="66"/>
      <x:c r="C24" s="66"/>
      <x:c r="D24" s="66"/>
      <x:c r="E24" s="66"/>
      <x:c r="F24" s="66"/>
      <x:c r="G24" s="66"/>
      <x:c r="H24" s="66"/>
      <x:c r="I24" s="66"/>
      <x:c r="J24" s="66"/>
      <x:c r="K24" s="66"/>
      <x:c r="L24" s="66"/>
      <x:c r="M24" s="66"/>
    </x:row>
    <x:row r="25">
      <x:c r="A25" s="66"/>
      <x:c r="B25" s="66"/>
      <x:c r="C25" s="66"/>
      <x:c r="D25" s="66"/>
      <x:c r="E25" s="66"/>
      <x:c r="F25" s="66"/>
      <x:c r="G25" s="66"/>
      <x:c r="H25" s="66"/>
      <x:c r="I25" s="66"/>
      <x:c r="J25" s="66"/>
      <x:c r="K25" s="66"/>
      <x:c r="L25" s="66"/>
      <x:c r="M25" s="66"/>
    </x:row>
  </x:sheetData>
  <x:conditionalFormatting sqref="I7:I16">
    <x:cfRule type="containsText" dxfId="38" priority="1" operator="containsText" text="Y"/>
  </x:conditionalFormatting>
  <x:dataValidations count="1">
    <x:dataValidation type="list" sqref="L7:L16">
      <x:formula1>"미검증,영상 확인,사람 확인,현장 확인"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Pr>
    <x:tabColor rgb="FF2F6B8A"/>
  </x:sheetPr>
  <x:sheetViews>
    <x:sheetView showGridLines="0" workbookViewId="0"/>
  </x:sheetViews>
  <x:sheetFormatPr defaultRowHeight="15"/>
  <x:cols>
    <x:col min="1" max="1" width="25" hidden="0" customWidth="1"/>
    <x:col min="2" max="2" width="30" hidden="0" customWidth="1"/>
    <x:col min="3" max="3" width="43" hidden="0" customWidth="1"/>
    <x:col min="4" max="4" width="35" hidden="0" customWidth="1"/>
    <x:col min="5" max="5" width="34" hidden="0" customWidth="1"/>
    <x:col min="6" max="6" width="24" hidden="0" customWidth="1"/>
    <x:col min="7" max="7" width="18" hidden="0" customWidth="1"/>
    <x:col min="8" max="8" width="18" hidden="0" customWidth="1"/>
  </x:cols>
  <x:sheetData>
    <x:row r="1">
      <x:c r="A1" s="66"/>
      <x:c r="B1" s="66"/>
      <x:c r="C1" s="66"/>
      <x:c r="D1" s="66"/>
      <x:c r="E1" s="66"/>
      <x:c r="F1" s="66"/>
      <x:c r="G1" s="66"/>
      <x:c r="H1" s="66"/>
    </x:row>
    <x:row r="2" ht="28" customHeight="1">
      <x:c r="A2" s="131" t="str">
        <x:v>경로 재계산 설계와 Gate</x:v>
      </x:c>
      <x:c r="B2" s="131"/>
      <x:c r="C2" s="131"/>
      <x:c r="D2" s="131"/>
      <x:c r="E2" s="131"/>
      <x:c r="F2" s="131"/>
      <x:c r="G2" s="131"/>
      <x:c r="H2" s="131"/>
    </x:row>
    <x:row r="3" ht="22" customHeight="1">
      <x:c r="A3" s="132" t="str">
        <x:v>보도·고유 횡단엣지가 없으므로 수치 결과는 비워 둡니다. 조건 충족 후에만 A/B/C를 계산합니다.</x:v>
      </x:c>
      <x:c r="B3" s="132"/>
      <x:c r="C3" s="132"/>
      <x:c r="D3" s="132"/>
      <x:c r="E3" s="132"/>
      <x:c r="F3" s="132"/>
      <x:c r="G3" s="132"/>
      <x:c r="H3" s="132"/>
    </x:row>
    <x:row r="4">
      <x:c r="A4" s="115"/>
      <x:c r="B4" s="115"/>
      <x:c r="C4" s="115"/>
      <x:c r="D4" s="115"/>
      <x:c r="E4" s="115"/>
      <x:c r="F4" s="115"/>
      <x:c r="G4" s="115"/>
      <x:c r="H4" s="115"/>
    </x:row>
    <x:row r="5">
      <x:c r="A5" s="66"/>
      <x:c r="B5" s="66"/>
      <x:c r="C5" s="66"/>
      <x:c r="D5" s="66"/>
      <x:c r="E5" s="66"/>
      <x:c r="F5" s="66"/>
      <x:c r="G5" s="66"/>
      <x:c r="H5" s="66"/>
    </x:row>
    <x:row r="6" ht="24" customHeight="1">
      <x:c r="A6" s="138" t="str">
        <x:v>새 시나리오 정의</x:v>
      </x:c>
      <x:c r="B6" s="138"/>
      <x:c r="C6" s="138"/>
      <x:c r="D6" s="138"/>
      <x:c r="E6" s="138"/>
      <x:c r="F6" s="138"/>
      <x:c r="G6" s="138"/>
      <x:c r="H6" s="138"/>
    </x:row>
    <x:row r="7" ht="32" customHeight="1">
      <x:c r="A7" s="197" t="str">
        <x:v>시나리오</x:v>
      </x:c>
      <x:c r="B7" s="198" t="str">
        <x:v>대상 프로필</x:v>
      </x:c>
      <x:c r="C7" s="198" t="str">
        <x:v>명시 제약</x:v>
      </x:c>
      <x:c r="D7" s="198" t="str">
        <x:v>공란 처리</x:v>
      </x:c>
      <x:c r="E7" s="198" t="str">
        <x:v>AI/사람 후보</x:v>
      </x:c>
      <x:c r="F7" s="199" t="str">
        <x:v>현재 상태</x:v>
      </x:c>
      <x:c r="G7" s="66"/>
      <x:c r="H7" s="66"/>
    </x:row>
    <x:row r="8" ht="42" customHeight="1">
      <x:c r="A8" s="109" t="str">
        <x:v>A0</x:v>
      </x:c>
      <x:c r="B8" s="109" t="str">
        <x:v>공통</x:v>
      </x:c>
      <x:c r="C8" s="109" t="str">
        <x:v>미적용</x:v>
      </x:c>
      <x:c r="D8" s="109" t="str">
        <x:v>중립 1.00</x:v>
      </x:c>
      <x:c r="E8" s="109" t="str">
        <x:v>미적용</x:v>
      </x:c>
      <x:c r="F8" s="109" t="str">
        <x:v>재계산 대기</x:v>
      </x:c>
      <x:c r="G8" s="66"/>
      <x:c r="H8" s="66"/>
    </x:row>
    <x:row r="9" ht="42" customHeight="1">
      <x:c r="A9" s="109" t="str">
        <x:v>B0-W</x:v>
      </x:c>
      <x:c r="B9" s="109" t="str">
        <x:v>휠체어</x:v>
      </x:c>
      <x:c r="C9" s="109" t="str">
        <x:v>검증된 물리 제약만 고유 횡단엣지에 적용</x:v>
      </x:c>
      <x:c r="D9" s="109" t="str">
        <x:v>중립 1.00</x:v>
      </x:c>
      <x:c r="E9" s="109" t="str">
        <x:v>미적용</x:v>
      </x:c>
      <x:c r="F9" s="109" t="str">
        <x:v>재계산 대기</x:v>
      </x:c>
      <x:c r="G9" s="66"/>
      <x:c r="H9" s="66"/>
    </x:row>
    <x:row r="10" ht="42" customHeight="1">
      <x:c r="A10" s="109" t="str">
        <x:v>B0-V</x:v>
      </x:c>
      <x:c r="B10" s="109" t="str">
        <x:v>시각장애</x:v>
      </x:c>
      <x:c r="C10" s="109" t="str">
        <x:v>검증된 안내 위험을 경고/회피 정책으로 적용</x:v>
      </x:c>
      <x:c r="D10" s="109" t="str">
        <x:v>중립 1.00</x:v>
      </x:c>
      <x:c r="E10" s="109" t="str">
        <x:v>미적용</x:v>
      </x:c>
      <x:c r="F10" s="109" t="str">
        <x:v>재계산 대기</x:v>
      </x:c>
      <x:c r="G10" s="66"/>
      <x:c r="H10" s="66"/>
    </x:row>
    <x:row r="11" ht="42" customHeight="1">
      <x:c r="A11" s="109" t="str">
        <x:v>Bλ</x:v>
      </x:c>
      <x:c r="B11" s="109" t="str">
        <x:v>프로필별</x:v>
      </x:c>
      <x:c r="C11" s="109" t="str">
        <x:v>B0와 동일</x:v>
      </x:c>
      <x:c r="D11" s="109" t="str">
        <x:v>1.00·1.05·1.10·1.15 민감도</x:v>
      </x:c>
      <x:c r="E11" s="109" t="str">
        <x:v>미적용</x:v>
      </x:c>
      <x:c r="F11" s="109" t="str">
        <x:v>보조 분석만</x:v>
      </x:c>
      <x:c r="G11" s="66"/>
      <x:c r="H11" s="66"/>
    </x:row>
    <x:row r="12" ht="42" customHeight="1">
      <x:c r="A12" s="109" t="str">
        <x:v>C</x:v>
      </x:c>
      <x:c r="B12" s="109" t="str">
        <x:v>프로필별</x:v>
      </x:c>
      <x:c r="C12" s="109" t="str">
        <x:v>B0와 동일</x:v>
      </x:c>
      <x:c r="D12" s="109" t="str">
        <x:v>기본 중립</x:v>
      </x:c>
      <x:c r="E12" s="109" t="str">
        <x:v>사람 승인 후보만 적용</x:v>
      </x:c>
      <x:c r="F12" s="109" t="str">
        <x:v>재계산 대기</x:v>
      </x:c>
      <x:c r="G12" s="66"/>
      <x:c r="H12" s="66"/>
    </x:row>
    <x:row r="13">
      <x:c r="A13" s="66"/>
      <x:c r="B13" s="66"/>
      <x:c r="C13" s="66"/>
      <x:c r="D13" s="66"/>
      <x:c r="E13" s="66"/>
      <x:c r="F13" s="66"/>
      <x:c r="G13" s="66"/>
      <x:c r="H13" s="66"/>
    </x:row>
    <x:row r="14" ht="24" customHeight="1">
      <x:c r="A14" s="138" t="str">
        <x:v>재계산 Gate</x:v>
      </x:c>
      <x:c r="B14" s="138"/>
      <x:c r="C14" s="138"/>
      <x:c r="D14" s="138"/>
      <x:c r="E14" s="138"/>
      <x:c r="F14" s="138"/>
      <x:c r="G14" s="138"/>
      <x:c r="H14" s="138"/>
    </x:row>
    <x:row r="15" ht="32" customHeight="1">
      <x:c r="A15" s="197" t="str">
        <x:v>Gate</x:v>
      </x:c>
      <x:c r="B15" s="198" t="str">
        <x:v>현재값</x:v>
      </x:c>
      <x:c r="C15" s="198" t="str">
        <x:v>통과 기준</x:v>
      </x:c>
      <x:c r="D15" s="198" t="str">
        <x:v>상태</x:v>
      </x:c>
      <x:c r="E15" s="199" t="str">
        <x:v>미충족 시</x:v>
      </x:c>
      <x:c r="F15" s="66"/>
      <x:c r="G15" s="66"/>
      <x:c r="H15" s="66"/>
    </x:row>
    <x:row r="16" ht="42" customHeight="1">
      <x:c r="A16" s="109" t="str">
        <x:v>프로필별 판정정책</x:v>
      </x:c>
      <x:c r="B16" s="109" t="str">
        <x:v>정의 완료</x:v>
      </x:c>
      <x:c r="C16" s="109" t="str">
        <x:v>정책표 확정</x:v>
      </x:c>
      <x:c r="D16" s="109" t="str">
        <x:v>통과</x:v>
      </x:c>
      <x:c r="E16" s="109" t="str">
        <x:v>—</x:v>
      </x:c>
      <x:c r="F16" s="66"/>
      <x:c r="G16" s="66"/>
      <x:c r="H16" s="66"/>
    </x:row>
    <x:row r="17" ht="42" customHeight="1">
      <x:c r="A17" s="109" t="str">
        <x:v>고유 횡단엣지 ID</x:v>
      </x:c>
      <x:c r="B17" s="109" t="n">
        <x:v>40</x:v>
      </x:c>
      <x:c r="C17" s="109" t="str">
        <x:v>40개</x:v>
      </x:c>
      <x:c r="D17" s="109" t="str">
        <x:v>정의 완료</x:v>
      </x:c>
      <x:c r="E17" s="109" t="str">
        <x:v>라우팅 그래프 연결 필요</x:v>
      </x:c>
      <x:c r="F17" s="66"/>
      <x:c r="G17" s="66"/>
      <x:c r="H17" s="66"/>
    </x:row>
    <x:row r="18" ht="42" customHeight="1">
      <x:c r="A18" s="109" t="str">
        <x:v>보도·횡단 그래프</x:v>
      </x:c>
      <x:c r="B18" s="109" t="n">
        <x:v>0</x:v>
      </x:c>
      <x:c r="C18" s="109" t="str">
        <x:v>대표 회랑 routable graph</x:v>
      </x:c>
      <x:c r="D18" s="109" t="str">
        <x:v>미통과</x:v>
      </x:c>
      <x:c r="E18" s="109" t="str">
        <x:v>경로 수치 계산 금지</x:v>
      </x:c>
      <x:c r="F18" s="66"/>
      <x:c r="G18" s="66"/>
      <x:c r="H18" s="66"/>
    </x:row>
    <x:row r="19" ht="42" customHeight="1">
      <x:c r="A19" s="109" t="str">
        <x:v>위치보정</x:v>
      </x:c>
      <x:c r="B19" s="109" t="n">
        <x:f>COUNTIF('위치보정 큐'!$L$7:$L$32,"완료")</x:f>
        <x:v>0</x:v>
      </x:c>
      <x:c r="C19" s="109" t="str">
        <x:v>26/26</x:v>
      </x:c>
      <x:c r="D19" s="109" t="str">
        <x:f>IF(B19=26,"통과","미통과")</x:f>
        <x:v>미통과</x:v>
      </x:c>
      <x:c r="E19" s="109" t="str">
        <x:v>사람검수 선행 금지</x:v>
      </x:c>
      <x:c r="F19" s="66"/>
      <x:c r="G19" s="66"/>
      <x:c r="H19" s="66"/>
    </x:row>
    <x:row r="20" ht="42" customHeight="1">
      <x:c r="A20" s="109" t="str">
        <x:v>사람 1차/2차</x:v>
      </x:c>
      <x:c r="B20" s="109" t="str">
        <x:f>(COUNTIFS('검수 대장'!$S$7:$S$86,"pass")+COUNTIFS('검수 대장'!$S$7:$S$86,"block")+COUNTIFS('검수 대장'!$S$7:$S$86,"unknown"))&amp;"/80 · "&amp;(COUNTIFS('검수 대장'!$Z$7:$Z$86,"pass")+COUNTIFS('검수 대장'!$Z$7:$Z$86,"block")+COUNTIFS('검수 대장'!$Z$7:$Z$86,"unknown"))&amp;"/40"</x:f>
        <x:v>0/80 · 0/40</x:v>
      </x:c>
      <x:c r="C20" s="109" t="str">
        <x:v>80/80 · 40/40</x:v>
      </x:c>
      <x:c r="D20" s="109" t="str">
        <x:f>IF(AND((COUNTIFS('검수 대장'!$S$7:$S$86,"pass")+COUNTIFS('검수 대장'!$S$7:$S$86,"block")+COUNTIFS('검수 대장'!$S$7:$S$86,"unknown"))=80,(COUNTIFS('검수 대장'!$Z$7:$Z$86,"pass")+COUNTIFS('검수 대장'!$Z$7:$Z$86,"block")+COUNTIFS('검수 대장'!$Z$7:$Z$86,"unknown"))=40),"통과","미통과")</x:f>
        <x:v>미통과</x:v>
      </x:c>
      <x:c r="E20" s="109" t="str">
        <x:v>공식 C 계산 금지</x:v>
      </x:c>
      <x:c r="F20" s="66"/>
      <x:c r="G20" s="66"/>
      <x:c r="H20" s="66"/>
    </x:row>
    <x:row r="21" ht="42" customHeight="1">
      <x:c r="A21" s="109" t="str">
        <x:v>사람 승인 후보</x:v>
      </x:c>
      <x:c r="B21" s="109" t="n">
        <x:f>COUNTIFS('검수 대장'!$AC$7:$AC$86,"tactile_absent_candidate",'검수 대장'!$AE$7:$AE$86,"&lt;&gt;")+COUNTIFS('검수 대장'!$AC$7:$AC$86,"construction_block_candidate",'검수 대장'!$AE$7:$AE$86,"&lt;&gt;")</x:f>
        <x:v>0</x:v>
      </x:c>
      <x:c r="C21" s="109" t="str">
        <x:v>승인/반려 완료</x:v>
      </x:c>
      <x:c r="D21" s="109" t="str">
        <x:f>IF(B21=5,"통과","미통과")</x:f>
        <x:v>미통과</x:v>
      </x:c>
      <x:c r="E21" s="109" t="str">
        <x:v>공식 C 계산 금지</x:v>
      </x:c>
      <x:c r="F21" s="66"/>
      <x:c r="G21" s="66"/>
      <x:c r="H21" s="66"/>
    </x:row>
    <x:row r="22" ht="42" customHeight="1">
      <x:c r="A22" s="109" t="str">
        <x:v>현재성·권리</x:v>
      </x:c>
      <x:c r="B22" s="109" t="str">
        <x:v>미확인</x:v>
      </x:c>
      <x:c r="C22" s="109" t="str">
        <x:v>영상 이용범위·입력로그 확인</x:v>
      </x:c>
      <x:c r="D22" s="109" t="str">
        <x:v>미통과</x:v>
      </x:c>
      <x:c r="E22" s="109" t="str">
        <x:v>AI 성능 주장 금지</x:v>
      </x:c>
      <x:c r="F22" s="66"/>
      <x:c r="G22" s="66"/>
      <x:c r="H22" s="66"/>
    </x:row>
    <x:row r="23">
      <x:c r="A23" s="66"/>
      <x:c r="B23" s="66"/>
      <x:c r="C23" s="66"/>
      <x:c r="D23" s="66"/>
      <x:c r="E23" s="66"/>
      <x:c r="F23" s="66"/>
      <x:c r="G23" s="66"/>
      <x:c r="H23" s="66"/>
    </x:row>
    <x:row r="24" ht="24" customHeight="1">
      <x:c r="A24" s="138" t="str">
        <x:v>공란 가중치 민감도 입력</x:v>
      </x:c>
      <x:c r="B24" s="138"/>
      <x:c r="C24" s="138"/>
      <x:c r="D24" s="138"/>
      <x:c r="E24" s="138"/>
      <x:c r="F24" s="138"/>
      <x:c r="G24" s="138"/>
      <x:c r="H24" s="138"/>
    </x:row>
    <x:row r="25" ht="32" customHeight="1">
      <x:c r="A25" s="197" t="str">
        <x:v>가중치</x:v>
      </x:c>
      <x:c r="B25" s="198" t="str">
        <x:v>근거</x:v>
      </x:c>
      <x:c r="C25" s="198" t="str">
        <x:v>경로 변경 수</x:v>
      </x:c>
      <x:c r="D25" s="198" t="str">
        <x:v>최대 거리증분</x:v>
      </x:c>
      <x:c r="E25" s="199" t="str">
        <x:v>사용 상태</x:v>
      </x:c>
      <x:c r="F25" s="66"/>
      <x:c r="G25" s="66"/>
      <x:c r="H25" s="66"/>
    </x:row>
    <x:row r="26">
      <x:c r="A26" s="237" t="n">
        <x:v>1</x:v>
      </x:c>
      <x:c r="B26" s="67" t="str">
        <x:v>중립 기준선</x:v>
      </x:c>
      <x:c r="C26" s="159"/>
      <x:c r="D26" s="159"/>
      <x:c r="E26" s="67" t="str">
        <x:v>재계산 대기</x:v>
      </x:c>
      <x:c r="F26" s="66"/>
      <x:c r="G26" s="66"/>
      <x:c r="H26" s="66"/>
    </x:row>
    <x:row r="27">
      <x:c r="A27" s="237" t="n">
        <x:v>1.05</x:v>
      </x:c>
      <x:c r="B27" s="67" t="str">
        <x:v>민감도 가정</x:v>
      </x:c>
      <x:c r="C27" s="159"/>
      <x:c r="D27" s="159"/>
      <x:c r="E27" s="67" t="str">
        <x:v>제출 보조분석</x:v>
      </x:c>
      <x:c r="F27" s="66"/>
      <x:c r="G27" s="66"/>
      <x:c r="H27" s="66"/>
    </x:row>
    <x:row r="28">
      <x:c r="A28" s="237" t="n">
        <x:v>1.1</x:v>
      </x:c>
      <x:c r="B28" s="67" t="str">
        <x:v>민감도 가정</x:v>
      </x:c>
      <x:c r="C28" s="159"/>
      <x:c r="D28" s="159"/>
      <x:c r="E28" s="67" t="str">
        <x:v>제출 보조분석</x:v>
      </x:c>
      <x:c r="F28" s="66"/>
      <x:c r="G28" s="66"/>
      <x:c r="H28" s="66"/>
    </x:row>
    <x:row r="29">
      <x:c r="A29" s="237" t="n">
        <x:v>1.15</x:v>
      </x:c>
      <x:c r="B29" s="67" t="str">
        <x:v>기존 가정</x:v>
      </x:c>
      <x:c r="C29" s="159"/>
      <x:c r="D29" s="159"/>
      <x:c r="E29" s="67" t="str">
        <x:v>기존 5/10과 비교용</x:v>
      </x:c>
      <x:c r="F29" s="66"/>
      <x:c r="G29" s="66"/>
      <x:c r="H29" s="66"/>
    </x:row>
    <x:row r="30">
      <x:c r="A30" s="66"/>
      <x:c r="B30" s="66"/>
      <x:c r="C30" s="66"/>
      <x:c r="D30" s="66"/>
      <x:c r="E30" s="66"/>
      <x:c r="F30" s="66"/>
      <x:c r="G30" s="66"/>
      <x:c r="H30" s="66"/>
    </x:row>
    <x:row r="31">
      <x:c r="A31" s="66"/>
      <x:c r="B31" s="66"/>
      <x:c r="C31" s="66"/>
      <x:c r="D31" s="66"/>
      <x:c r="E31" s="66"/>
      <x:c r="F31" s="66"/>
      <x:c r="G31" s="66"/>
      <x:c r="H31" s="66"/>
    </x:row>
    <x:row r="32">
      <x:c r="A32" s="66"/>
      <x:c r="B32" s="66"/>
      <x:c r="C32" s="66"/>
      <x:c r="D32" s="66"/>
      <x:c r="E32" s="66"/>
      <x:c r="F32" s="66"/>
      <x:c r="G32" s="66"/>
      <x:c r="H32" s="66"/>
    </x:row>
    <x:row r="33">
      <x:c r="A33" s="66"/>
      <x:c r="B33" s="66"/>
      <x:c r="C33" s="66"/>
      <x:c r="D33" s="66"/>
      <x:c r="E33" s="66"/>
      <x:c r="F33" s="66"/>
      <x:c r="G33" s="66"/>
      <x:c r="H33" s="66"/>
    </x:row>
    <x:row r="34">
      <x:c r="A34" s="66"/>
      <x:c r="B34" s="66"/>
      <x:c r="C34" s="66"/>
      <x:c r="D34" s="66"/>
      <x:c r="E34" s="66"/>
      <x:c r="F34" s="66"/>
      <x:c r="G34" s="66"/>
      <x:c r="H34" s="66"/>
    </x:row>
    <x:row r="35">
      <x:c r="A35" s="66"/>
      <x:c r="B35" s="66"/>
      <x:c r="C35" s="66"/>
      <x:c r="D35" s="66"/>
      <x:c r="E35" s="66"/>
      <x:c r="F35" s="66"/>
      <x:c r="G35" s="66"/>
      <x:c r="H35" s="66"/>
    </x:row>
    <x:row r="36">
      <x:c r="A36" s="66"/>
      <x:c r="B36" s="66"/>
      <x:c r="C36" s="66"/>
      <x:c r="D36" s="66"/>
      <x:c r="E36" s="66"/>
      <x:c r="F36" s="66"/>
      <x:c r="G36" s="66"/>
      <x:c r="H36" s="66"/>
    </x:row>
    <x:row r="37">
      <x:c r="A37" s="66"/>
      <x:c r="B37" s="66"/>
      <x:c r="C37" s="66"/>
      <x:c r="D37" s="66"/>
      <x:c r="E37" s="66"/>
      <x:c r="F37" s="66"/>
      <x:c r="G37" s="66"/>
      <x:c r="H37" s="66"/>
    </x:row>
    <x:row r="38">
      <x:c r="A38" s="66"/>
      <x:c r="B38" s="66"/>
      <x:c r="C38" s="66"/>
      <x:c r="D38" s="66"/>
      <x:c r="E38" s="66"/>
      <x:c r="F38" s="66"/>
      <x:c r="G38" s="66"/>
      <x:c r="H38" s="66"/>
    </x:row>
    <x:row r="39">
      <x:c r="A39" s="66"/>
      <x:c r="B39" s="66"/>
      <x:c r="C39" s="66"/>
      <x:c r="D39" s="66"/>
      <x:c r="E39" s="66"/>
      <x:c r="F39" s="66"/>
      <x:c r="G39" s="66"/>
      <x:c r="H39" s="66"/>
    </x:row>
    <x:row r="40">
      <x:c r="A40" s="66"/>
      <x:c r="B40" s="66"/>
      <x:c r="C40" s="66"/>
      <x:c r="D40" s="66"/>
      <x:c r="E40" s="66"/>
      <x:c r="F40" s="66"/>
      <x:c r="G40" s="66"/>
      <x:c r="H40" s="66"/>
    </x:row>
    <x:row r="41">
      <x:c r="A41" s="66"/>
      <x:c r="B41" s="66"/>
      <x:c r="C41" s="66"/>
      <x:c r="D41" s="66"/>
      <x:c r="E41" s="66"/>
      <x:c r="F41" s="66"/>
      <x:c r="G41" s="66"/>
      <x:c r="H41" s="66"/>
    </x:row>
    <x:row r="42">
      <x:c r="A42" s="66"/>
      <x:c r="B42" s="66"/>
      <x:c r="C42" s="66"/>
      <x:c r="D42" s="66"/>
      <x:c r="E42" s="66"/>
      <x:c r="F42" s="66"/>
      <x:c r="G42" s="66"/>
      <x:c r="H42" s="66"/>
    </x:row>
    <x:row r="43">
      <x:c r="A43" s="66"/>
      <x:c r="B43" s="66"/>
      <x:c r="C43" s="66"/>
      <x:c r="D43" s="66"/>
      <x:c r="E43" s="66"/>
      <x:c r="F43" s="66"/>
      <x:c r="G43" s="66"/>
      <x:c r="H43" s="66"/>
    </x:row>
    <x:row r="44">
      <x:c r="A44" s="66"/>
      <x:c r="B44" s="66"/>
      <x:c r="C44" s="66"/>
      <x:c r="D44" s="66"/>
      <x:c r="E44" s="66"/>
      <x:c r="F44" s="66"/>
      <x:c r="G44" s="66"/>
      <x:c r="H44" s="66"/>
    </x:row>
    <x:row r="45">
      <x:c r="A45" s="66"/>
      <x:c r="B45" s="66"/>
      <x:c r="C45" s="66"/>
      <x:c r="D45" s="66"/>
      <x:c r="E45" s="66"/>
      <x:c r="F45" s="66"/>
      <x:c r="G45" s="66"/>
      <x:c r="H45" s="66"/>
    </x:row>
    <x:row r="46">
      <x:c r="A46" s="66"/>
      <x:c r="B46" s="66"/>
      <x:c r="C46" s="66"/>
      <x:c r="D46" s="66"/>
      <x:c r="E46" s="66"/>
      <x:c r="F46" s="66"/>
      <x:c r="G46" s="66"/>
      <x:c r="H46" s="66"/>
    </x:row>
    <x:row r="47">
      <x:c r="A47" s="66"/>
      <x:c r="B47" s="66"/>
      <x:c r="C47" s="66"/>
      <x:c r="D47" s="66"/>
      <x:c r="E47" s="66"/>
      <x:c r="F47" s="66"/>
      <x:c r="G47" s="66"/>
      <x:c r="H47" s="66"/>
    </x:row>
    <x:row r="48">
      <x:c r="A48" s="66"/>
      <x:c r="B48" s="66"/>
      <x:c r="C48" s="66"/>
      <x:c r="D48" s="66"/>
      <x:c r="E48" s="66"/>
      <x:c r="F48" s="66"/>
      <x:c r="G48" s="66"/>
      <x:c r="H48" s="66"/>
    </x:row>
    <x:row r="49">
      <x:c r="A49" s="66"/>
      <x:c r="B49" s="66"/>
      <x:c r="C49" s="66"/>
      <x:c r="D49" s="66"/>
      <x:c r="E49" s="66"/>
      <x:c r="F49" s="66"/>
      <x:c r="G49" s="66"/>
      <x:c r="H49" s="66"/>
    </x:row>
    <x:row r="50">
      <x:c r="A50" s="66"/>
      <x:c r="B50" s="66"/>
      <x:c r="C50" s="66"/>
      <x:c r="D50" s="66"/>
      <x:c r="E50" s="66"/>
      <x:c r="F50" s="66"/>
      <x:c r="G50" s="66"/>
      <x:c r="H50" s="66"/>
    </x:row>
    <x:row r="51">
      <x:c r="A51" s="66"/>
      <x:c r="B51" s="66"/>
      <x:c r="C51" s="66"/>
      <x:c r="D51" s="66"/>
      <x:c r="E51" s="66"/>
      <x:c r="F51" s="66"/>
      <x:c r="G51" s="66"/>
      <x:c r="H51" s="66"/>
    </x:row>
    <x:row r="52">
      <x:c r="A52" s="66"/>
      <x:c r="B52" s="66"/>
      <x:c r="C52" s="66"/>
      <x:c r="D52" s="66"/>
      <x:c r="E52" s="66"/>
      <x:c r="F52" s="66"/>
      <x:c r="G52" s="66"/>
      <x:c r="H52" s="66"/>
    </x:row>
    <x:row r="53">
      <x:c r="A53" s="66"/>
      <x:c r="B53" s="66"/>
      <x:c r="C53" s="66"/>
      <x:c r="D53" s="66"/>
      <x:c r="E53" s="66"/>
      <x:c r="F53" s="66"/>
      <x:c r="G53" s="66"/>
      <x:c r="H53" s="66"/>
    </x:row>
    <x:row r="54">
      <x:c r="A54" s="66"/>
      <x:c r="B54" s="66"/>
      <x:c r="C54" s="66"/>
      <x:c r="D54" s="66"/>
      <x:c r="E54" s="66"/>
      <x:c r="F54" s="66"/>
      <x:c r="G54" s="66"/>
      <x:c r="H54" s="66"/>
    </x:row>
    <x:row r="55">
      <x:c r="A55" s="66"/>
      <x:c r="B55" s="66"/>
      <x:c r="C55" s="66"/>
      <x:c r="D55" s="66"/>
      <x:c r="E55" s="66"/>
      <x:c r="F55" s="66"/>
      <x:c r="G55" s="66"/>
      <x:c r="H55" s="66"/>
    </x:row>
  </x:sheetData>
  <x:conditionalFormatting sqref="D16:D22">
    <x:cfRule type="containsText" dxfId="39" priority="1" operator="containsText" text="미통과"/>
    <x:cfRule type="containsText" dxfId="40" priority="2" operator="containsText" text="통과"/>
  </x:conditionalFormatting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Pr>
    <x:tabColor rgb="FFF5B942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4" hidden="0" customWidth="1"/>
    <x:col min="2" max="2" width="11" hidden="0" customWidth="1"/>
    <x:col min="3" max="3" width="9" hidden="0" customWidth="1"/>
    <x:col min="4" max="4" width="16" hidden="0" customWidth="1"/>
    <x:col min="5" max="5" width="16" hidden="0" customWidth="1"/>
    <x:col min="6" max="6" width="13" hidden="0" customWidth="1"/>
    <x:col min="7" max="7" width="13" hidden="0" customWidth="1"/>
    <x:col min="8" max="8" width="14" hidden="0" customWidth="1"/>
    <x:col min="9" max="9" width="15" hidden="0" customWidth="1"/>
    <x:col min="10" max="10" width="17" hidden="0" customWidth="1"/>
    <x:col min="11" max="11" width="14" hidden="0" customWidth="1"/>
    <x:col min="12" max="12" width="14" hidden="0" customWidth="1"/>
    <x:col min="13" max="13" width="13" hidden="0" customWidth="1"/>
    <x:col min="14" max="14" width="22" hidden="0" customWidth="1"/>
    <x:col min="15" max="15" width="22" hidden="0" customWidth="1"/>
    <x:col min="16" max="16" width="46" hidden="0" customWidth="1"/>
    <x:col min="17" max="17" width="22" hidden="0" customWidth="1"/>
  </x:cols>
  <x:sheetData>
    <x:row r="1">
      <x:c r="A1" s="66"/>
      <x:c r="B1" s="66"/>
      <x:c r="C1" s="66"/>
      <x:c r="D1" s="66"/>
      <x:c r="E1" s="66"/>
      <x:c r="F1" s="66"/>
      <x:c r="G1" s="66"/>
      <x:c r="H1" s="66"/>
      <x:c r="I1" s="66"/>
      <x:c r="J1" s="66"/>
      <x:c r="K1" s="66"/>
      <x:c r="L1" s="66"/>
      <x:c r="M1" s="66"/>
      <x:c r="N1" s="66"/>
      <x:c r="O1" s="66"/>
      <x:c r="P1" s="66"/>
      <x:c r="Q1" s="66"/>
    </x:row>
    <x:row r="2" ht="28" customHeight="1">
      <x:c r="A2" s="131" t="str">
        <x:v>1차 독립 검수 배포용</x:v>
      </x:c>
      <x:c r="B2" s="131"/>
      <x:c r="C2" s="131"/>
      <x:c r="D2" s="131"/>
      <x:c r="E2" s="131"/>
      <x:c r="F2" s="131"/>
      <x:c r="G2" s="131"/>
      <x:c r="H2" s="131"/>
      <x:c r="I2" s="131"/>
      <x:c r="J2" s="131"/>
      <x:c r="K2" s="131"/>
      <x:c r="L2" s="131"/>
      <x:c r="M2" s="131"/>
      <x:c r="N2" s="131"/>
      <x:c r="O2" s="131"/>
      <x:c r="P2" s="131"/>
      <x:c r="Q2" s="131"/>
    </x:row>
    <x:row r="3" ht="22" customHeight="1">
      <x:c r="A3" s="132" t="str">
        <x:v>AI 판정·다른 검수자 결과를 포함하지 않습니다. 이 시트만 별도 파일로 복사해 배포하세요.</x:v>
      </x:c>
      <x:c r="B3" s="132"/>
      <x:c r="C3" s="132"/>
      <x:c r="D3" s="132"/>
      <x:c r="E3" s="132"/>
      <x:c r="F3" s="132"/>
      <x:c r="G3" s="132"/>
      <x:c r="H3" s="132"/>
      <x:c r="I3" s="132"/>
      <x:c r="J3" s="132"/>
      <x:c r="K3" s="132"/>
      <x:c r="L3" s="132"/>
      <x:c r="M3" s="132"/>
      <x:c r="N3" s="132"/>
      <x:c r="O3" s="132"/>
      <x:c r="P3" s="132"/>
      <x:c r="Q3" s="132"/>
    </x:row>
    <x:row r="4">
      <x:c r="A4" s="115"/>
      <x:c r="B4" s="115"/>
      <x:c r="C4" s="115"/>
      <x:c r="D4" s="115"/>
      <x:c r="E4" s="115"/>
      <x:c r="F4" s="115"/>
      <x:c r="G4" s="115"/>
      <x:c r="H4" s="115"/>
      <x:c r="I4" s="115"/>
      <x:c r="J4" s="115"/>
      <x:c r="K4" s="115"/>
      <x:c r="L4" s="115"/>
      <x:c r="M4" s="115"/>
      <x:c r="N4" s="115"/>
      <x:c r="O4" s="115"/>
      <x:c r="P4" s="115"/>
      <x:c r="Q4" s="115"/>
    </x:row>
    <x:row r="5">
      <x:c r="A5" s="132" t="str">
        <x:v>판정 원칙: 위치가 맞는지 먼저 확인 → 관찰 속성 입력 → 휠체어/시각장애 후보를 별도로 판정 → 보이지 않으면 판독불가</x:v>
      </x:c>
      <x:c r="B5" s="132"/>
      <x:c r="C5" s="132"/>
      <x:c r="D5" s="132"/>
      <x:c r="E5" s="132"/>
      <x:c r="F5" s="132"/>
      <x:c r="G5" s="132"/>
      <x:c r="H5" s="132"/>
      <x:c r="I5" s="132"/>
      <x:c r="J5" s="132"/>
      <x:c r="K5" s="132"/>
      <x:c r="L5" s="132"/>
      <x:c r="M5" s="132"/>
      <x:c r="N5" s="132"/>
      <x:c r="O5" s="132"/>
      <x:c r="P5" s="132"/>
      <x:c r="Q5" s="132"/>
    </x:row>
    <x:row r="6" ht="32" customHeight="1">
      <x:c r="A6" s="197" t="str">
        <x:v>접근부 ID</x:v>
      </x:c>
      <x:c r="B6" s="198" t="str">
        <x:v>표본 ID</x:v>
      </x:c>
      <x:c r="C6" s="198" t="str">
        <x:v>측면</x:v>
      </x:c>
      <x:c r="D6" s="198" t="str">
        <x:v>위도</x:v>
      </x:c>
      <x:c r="E6" s="198" t="str">
        <x:v>경도</x:v>
      </x:c>
      <x:c r="F6" s="198" t="str">
        <x:v>카카오 보기</x:v>
      </x:c>
      <x:c r="G6" s="198" t="str">
        <x:v>네이버 보기</x:v>
      </x:c>
      <x:c r="H6" s="198" t="str">
        <x:v>영상 촬영일</x:v>
      </x:c>
      <x:c r="I6" s="198" t="str">
        <x:v>위치 확인</x:v>
      </x:c>
      <x:c r="J6" s="198" t="str">
        <x:v>보도턱낮춤</x:v>
      </x:c>
      <x:c r="K6" s="198" t="str">
        <x:v>점자블록</x:v>
      </x:c>
      <x:c r="L6" s="198" t="str">
        <x:v>장애물</x:v>
      </x:c>
      <x:c r="M6" s="198" t="str">
        <x:v>가시성</x:v>
      </x:c>
      <x:c r="N6" s="198" t="str">
        <x:v>휠체어 후보</x:v>
      </x:c>
      <x:c r="O6" s="198" t="str">
        <x:v>시각장애 후보</x:v>
      </x:c>
      <x:c r="P6" s="198" t="str">
        <x:v>메모</x:v>
      </x:c>
      <x:c r="Q6" s="199" t="str">
        <x:v>검수자/검수일</x:v>
      </x:c>
    </x:row>
    <x:row r="7" ht="34" customHeight="1">
      <x:c r="A7" s="67" t="str">
        <x:v>CW01-A</x:v>
      </x:c>
      <x:c r="B7" s="67" t="str">
        <x:v>CW01</x:v>
      </x:c>
      <x:c r="C7" s="67" t="str">
        <x:v>A</x:v>
      </x:c>
      <x:c r="D7" s="235" t="n">
        <x:v>37.40240149538004</x:v>
      </x:c>
      <x:c r="E7" s="235" t="n">
        <x:v>126.92264614190194</x:v>
      </x:c>
      <x:c r="F7" s="105" t="e">
        <x:f>HYPERLINK("https://map.kakao.com/?panoid=1202971200&amp;pan=327.8&amp;zoom=0&amp;map_type=TYPE_MAP&amp;map_attribute=ROADVIEW&amp;urlX=482904.0&amp;urlY=1084204.0","카카오")</x:f>
        <x:v>HYPERLINK is not implemented. linkLocation=https://map.kakao.com/?panoid=1202971200&amp;pan=327.8&amp;zoom=0&amp;map_type=TYPE_MAP&amp;map_attribute=ROADVIEW&amp;urlX=482904.0&amp;urlY=1084204.0, friendlyName=카카오</x:v>
      </x:c>
      <x:c r="G7" s="105" t="e">
        <x:f>HYPERLINK("https://map.naver.com/p/entry/coordinates/3zfl93,2AFa5V?c=15.00,0,0,0,dh","네이버")</x:f>
        <x:v>HYPERLINK is not implemented. linkLocation=https://map.naver.com/p/entry/coordinates/3zfl93,2AFa5V?c=15.00,0,0,0,dh, friendlyName=네이버</x:v>
      </x:c>
      <x:c r="H7" s="238" t="str">
        <x:v>2025-11-17 14:28:24</x:v>
      </x:c>
      <x:c r="I7" s="233"/>
      <x:c r="J7" s="233"/>
      <x:c r="K7" s="233"/>
      <x:c r="L7" s="233"/>
      <x:c r="M7" s="233"/>
      <x:c r="N7" s="233"/>
      <x:c r="O7" s="233"/>
      <x:c r="P7" s="233"/>
      <x:c r="Q7" s="233"/>
    </x:row>
    <x:row r="8" ht="34" customHeight="1">
      <x:c r="A8" s="67" t="str">
        <x:v>CW01-B</x:v>
      </x:c>
      <x:c r="B8" s="67" t="str">
        <x:v>CW01</x:v>
      </x:c>
      <x:c r="C8" s="67" t="str">
        <x:v>B</x:v>
      </x:c>
      <x:c r="D8" s="235" t="n">
        <x:v>37.40244836461997</x:v>
      </x:c>
      <x:c r="E8" s="235" t="n">
        <x:v>126.92273045809807</x:v>
      </x:c>
      <x:c r="F8" s="105" t="e">
        <x:f>HYPERLINK("https://map.kakao.com/?panoid=1202971200&amp;pan=327.8&amp;zoom=0&amp;map_type=TYPE_MAP&amp;map_attribute=ROADVIEW&amp;urlX=482904.0&amp;urlY=1084204.0","카카오")</x:f>
        <x:v>HYPERLINK is not implemented. linkLocation=https://map.kakao.com/?panoid=1202971200&amp;pan=327.8&amp;zoom=0&amp;map_type=TYPE_MAP&amp;map_attribute=ROADVIEW&amp;urlX=482904.0&amp;urlY=1084204.0, friendlyName=카카오</x:v>
      </x:c>
      <x:c r="G8" s="105" t="e">
        <x:f>HYPERLINK("https://map.naver.com/p/entry/coordinates/3zflmF,2AFadu?c=15.00,0,0,0,dh","네이버")</x:f>
        <x:v>HYPERLINK is not implemented. linkLocation=https://map.naver.com/p/entry/coordinates/3zflmF,2AFadu?c=15.00,0,0,0,dh, friendlyName=네이버</x:v>
      </x:c>
      <x:c r="H8" s="238" t="str">
        <x:v>2025-11-17 14:28:24</x:v>
      </x:c>
      <x:c r="I8" s="233"/>
      <x:c r="J8" s="233"/>
      <x:c r="K8" s="233"/>
      <x:c r="L8" s="233"/>
      <x:c r="M8" s="233"/>
      <x:c r="N8" s="233"/>
      <x:c r="O8" s="233"/>
      <x:c r="P8" s="233"/>
      <x:c r="Q8" s="233"/>
    </x:row>
    <x:row r="9" ht="34" customHeight="1">
      <x:c r="A9" s="67" t="str">
        <x:v>CW02-A</x:v>
      </x:c>
      <x:c r="B9" s="67" t="str">
        <x:v>CW02</x:v>
      </x:c>
      <x:c r="C9" s="67" t="str">
        <x:v>A</x:v>
      </x:c>
      <x:c r="D9" s="235" t="n">
        <x:v>37.402241089845866</x:v>
      </x:c>
      <x:c r="E9" s="235" t="n">
        <x:v>126.9216533145511</x:v>
      </x:c>
      <x:c r="F9" s="105" t="e">
        <x:f>HYPERLINK("https://map.kakao.com/?panoid=1203476225&amp;pan=326.4&amp;zoom=0&amp;map_type=TYPE_MAP&amp;map_attribute=ROADVIEW&amp;urlX=482616.0&amp;urlY=1084126.0","카카오")</x:f>
        <x:v>HYPERLINK is not implemented. linkLocation=https://map.kakao.com/?panoid=1203476225&amp;pan=326.4&amp;zoom=0&amp;map_type=TYPE_MAP&amp;map_attribute=ROADVIEW&amp;urlX=482616.0&amp;urlY=1084126.0, friendlyName=카카오</x:v>
      </x:c>
      <x:c r="G9" s="105" t="e">
        <x:f>HYPERLINK("https://map.naver.com/p/entry/coordinates/3zfiyV,2AF9G3?c=15.00,0,0,0,dh","네이버")</x:f>
        <x:v>HYPERLINK is not implemented. linkLocation=https://map.naver.com/p/entry/coordinates/3zfiyV,2AF9G3?c=15.00,0,0,0,dh, friendlyName=네이버</x:v>
      </x:c>
      <x:c r="H9" s="238" t="str">
        <x:v>2025-12-01 13:09:30</x:v>
      </x:c>
      <x:c r="I9" s="233"/>
      <x:c r="J9" s="233"/>
      <x:c r="K9" s="233"/>
      <x:c r="L9" s="233"/>
      <x:c r="M9" s="233"/>
      <x:c r="N9" s="233"/>
      <x:c r="O9" s="233"/>
      <x:c r="P9" s="233"/>
      <x:c r="Q9" s="233"/>
    </x:row>
    <x:row r="10" ht="34" customHeight="1">
      <x:c r="A10" s="67" t="str">
        <x:v>CW02-B</x:v>
      </x:c>
      <x:c r="B10" s="67" t="str">
        <x:v>CW02</x:v>
      </x:c>
      <x:c r="C10" s="67" t="str">
        <x:v>B</x:v>
      </x:c>
      <x:c r="D10" s="235" t="n">
        <x:v>37.40226767015414</x:v>
      </x:c>
      <x:c r="E10" s="235" t="n">
        <x:v>126.92157948544892</x:v>
      </x:c>
      <x:c r="F10" s="105" t="e">
        <x:f>HYPERLINK("https://map.kakao.com/?panoid=1203476225&amp;pan=326.4&amp;zoom=0&amp;map_type=TYPE_MAP&amp;map_attribute=ROADVIEW&amp;urlX=482616.0&amp;urlY=1084126.0","카카오")</x:f>
        <x:v>HYPERLINK is not implemented. linkLocation=https://map.kakao.com/?panoid=1203476225&amp;pan=326.4&amp;zoom=0&amp;map_type=TYPE_MAP&amp;map_attribute=ROADVIEW&amp;urlX=482616.0&amp;urlY=1084126.0, friendlyName=카카오</x:v>
      </x:c>
      <x:c r="G10" s="105" t="e">
        <x:f>HYPERLINK("https://map.naver.com/p/entry/coordinates/3zfin1,2AF9Kl?c=15.00,0,0,0,dh","네이버")</x:f>
        <x:v>HYPERLINK is not implemented. linkLocation=https://map.naver.com/p/entry/coordinates/3zfin1,2AF9Kl?c=15.00,0,0,0,dh, friendlyName=네이버</x:v>
      </x:c>
      <x:c r="H10" s="238" t="str">
        <x:v>2025-12-01 13:09:30</x:v>
      </x:c>
      <x:c r="I10" s="233"/>
      <x:c r="J10" s="233"/>
      <x:c r="K10" s="233"/>
      <x:c r="L10" s="233"/>
      <x:c r="M10" s="233"/>
      <x:c r="N10" s="233"/>
      <x:c r="O10" s="233"/>
      <x:c r="P10" s="233"/>
      <x:c r="Q10" s="233"/>
    </x:row>
    <x:row r="11" ht="34" customHeight="1">
      <x:c r="A11" s="67" t="str">
        <x:v>CW03-A</x:v>
      </x:c>
      <x:c r="B11" s="67" t="str">
        <x:v>CW03</x:v>
      </x:c>
      <x:c r="C11" s="67" t="str">
        <x:v>A</x:v>
      </x:c>
      <x:c r="D11" s="235" t="n">
        <x:v>37.40300229204492</x:v>
      </x:c>
      <x:c r="E11" s="235" t="n">
        <x:v>126.92225900640435</x:v>
      </x:c>
      <x:c r="F11" s="105" t="e">
        <x:f>HYPERLINK("https://map.kakao.com/?panoid=1202971207&amp;pan=327.3&amp;zoom=0&amp;map_type=TYPE_MAP&amp;map_attribute=ROADVIEW&amp;urlX=482811.0&amp;urlY=1084352.0","카카오")</x:f>
        <x:v>HYPERLINK is not implemented. linkLocation=https://map.kakao.com/?panoid=1202971207&amp;pan=327.3&amp;zoom=0&amp;map_type=TYPE_MAP&amp;map_attribute=ROADVIEW&amp;urlX=482811.0&amp;urlY=1084352.0, friendlyName=카카오</x:v>
      </x:c>
      <x:c r="G11" s="105" t="e">
        <x:f>HYPERLINK("https://map.naver.com/p/entry/coordinates/3zfk8C,2AFbEP?c=15.00,0,0,0,dh","네이버")</x:f>
        <x:v>HYPERLINK is not implemented. linkLocation=https://map.naver.com/p/entry/coordinates/3zfk8C,2AFbEP?c=15.00,0,0,0,dh, friendlyName=네이버</x:v>
      </x:c>
      <x:c r="H11" s="238" t="str">
        <x:v>2025-11-17 14:28:34</x:v>
      </x:c>
      <x:c r="I11" s="233"/>
      <x:c r="J11" s="233"/>
      <x:c r="K11" s="233"/>
      <x:c r="L11" s="233"/>
      <x:c r="M11" s="233"/>
      <x:c r="N11" s="233"/>
      <x:c r="O11" s="233"/>
      <x:c r="P11" s="233"/>
      <x:c r="Q11" s="233"/>
    </x:row>
    <x:row r="12" ht="34" customHeight="1">
      <x:c r="A12" s="67" t="str">
        <x:v>CW03-B</x:v>
      </x:c>
      <x:c r="B12" s="67" t="str">
        <x:v>CW03</x:v>
      </x:c>
      <x:c r="C12" s="67" t="str">
        <x:v>B</x:v>
      </x:c>
      <x:c r="D12" s="235" t="n">
        <x:v>37.40303852795509</x:v>
      </x:c>
      <x:c r="E12" s="235" t="n">
        <x:v>126.92232419359563</x:v>
      </x:c>
      <x:c r="F12" s="105" t="e">
        <x:f>HYPERLINK("https://map.kakao.com/?panoid=1202971207&amp;pan=327.3&amp;zoom=0&amp;map_type=TYPE_MAP&amp;map_attribute=ROADVIEW&amp;urlX=482811.0&amp;urlY=1084352.0","카카오")</x:f>
        <x:v>HYPERLINK is not implemented. linkLocation=https://map.kakao.com/?panoid=1202971207&amp;pan=327.3&amp;zoom=0&amp;map_type=TYPE_MAP&amp;map_attribute=ROADVIEW&amp;urlX=482811.0&amp;urlY=1084352.0, friendlyName=카카오</x:v>
      </x:c>
      <x:c r="G12" s="105" t="e">
        <x:f>HYPERLINK("https://map.naver.com/p/entry/coordinates/3zfkj8,2AFbKF?c=15.00,0,0,0,dh","네이버")</x:f>
        <x:v>HYPERLINK is not implemented. linkLocation=https://map.naver.com/p/entry/coordinates/3zfkj8,2AFbKF?c=15.00,0,0,0,dh, friendlyName=네이버</x:v>
      </x:c>
      <x:c r="H12" s="238" t="str">
        <x:v>2025-11-17 14:28:34</x:v>
      </x:c>
      <x:c r="I12" s="233"/>
      <x:c r="J12" s="233"/>
      <x:c r="K12" s="233"/>
      <x:c r="L12" s="233"/>
      <x:c r="M12" s="233"/>
      <x:c r="N12" s="233"/>
      <x:c r="O12" s="233"/>
      <x:c r="P12" s="233"/>
      <x:c r="Q12" s="233"/>
    </x:row>
    <x:row r="13" ht="34" customHeight="1">
      <x:c r="A13" s="67" t="str">
        <x:v>CW04-A</x:v>
      </x:c>
      <x:c r="B13" s="67" t="str">
        <x:v>CW04</x:v>
      </x:c>
      <x:c r="C13" s="67" t="str">
        <x:v>A</x:v>
      </x:c>
      <x:c r="D13" s="235" t="n">
        <x:v>37.402219732308936</x:v>
      </x:c>
      <x:c r="E13" s="235" t="n">
        <x:v>126.92134421014717</x:v>
      </x:c>
      <x:c r="F13" s="105" t="e">
        <x:f>HYPERLINK("https://map.kakao.com/?panoid=1203476229&amp;pan=326.3&amp;zoom=0&amp;map_type=TYPE_MAP&amp;map_attribute=ROADVIEW&amp;urlX=482602.0&amp;urlY=1084147.0","카카오")</x:f>
        <x:v>HYPERLINK is not implemented. linkLocation=https://map.kakao.com/?panoid=1203476229&amp;pan=326.3&amp;zoom=0&amp;map_type=TYPE_MAP&amp;map_attribute=ROADVIEW&amp;urlX=482602.0&amp;urlY=1084147.0, friendlyName=카카오</x:v>
      </x:c>
      <x:c r="G13" s="105" t="e">
        <x:f>HYPERLINK("https://map.naver.com/p/entry/coordinates/3zfhL4,2AF9CB?c=15.00,0,0,0,dh","네이버")</x:f>
        <x:v>HYPERLINK is not implemented. linkLocation=https://map.naver.com/p/entry/coordinates/3zfhL4,2AF9CB?c=15.00,0,0,0,dh, friendlyName=네이버</x:v>
      </x:c>
      <x:c r="H13" s="238" t="str">
        <x:v>2025-12-01 13:09:31</x:v>
      </x:c>
      <x:c r="I13" s="233"/>
      <x:c r="J13" s="233"/>
      <x:c r="K13" s="233"/>
      <x:c r="L13" s="233"/>
      <x:c r="M13" s="233"/>
      <x:c r="N13" s="233"/>
      <x:c r="O13" s="233"/>
      <x:c r="P13" s="233"/>
      <x:c r="Q13" s="233"/>
    </x:row>
    <x:row r="14" ht="34" customHeight="1">
      <x:c r="A14" s="67" t="str">
        <x:v>CW04-B</x:v>
      </x:c>
      <x:c r="B14" s="67" t="str">
        <x:v>CW04</x:v>
      </x:c>
      <x:c r="C14" s="67" t="str">
        <x:v>B</x:v>
      </x:c>
      <x:c r="D14" s="235" t="n">
        <x:v>37.402296707691065</x:v>
      </x:c>
      <x:c r="E14" s="235" t="n">
        <x:v>126.92148278985283</x:v>
      </x:c>
      <x:c r="F14" s="105" t="e">
        <x:f>HYPERLINK("https://map.kakao.com/?panoid=1203476229&amp;pan=326.3&amp;zoom=0&amp;map_type=TYPE_MAP&amp;map_attribute=ROADVIEW&amp;urlX=482602.0&amp;urlY=1084147.0","카카오")</x:f>
        <x:v>HYPERLINK is not implemented. linkLocation=https://map.kakao.com/?panoid=1203476229&amp;pan=326.3&amp;zoom=0&amp;map_type=TYPE_MAP&amp;map_attribute=ROADVIEW&amp;urlX=482602.0&amp;urlY=1084147.0, friendlyName=카카오</x:v>
      </x:c>
      <x:c r="G14" s="105" t="e">
        <x:f>HYPERLINK("https://map.naver.com/p/entry/coordinates/3zfi7q,2AF9P1?c=15.00,0,0,0,dh","네이버")</x:f>
        <x:v>HYPERLINK is not implemented. linkLocation=https://map.naver.com/p/entry/coordinates/3zfi7q,2AF9P1?c=15.00,0,0,0,dh, friendlyName=네이버</x:v>
      </x:c>
      <x:c r="H14" s="238" t="str">
        <x:v>2025-12-01 13:09:31</x:v>
      </x:c>
      <x:c r="I14" s="233"/>
      <x:c r="J14" s="233"/>
      <x:c r="K14" s="233"/>
      <x:c r="L14" s="233"/>
      <x:c r="M14" s="233"/>
      <x:c r="N14" s="233"/>
      <x:c r="O14" s="233"/>
      <x:c r="P14" s="233"/>
      <x:c r="Q14" s="233"/>
    </x:row>
    <x:row r="15" ht="34" customHeight="1">
      <x:c r="A15" s="67" t="str">
        <x:v>CW05-A</x:v>
      </x:c>
      <x:c r="B15" s="67" t="str">
        <x:v>CW05</x:v>
      </x:c>
      <x:c r="C15" s="67" t="str">
        <x:v>A</x:v>
      </x:c>
      <x:c r="D15" s="235" t="n">
        <x:v>37.40215763504363</x:v>
      </x:c>
      <x:c r="E15" s="235" t="n">
        <x:v>126.92291684588432</x:v>
      </x:c>
      <x:c r="F15" s="105" t="e">
        <x:f>HYPERLINK("https://map.kakao.com/?panoid=1202971196&amp;pan=327.5&amp;zoom=0&amp;map_type=TYPE_MAP&amp;map_attribute=ROADVIEW&amp;urlX=482957.0&amp;urlY=1084120.0","카카오")</x:f>
        <x:v>HYPERLINK is not implemented. linkLocation=https://map.kakao.com/?panoid=1202971196&amp;pan=327.5&amp;zoom=0&amp;map_type=TYPE_MAP&amp;map_attribute=ROADVIEW&amp;urlX=482957.0&amp;urlY=1084120.0, friendlyName=카카오</x:v>
      </x:c>
      <x:c r="G15" s="105" t="e">
        <x:f>HYPERLINK("https://map.naver.com/p/entry/coordinates/3zflQI,2AF9sA?c=15.00,0,0,0,dh","네이버")</x:f>
        <x:v>HYPERLINK is not implemented. linkLocation=https://map.naver.com/p/entry/coordinates/3zflQI,2AF9sA?c=15.00,0,0,0,dh, friendlyName=네이버</x:v>
      </x:c>
      <x:c r="H15" s="238" t="str">
        <x:v>2025-11-17 14:28:18</x:v>
      </x:c>
      <x:c r="I15" s="233"/>
      <x:c r="J15" s="233"/>
      <x:c r="K15" s="233"/>
      <x:c r="L15" s="233"/>
      <x:c r="M15" s="233"/>
      <x:c r="N15" s="233"/>
      <x:c r="O15" s="233"/>
      <x:c r="P15" s="233"/>
      <x:c r="Q15" s="233"/>
    </x:row>
    <x:row r="16" ht="34" customHeight="1">
      <x:c r="A16" s="67" t="str">
        <x:v>CW05-B</x:v>
      </x:c>
      <x:c r="B16" s="67" t="str">
        <x:v>CW05</x:v>
      </x:c>
      <x:c r="C16" s="67" t="str">
        <x:v>B</x:v>
      </x:c>
      <x:c r="D16" s="235" t="n">
        <x:v>37.40219794495638</x:v>
      </x:c>
      <x:c r="E16" s="235" t="n">
        <x:v>126.92299535411566</x:v>
      </x:c>
      <x:c r="F16" s="105" t="e">
        <x:f>HYPERLINK("https://map.kakao.com/?panoid=1202971196&amp;pan=327.5&amp;zoom=0&amp;map_type=TYPE_MAP&amp;map_attribute=ROADVIEW&amp;urlX=482957.0&amp;urlY=1084120.0","카카오")</x:f>
        <x:v>HYPERLINK is not implemented. linkLocation=https://map.kakao.com/?panoid=1202971196&amp;pan=327.5&amp;zoom=0&amp;map_type=TYPE_MAP&amp;map_attribute=ROADVIEW&amp;urlX=482957.0&amp;urlY=1084120.0, friendlyName=카카오</x:v>
      </x:c>
      <x:c r="G16" s="105" t="e">
        <x:f>HYPERLINK("https://map.naver.com/p/entry/coordinates/3zfm3o,2AF9z5?c=15.00,0,0,0,dh","네이버")</x:f>
        <x:v>HYPERLINK is not implemented. linkLocation=https://map.naver.com/p/entry/coordinates/3zfm3o,2AF9z5?c=15.00,0,0,0,dh, friendlyName=네이버</x:v>
      </x:c>
      <x:c r="H16" s="238" t="str">
        <x:v>2025-11-17 14:28:18</x:v>
      </x:c>
      <x:c r="I16" s="233"/>
      <x:c r="J16" s="233"/>
      <x:c r="K16" s="233"/>
      <x:c r="L16" s="233"/>
      <x:c r="M16" s="233"/>
      <x:c r="N16" s="233"/>
      <x:c r="O16" s="233"/>
      <x:c r="P16" s="233"/>
      <x:c r="Q16" s="233"/>
    </x:row>
    <x:row r="17" ht="34" customHeight="1">
      <x:c r="A17" s="67" t="str">
        <x:v>CW06-A</x:v>
      </x:c>
      <x:c r="B17" s="67" t="str">
        <x:v>CW06</x:v>
      </x:c>
      <x:c r="C17" s="67" t="str">
        <x:v>A</x:v>
      </x:c>
      <x:c r="D17" s="235" t="n">
        <x:v>37.4017671465952</x:v>
      </x:c>
      <x:c r="E17" s="235" t="n">
        <x:v>126.92166571676718</x:v>
      </x:c>
      <x:c r="F17" s="105" t="e">
        <x:f>HYPERLINK("https://map.kakao.com/?panoid=1203482543&amp;pan=57.9&amp;zoom=0&amp;map_type=TYPE_MAP&amp;map_attribute=ROADVIEW&amp;urlX=482642.0&amp;urlY=1084005.0","카카오")</x:f>
        <x:v>HYPERLINK is not implemented. linkLocation=https://map.kakao.com/?panoid=1203482543&amp;pan=57.9&amp;zoom=0&amp;map_type=TYPE_MAP&amp;map_attribute=ROADVIEW&amp;urlX=482642.0&amp;urlY=1084005.0, friendlyName=카카오</x:v>
      </x:c>
      <x:c r="G17" s="105" t="e">
        <x:f>HYPERLINK("https://map.naver.com/p/entry/coordinates/3zfiAV,2AF8rB?c=15.00,0,0,0,dh","네이버")</x:f>
        <x:v>HYPERLINK is not implemented. linkLocation=https://map.naver.com/p/entry/coordinates/3zfiAV,2AF8rB?c=15.00,0,0,0,dh, friendlyName=네이버</x:v>
      </x:c>
      <x:c r="H17" s="238" t="str">
        <x:v>2025-12-01 14:54:27</x:v>
      </x:c>
      <x:c r="I17" s="233"/>
      <x:c r="J17" s="233"/>
      <x:c r="K17" s="233"/>
      <x:c r="L17" s="233"/>
      <x:c r="M17" s="233"/>
      <x:c r="N17" s="233"/>
      <x:c r="O17" s="233"/>
      <x:c r="P17" s="233"/>
      <x:c r="Q17" s="233"/>
    </x:row>
    <x:row r="18" ht="34" customHeight="1">
      <x:c r="A18" s="67" t="str">
        <x:v>CW06-B</x:v>
      </x:c>
      <x:c r="B18" s="67" t="str">
        <x:v>CW06</x:v>
      </x:c>
      <x:c r="C18" s="67" t="str">
        <x:v>B</x:v>
      </x:c>
      <x:c r="D18" s="235" t="n">
        <x:v>37.401844893404814</x:v>
      </x:c>
      <x:c r="E18" s="235" t="n">
        <x:v>126.92158628323284</x:v>
      </x:c>
      <x:c r="F18" s="105" t="e">
        <x:f>HYPERLINK("https://map.kakao.com/?panoid=1203482543&amp;pan=57.9&amp;zoom=0&amp;map_type=TYPE_MAP&amp;map_attribute=ROADVIEW&amp;urlX=482642.0&amp;urlY=1084005.0","카카오")</x:f>
        <x:v>HYPERLINK is not implemented. linkLocation=https://map.kakao.com/?panoid=1203482543&amp;pan=57.9&amp;zoom=0&amp;map_type=TYPE_MAP&amp;map_attribute=ROADVIEW&amp;urlX=482642.0&amp;urlY=1084005.0, friendlyName=카카오</x:v>
      </x:c>
      <x:c r="G18" s="105" t="e">
        <x:f>HYPERLINK("https://map.naver.com/p/entry/coordinates/3zfio7,2AF8E9?c=15.00,0,0,0,dh","네이버")</x:f>
        <x:v>HYPERLINK is not implemented. linkLocation=https://map.naver.com/p/entry/coordinates/3zfio7,2AF8E9?c=15.00,0,0,0,dh, friendlyName=네이버</x:v>
      </x:c>
      <x:c r="H18" s="238" t="str">
        <x:v>2025-12-01 14:54:27</x:v>
      </x:c>
      <x:c r="I18" s="233"/>
      <x:c r="J18" s="233"/>
      <x:c r="K18" s="233"/>
      <x:c r="L18" s="233"/>
      <x:c r="M18" s="233"/>
      <x:c r="N18" s="233"/>
      <x:c r="O18" s="233"/>
      <x:c r="P18" s="233"/>
      <x:c r="Q18" s="233"/>
    </x:row>
    <x:row r="19" ht="34" customHeight="1">
      <x:c r="A19" s="67" t="str">
        <x:v>CW07-A</x:v>
      </x:c>
      <x:c r="B19" s="67" t="str">
        <x:v>CW07</x:v>
      </x:c>
      <x:c r="C19" s="67" t="str">
        <x:v>A</x:v>
      </x:c>
      <x:c r="D19" s="235" t="n">
        <x:v>37.40172334566271</x:v>
      </x:c>
      <x:c r="E19" s="235" t="n">
        <x:v>126.92173024130342</x:v>
      </x:c>
      <x:c r="F19" s="105" t="e">
        <x:f>HYPERLINK("https://map.kakao.com/?panoid=1203476201&amp;pan=325.8&amp;zoom=0&amp;map_type=TYPE_MAP&amp;map_attribute=ROADVIEW&amp;urlX=482700.0&amp;urlY=1084002.0","카카오")</x:f>
        <x:v>HYPERLINK is not implemented. linkLocation=https://map.kakao.com/?panoid=1203476201&amp;pan=325.8&amp;zoom=0&amp;map_type=TYPE_MAP&amp;map_attribute=ROADVIEW&amp;urlX=482700.0&amp;urlY=1084002.0, friendlyName=카카오</x:v>
      </x:c>
      <x:c r="G19" s="105" t="e">
        <x:f>HYPERLINK("https://map.naver.com/p/entry/coordinates/3zfiLk,2AF8kx?c=15.00,0,0,0,dh","네이버")</x:f>
        <x:v>HYPERLINK is not implemented. linkLocation=https://map.naver.com/p/entry/coordinates/3zfiLk,2AF8kx?c=15.00,0,0,0,dh, friendlyName=네이버</x:v>
      </x:c>
      <x:c r="H19" s="238" t="str">
        <x:v>2025-12-01 13:09:25</x:v>
      </x:c>
      <x:c r="I19" s="233"/>
      <x:c r="J19" s="233"/>
      <x:c r="K19" s="233"/>
      <x:c r="L19" s="233"/>
      <x:c r="M19" s="233"/>
      <x:c r="N19" s="233"/>
      <x:c r="O19" s="233"/>
      <x:c r="P19" s="233"/>
      <x:c r="Q19" s="233"/>
    </x:row>
    <x:row r="20" ht="34" customHeight="1">
      <x:c r="A20" s="67" t="str">
        <x:v>CW07-B</x:v>
      </x:c>
      <x:c r="B20" s="67" t="str">
        <x:v>CW07</x:v>
      </x:c>
      <x:c r="C20" s="67" t="str">
        <x:v>B</x:v>
      </x:c>
      <x:c r="D20" s="235" t="n">
        <x:v>37.4017507743373</x:v>
      </x:c>
      <x:c r="E20" s="235" t="n">
        <x:v>126.9217985586966</x:v>
      </x:c>
      <x:c r="F20" s="105" t="e">
        <x:f>HYPERLINK("https://map.kakao.com/?panoid=1203476201&amp;pan=325.8&amp;zoom=0&amp;map_type=TYPE_MAP&amp;map_attribute=ROADVIEW&amp;urlX=482700.0&amp;urlY=1084002.0","카카오")</x:f>
        <x:v>HYPERLINK is not implemented. linkLocation=https://map.kakao.com/?panoid=1203476201&amp;pan=325.8&amp;zoom=0&amp;map_type=TYPE_MAP&amp;map_attribute=ROADVIEW&amp;urlX=482700.0&amp;urlY=1084002.0, friendlyName=카카오</x:v>
      </x:c>
      <x:c r="G20" s="105" t="e">
        <x:f>HYPERLINK("https://map.naver.com/p/entry/coordinates/3zfiWm,2AF8oY?c=15.00,0,0,0,dh","네이버")</x:f>
        <x:v>HYPERLINK is not implemented. linkLocation=https://map.naver.com/p/entry/coordinates/3zfiWm,2AF8oY?c=15.00,0,0,0,dh, friendlyName=네이버</x:v>
      </x:c>
      <x:c r="H20" s="238" t="str">
        <x:v>2025-12-01 13:09:25</x:v>
      </x:c>
      <x:c r="I20" s="233"/>
      <x:c r="J20" s="233"/>
      <x:c r="K20" s="233"/>
      <x:c r="L20" s="233"/>
      <x:c r="M20" s="233"/>
      <x:c r="N20" s="233"/>
      <x:c r="O20" s="233"/>
      <x:c r="P20" s="233"/>
      <x:c r="Q20" s="233"/>
    </x:row>
    <x:row r="21" ht="34" customHeight="1">
      <x:c r="A21" s="67" t="str">
        <x:v>CW08-A</x:v>
      </x:c>
      <x:c r="B21" s="67" t="str">
        <x:v>CW08</x:v>
      </x:c>
      <x:c r="C21" s="67" t="str">
        <x:v>A</x:v>
      </x:c>
      <x:c r="D21" s="235" t="n">
        <x:v>37.40151630806864</x:v>
      </x:c>
      <x:c r="E21" s="235" t="n">
        <x:v>126.92345020395895</x:v>
      </x:c>
      <x:c r="F21" s="105" t="e">
        <x:f>HYPERLINK("https://map.kakao.com/?panoid=1202971188&amp;pan=326.1&amp;zoom=0&amp;map_type=TYPE_MAP&amp;map_attribute=ROADVIEW&amp;urlX=483066.0&amp;urlY=1083952.0","카카오")</x:f>
        <x:v>HYPERLINK is not implemented. linkLocation=https://map.kakao.com/?panoid=1202971188&amp;pan=326.1&amp;zoom=0&amp;map_type=TYPE_MAP&amp;map_attribute=ROADVIEW&amp;urlX=483066.0&amp;urlY=1083952.0, friendlyName=카카오</x:v>
      </x:c>
      <x:c r="G21" s="105" t="e">
        <x:f>HYPERLINK("https://map.naver.com/p/entry/coordinates/3zfneK,2AF7N9?c=15.00,0,0,0,dh","네이버")</x:f>
        <x:v>HYPERLINK is not implemented. linkLocation=https://map.naver.com/p/entry/coordinates/3zfneK,2AF7N9?c=15.00,0,0,0,dh, friendlyName=네이버</x:v>
      </x:c>
      <x:c r="H21" s="238" t="str">
        <x:v>2025-11-17 14:28:06</x:v>
      </x:c>
      <x:c r="I21" s="233"/>
      <x:c r="J21" s="233"/>
      <x:c r="K21" s="233"/>
      <x:c r="L21" s="233"/>
      <x:c r="M21" s="233"/>
      <x:c r="N21" s="233"/>
      <x:c r="O21" s="233"/>
      <x:c r="P21" s="233"/>
      <x:c r="Q21" s="233"/>
    </x:row>
    <x:row r="22" ht="34" customHeight="1">
      <x:c r="A22" s="67" t="str">
        <x:v>CW08-B</x:v>
      </x:c>
      <x:c r="B22" s="67" t="str">
        <x:v>CW08</x:v>
      </x:c>
      <x:c r="C22" s="67" t="str">
        <x:v>B</x:v>
      </x:c>
      <x:c r="D22" s="235" t="n">
        <x:v>37.401551731931356</x:v>
      </x:c>
      <x:c r="E22" s="235" t="n">
        <x:v>126.92351919604104</x:v>
      </x:c>
      <x:c r="F22" s="105" t="e">
        <x:f>HYPERLINK("https://map.kakao.com/?panoid=1202971188&amp;pan=326.1&amp;zoom=0&amp;map_type=TYPE_MAP&amp;map_attribute=ROADVIEW&amp;urlX=483066.0&amp;urlY=1083952.0","카카오")</x:f>
        <x:v>HYPERLINK is not implemented. linkLocation=https://map.kakao.com/?panoid=1202971188&amp;pan=326.1&amp;zoom=0&amp;map_type=TYPE_MAP&amp;map_attribute=ROADVIEW&amp;urlX=483066.0&amp;urlY=1083952.0, friendlyName=카카오</x:v>
      </x:c>
      <x:c r="G22" s="105" t="e">
        <x:f>HYPERLINK("https://map.naver.com/p/entry/coordinates/3zfnpS,2AF7SR?c=15.00,0,0,0,dh","네이버")</x:f>
        <x:v>HYPERLINK is not implemented. linkLocation=https://map.naver.com/p/entry/coordinates/3zfnpS,2AF7SR?c=15.00,0,0,0,dh, friendlyName=네이버</x:v>
      </x:c>
      <x:c r="H22" s="238" t="str">
        <x:v>2025-11-17 14:28:06</x:v>
      </x:c>
      <x:c r="I22" s="233"/>
      <x:c r="J22" s="233"/>
      <x:c r="K22" s="233"/>
      <x:c r="L22" s="233"/>
      <x:c r="M22" s="233"/>
      <x:c r="N22" s="233"/>
      <x:c r="O22" s="233"/>
      <x:c r="P22" s="233"/>
      <x:c r="Q22" s="233"/>
    </x:row>
    <x:row r="23" ht="34" customHeight="1">
      <x:c r="A23" s="67" t="str">
        <x:v>CW09-A</x:v>
      </x:c>
      <x:c r="B23" s="67" t="str">
        <x:v>CW09</x:v>
      </x:c>
      <x:c r="C23" s="67" t="str">
        <x:v>A</x:v>
      </x:c>
      <x:c r="D23" s="235" t="n">
        <x:v>37.4012455863223</x:v>
      </x:c>
      <x:c r="E23" s="235" t="n">
        <x:v>126.92224733040224</x:v>
      </x:c>
      <x:c r="F23" s="105" t="e">
        <x:f>HYPERLINK("https://map.kakao.com/?panoid=1202871501&amp;pan=287.0&amp;zoom=0&amp;map_type=TYPE_MAP&amp;map_attribute=ROADVIEW&amp;urlX=482792.0&amp;urlY=1083853.0","카카오")</x:f>
        <x:v>HYPERLINK is not implemented. linkLocation=https://map.kakao.com/?panoid=1202871501&amp;pan=287.0&amp;zoom=0&amp;map_type=TYPE_MAP&amp;map_attribute=ROADVIEW&amp;urlX=482792.0&amp;urlY=1083853.0, friendlyName=카카오</x:v>
      </x:c>
      <x:c r="G23" s="105" t="e">
        <x:f>HYPERLINK("https://map.naver.com/p/entry/coordinates/3zfk6J,2AF75u?c=15.00,0,0,0,dh","네이버")</x:f>
        <x:v>HYPERLINK is not implemented. linkLocation=https://map.naver.com/p/entry/coordinates/3zfk6J,2AF75u?c=15.00,0,0,0,dh, friendlyName=네이버</x:v>
      </x:c>
      <x:c r="H23" s="238" t="str">
        <x:v>2025-11-18 11:48:15</x:v>
      </x:c>
      <x:c r="I23" s="233"/>
      <x:c r="J23" s="233"/>
      <x:c r="K23" s="233"/>
      <x:c r="L23" s="233"/>
      <x:c r="M23" s="233"/>
      <x:c r="N23" s="233"/>
      <x:c r="O23" s="233"/>
      <x:c r="P23" s="233"/>
      <x:c r="Q23" s="233"/>
    </x:row>
    <x:row r="24" ht="34" customHeight="1">
      <x:c r="A24" s="67" t="str">
        <x:v>CW09-B</x:v>
      </x:c>
      <x:c r="B24" s="67" t="str">
        <x:v>CW09</x:v>
      </x:c>
      <x:c r="C24" s="67" t="str">
        <x:v>B</x:v>
      </x:c>
      <x:c r="D24" s="235" t="n">
        <x:v>37.40129217367772</x:v>
      </x:c>
      <x:c r="E24" s="235" t="n">
        <x:v>126.92232506959778</x:v>
      </x:c>
      <x:c r="F24" s="105" t="e">
        <x:f>HYPERLINK("https://map.kakao.com/?panoid=1203476172&amp;pan=320.5&amp;zoom=0&amp;map_type=TYPE_MAP&amp;map_attribute=ROADVIEW&amp;urlX=482806.0&amp;urlY=1083863.0","카카오")</x:f>
        <x:v>HYPERLINK is not implemented. linkLocation=https://map.kakao.com/?panoid=1203476172&amp;pan=320.5&amp;zoom=0&amp;map_type=TYPE_MAP&amp;map_attribute=ROADVIEW&amp;urlX=482806.0&amp;urlY=1083863.0, friendlyName=카카오</x:v>
      </x:c>
      <x:c r="G24" s="105" t="e">
        <x:f>HYPERLINK("https://map.naver.com/p/entry/coordinates/3zfkjh,2AF7d0?c=15.00,0,0,0,dh","네이버")</x:f>
        <x:v>HYPERLINK is not implemented. linkLocation=https://map.naver.com/p/entry/coordinates/3zfkjh,2AF7d0?c=15.00,0,0,0,dh, friendlyName=네이버</x:v>
      </x:c>
      <x:c r="H24" s="238" t="str">
        <x:v>2025-12-01 13:09:18</x:v>
      </x:c>
      <x:c r="I24" s="233"/>
      <x:c r="J24" s="233"/>
      <x:c r="K24" s="233"/>
      <x:c r="L24" s="233"/>
      <x:c r="M24" s="233"/>
      <x:c r="N24" s="233"/>
      <x:c r="O24" s="233"/>
      <x:c r="P24" s="233"/>
      <x:c r="Q24" s="233"/>
    </x:row>
    <x:row r="25" ht="34" customHeight="1">
      <x:c r="A25" s="67" t="str">
        <x:v>CW10-A</x:v>
      </x:c>
      <x:c r="B25" s="67" t="str">
        <x:v>CW10</x:v>
      </x:c>
      <x:c r="C25" s="67" t="str">
        <x:v>A</x:v>
      </x:c>
      <x:c r="D25" s="235" t="n">
        <x:v>37.40122776316556</x:v>
      </x:c>
      <x:c r="E25" s="235" t="n">
        <x:v>126.92368033197005</x:v>
      </x:c>
      <x:c r="F25" s="105" t="e">
        <x:f>HYPERLINK("https://map.kakao.com/?panoid=1202971184&amp;pan=327.6&amp;zoom=0&amp;map_type=TYPE_MAP&amp;map_attribute=ROADVIEW&amp;urlX=483119.0&amp;urlY=1083867.0","카카오")</x:f>
        <x:v>HYPERLINK is not implemented. linkLocation=https://map.kakao.com/?panoid=1202971184&amp;pan=327.6&amp;zoom=0&amp;map_type=TYPE_MAP&amp;map_attribute=ROADVIEW&amp;urlX=483119.0&amp;urlY=1083867.0, friendlyName=카카오</x:v>
      </x:c>
      <x:c r="G25" s="105" t="e">
        <x:f>HYPERLINK("https://map.naver.com/p/entry/coordinates/3zfnPR,2AF72C?c=15.00,0,0,0,dh","네이버")</x:f>
        <x:v>HYPERLINK is not implemented. linkLocation=https://map.naver.com/p/entry/coordinates/3zfnPR,2AF72C?c=15.00,0,0,0,dh, friendlyName=네이버</x:v>
      </x:c>
      <x:c r="H25" s="238" t="str">
        <x:v>2025-11-17 14:28:00</x:v>
      </x:c>
      <x:c r="I25" s="233"/>
      <x:c r="J25" s="233"/>
      <x:c r="K25" s="233"/>
      <x:c r="L25" s="233"/>
      <x:c r="M25" s="233"/>
      <x:c r="N25" s="233"/>
      <x:c r="O25" s="233"/>
      <x:c r="P25" s="233"/>
      <x:c r="Q25" s="233"/>
    </x:row>
    <x:row r="26" ht="34" customHeight="1">
      <x:c r="A26" s="67" t="str">
        <x:v>CW10-B</x:v>
      </x:c>
      <x:c r="B26" s="67" t="str">
        <x:v>CW10</x:v>
      </x:c>
      <x:c r="C26" s="67" t="str">
        <x:v>B</x:v>
      </x:c>
      <x:c r="D26" s="235" t="n">
        <x:v>37.40127715683444</x:v>
      </x:c>
      <x:c r="E26" s="235" t="n">
        <x:v>126.92376726802996</x:v>
      </x:c>
      <x:c r="F26" s="105" t="e">
        <x:f>HYPERLINK("https://map.kakao.com/?panoid=1202971184&amp;pan=327.6&amp;zoom=0&amp;map_type=TYPE_MAP&amp;map_attribute=ROADVIEW&amp;urlX=483119.0&amp;urlY=1083867.0","카카오")</x:f>
        <x:v>HYPERLINK is not implemented. linkLocation=https://map.kakao.com/?panoid=1202971184&amp;pan=327.6&amp;zoom=0&amp;map_type=TYPE_MAP&amp;map_attribute=ROADVIEW&amp;urlX=483119.0&amp;urlY=1083867.0, friendlyName=카카오</x:v>
      </x:c>
      <x:c r="G26" s="105" t="e">
        <x:f>HYPERLINK("https://map.naver.com/p/entry/coordinates/3zfo3T,2AF7aA?c=15.00,0,0,0,dh","네이버")</x:f>
        <x:v>HYPERLINK is not implemented. linkLocation=https://map.naver.com/p/entry/coordinates/3zfo3T,2AF7aA?c=15.00,0,0,0,dh, friendlyName=네이버</x:v>
      </x:c>
      <x:c r="H26" s="238" t="str">
        <x:v>2025-11-17 14:28:00</x:v>
      </x:c>
      <x:c r="I26" s="233"/>
      <x:c r="J26" s="233"/>
      <x:c r="K26" s="233"/>
      <x:c r="L26" s="233"/>
      <x:c r="M26" s="233"/>
      <x:c r="N26" s="233"/>
      <x:c r="O26" s="233"/>
      <x:c r="P26" s="233"/>
      <x:c r="Q26" s="233"/>
    </x:row>
    <x:row r="27" ht="34" customHeight="1">
      <x:c r="A27" s="67" t="str">
        <x:v>CW11-A</x:v>
      </x:c>
      <x:c r="B27" s="67" t="str">
        <x:v>CW11</x:v>
      </x:c>
      <x:c r="C27" s="67" t="str">
        <x:v>A</x:v>
      </x:c>
      <x:c r="D27" s="235" t="n">
        <x:v>37.401019360005925</x:v>
      </x:c>
      <x:c r="E27" s="235" t="n">
        <x:v>126.92269349040264</x:v>
      </x:c>
      <x:c r="F27" s="105" t="e">
        <x:f>HYPERLINK("https://map.kakao.com/?panoid=1202874755&amp;pan=320.5&amp;zoom=0&amp;map_type=TYPE_MAP&amp;map_attribute=ROADVIEW&amp;urlX=482856.0&amp;urlY=1083789.0","카카오")</x:f>
        <x:v>HYPERLINK is not implemented. linkLocation=https://map.kakao.com/?panoid=1202874755&amp;pan=320.5&amp;zoom=0&amp;map_type=TYPE_MAP&amp;map_attribute=ROADVIEW&amp;urlX=482856.0&amp;urlY=1083789.0, friendlyName=카카오</x:v>
      </x:c>
      <x:c r="G27" s="105" t="e">
        <x:f>HYPERLINK("https://map.naver.com/p/entry/coordinates/3zflgH,2AF6v0?c=15.00,0,0,0,dh","네이버")</x:f>
        <x:v>HYPERLINK is not implemented. linkLocation=https://map.naver.com/p/entry/coordinates/3zflgH,2AF6v0?c=15.00,0,0,0,dh, friendlyName=네이버</x:v>
      </x:c>
      <x:c r="H27" s="238" t="str">
        <x:v>2025-11-18 14:46:16</x:v>
      </x:c>
      <x:c r="I27" s="233"/>
      <x:c r="J27" s="233"/>
      <x:c r="K27" s="233"/>
      <x:c r="L27" s="233"/>
      <x:c r="M27" s="233"/>
      <x:c r="N27" s="233"/>
      <x:c r="O27" s="233"/>
      <x:c r="P27" s="233"/>
      <x:c r="Q27" s="233"/>
    </x:row>
    <x:row r="28" ht="34" customHeight="1">
      <x:c r="A28" s="67" t="str">
        <x:v>CW11-B</x:v>
      </x:c>
      <x:c r="B28" s="67" t="str">
        <x:v>CW11</x:v>
      </x:c>
      <x:c r="C28" s="67" t="str">
        <x:v>B</x:v>
      </x:c>
      <x:c r="D28" s="235" t="n">
        <x:v>37.40104407999407</x:v>
      </x:c>
      <x:c r="E28" s="235" t="n">
        <x:v>126.92273490959737</x:v>
      </x:c>
      <x:c r="F28" s="105" t="e">
        <x:f>HYPERLINK("https://map.kakao.com/?panoid=1202874755&amp;pan=320.5&amp;zoom=0&amp;map_type=TYPE_MAP&amp;map_attribute=ROADVIEW&amp;urlX=482856.0&amp;urlY=1083789.0","카카오")</x:f>
        <x:v>HYPERLINK is not implemented. linkLocation=https://map.kakao.com/?panoid=1202874755&amp;pan=320.5&amp;zoom=0&amp;map_type=TYPE_MAP&amp;map_attribute=ROADVIEW&amp;urlX=482856.0&amp;urlY=1083789.0, friendlyName=카카오</x:v>
      </x:c>
      <x:c r="G28" s="105" t="e">
        <x:f>HYPERLINK("https://map.naver.com/p/entry/coordinates/3zflnn,2AF6yZ?c=15.00,0,0,0,dh","네이버")</x:f>
        <x:v>HYPERLINK is not implemented. linkLocation=https://map.naver.com/p/entry/coordinates/3zflnn,2AF6yZ?c=15.00,0,0,0,dh, friendlyName=네이버</x:v>
      </x:c>
      <x:c r="H28" s="238" t="str">
        <x:v>2025-11-18 14:46:16</x:v>
      </x:c>
      <x:c r="I28" s="233"/>
      <x:c r="J28" s="233"/>
      <x:c r="K28" s="233"/>
      <x:c r="L28" s="233"/>
      <x:c r="M28" s="233"/>
      <x:c r="N28" s="233"/>
      <x:c r="O28" s="233"/>
      <x:c r="P28" s="233"/>
      <x:c r="Q28" s="233"/>
    </x:row>
    <x:row r="29" ht="34" customHeight="1">
      <x:c r="A29" s="67" t="str">
        <x:v>CW12-A</x:v>
      </x:c>
      <x:c r="B29" s="67" t="str">
        <x:v>CW12</x:v>
      </x:c>
      <x:c r="C29" s="67" t="str">
        <x:v>A</x:v>
      </x:c>
      <x:c r="D29" s="235" t="n">
        <x:v>37.40099326142671</x:v>
      </x:c>
      <x:c r="E29" s="235" t="n">
        <x:v>126.92264523773848</x:v>
      </x:c>
      <x:c r="F29" s="105" t="e">
        <x:f>HYPERLINK("https://map.kakao.com/?panoid=1202874755&amp;pan=320.5&amp;zoom=0&amp;map_type=TYPE_MAP&amp;map_attribute=ROADVIEW&amp;urlX=482856.0&amp;urlY=1083789.0","카카오")</x:f>
        <x:v>HYPERLINK is not implemented. linkLocation=https://map.kakao.com/?panoid=1202874755&amp;pan=320.5&amp;zoom=0&amp;map_type=TYPE_MAP&amp;map_attribute=ROADVIEW&amp;urlX=482856.0&amp;urlY=1083789.0, friendlyName=카카오</x:v>
      </x:c>
      <x:c r="G29" s="105" t="e">
        <x:f>HYPERLINK("https://map.naver.com/p/entry/coordinates/3zfl8U,2AF6qN?c=15.00,0,0,0,dh","네이버")</x:f>
        <x:v>HYPERLINK is not implemented. linkLocation=https://map.naver.com/p/entry/coordinates/3zfl8U,2AF6qN?c=15.00,0,0,0,dh, friendlyName=네이버</x:v>
      </x:c>
      <x:c r="H29" s="238" t="str">
        <x:v>2025-11-18 14:46:16</x:v>
      </x:c>
      <x:c r="I29" s="233"/>
      <x:c r="J29" s="233"/>
      <x:c r="K29" s="233"/>
      <x:c r="L29" s="233"/>
      <x:c r="M29" s="233"/>
      <x:c r="N29" s="233"/>
      <x:c r="O29" s="233"/>
      <x:c r="P29" s="233"/>
      <x:c r="Q29" s="233"/>
    </x:row>
    <x:row r="30" ht="34" customHeight="1">
      <x:c r="A30" s="67" t="str">
        <x:v>CW12-B</x:v>
      </x:c>
      <x:c r="B30" s="67" t="str">
        <x:v>CW12</x:v>
      </x:c>
      <x:c r="C30" s="67" t="str">
        <x:v>B</x:v>
      </x:c>
      <x:c r="D30" s="235" t="n">
        <x:v>37.401011598573284</x:v>
      </x:c>
      <x:c r="E30" s="235" t="n">
        <x:v>126.92267596226152</x:v>
      </x:c>
      <x:c r="F30" s="105" t="e">
        <x:f>HYPERLINK("https://map.kakao.com/?panoid=1202874755&amp;pan=320.5&amp;zoom=0&amp;map_type=TYPE_MAP&amp;map_attribute=ROADVIEW&amp;urlX=482856.0&amp;urlY=1083789.0","카카오")</x:f>
        <x:v>HYPERLINK is not implemented. linkLocation=https://map.kakao.com/?panoid=1202874755&amp;pan=320.5&amp;zoom=0&amp;map_type=TYPE_MAP&amp;map_attribute=ROADVIEW&amp;urlX=482856.0&amp;urlY=1083789.0, friendlyName=카카오</x:v>
      </x:c>
      <x:c r="G30" s="105" t="e">
        <x:f>HYPERLINK("https://map.naver.com/p/entry/coordinates/3zfldS,2AF6tK?c=15.00,0,0,0,dh","네이버")</x:f>
        <x:v>HYPERLINK is not implemented. linkLocation=https://map.naver.com/p/entry/coordinates/3zfldS,2AF6tK?c=15.00,0,0,0,dh, friendlyName=네이버</x:v>
      </x:c>
      <x:c r="H30" s="238" t="str">
        <x:v>2025-11-18 14:46:16</x:v>
      </x:c>
      <x:c r="I30" s="233"/>
      <x:c r="J30" s="233"/>
      <x:c r="K30" s="233"/>
      <x:c r="L30" s="233"/>
      <x:c r="M30" s="233"/>
      <x:c r="N30" s="233"/>
      <x:c r="O30" s="233"/>
      <x:c r="P30" s="233"/>
      <x:c r="Q30" s="233"/>
    </x:row>
    <x:row r="31" ht="34" customHeight="1">
      <x:c r="A31" s="67" t="str">
        <x:v>CW13-A</x:v>
      </x:c>
      <x:c r="B31" s="67" t="str">
        <x:v>CW13</x:v>
      </x:c>
      <x:c r="C31" s="67" t="str">
        <x:v>A</x:v>
      </x:c>
      <x:c r="D31" s="235" t="n">
        <x:v>37.40083738053178</x:v>
      </x:c>
      <x:c r="E31" s="235" t="n">
        <x:v>126.92194039159135</x:v>
      </x:c>
      <x:c r="F31" s="105" t="e">
        <x:f>HYPERLINK("https://map.kakao.com/?panoid=1202874946&amp;pan=70.6&amp;zoom=0&amp;map_type=TYPE_MAP&amp;map_attribute=ROADVIEW&amp;urlX=482731.0&amp;urlY=1083764.0","카카오")</x:f>
        <x:v>HYPERLINK is not implemented. linkLocation=https://map.kakao.com/?panoid=1202874946&amp;pan=70.6&amp;zoom=0&amp;map_type=TYPE_MAP&amp;map_attribute=ROADVIEW&amp;urlX=482731.0&amp;urlY=1083764.0, friendlyName=카카오</x:v>
      </x:c>
      <x:c r="G31" s="105" t="e">
        <x:f>HYPERLINK("https://map.naver.com/p/entry/coordinates/3zfjje,2AF61E?c=15.00,0,0,0,dh","네이버")</x:f>
        <x:v>HYPERLINK is not implemented. linkLocation=https://map.naver.com/p/entry/coordinates/3zfjje,2AF61E?c=15.00,0,0,0,dh, friendlyName=네이버</x:v>
      </x:c>
      <x:c r="H31" s="238" t="str">
        <x:v>2025-11-18 15:01:57</x:v>
      </x:c>
      <x:c r="I31" s="233"/>
      <x:c r="J31" s="233"/>
      <x:c r="K31" s="233"/>
      <x:c r="L31" s="233"/>
      <x:c r="M31" s="233"/>
      <x:c r="N31" s="233"/>
      <x:c r="O31" s="233"/>
      <x:c r="P31" s="233"/>
      <x:c r="Q31" s="233"/>
    </x:row>
    <x:row r="32" ht="34" customHeight="1">
      <x:c r="A32" s="67" t="str">
        <x:v>CW13-B</x:v>
      </x:c>
      <x:c r="B32" s="67" t="str">
        <x:v>CW13</x:v>
      </x:c>
      <x:c r="C32" s="67" t="str">
        <x:v>B</x:v>
      </x:c>
      <x:c r="D32" s="235" t="n">
        <x:v>37.40089461946822</x:v>
      </x:c>
      <x:c r="E32" s="235" t="n">
        <x:v>126.92181340840867</x:v>
      </x:c>
      <x:c r="F32" s="105" t="e">
        <x:f>HYPERLINK("https://map.kakao.com/?panoid=1202871529&amp;pan=231.4&amp;zoom=0&amp;map_type=TYPE_MAP&amp;map_attribute=ROADVIEW&amp;urlX=482700.0&amp;urlY=1083761.0","카카오")</x:f>
        <x:v>HYPERLINK is not implemented. linkLocation=https://map.kakao.com/?panoid=1202871529&amp;pan=231.4&amp;zoom=0&amp;map_type=TYPE_MAP&amp;map_attribute=ROADVIEW&amp;urlX=482700.0&amp;urlY=1083761.0, friendlyName=카카오</x:v>
      </x:c>
      <x:c r="G32" s="105" t="e">
        <x:f>HYPERLINK("https://map.naver.com/p/entry/coordinates/3zfiYK,2AF6aS?c=15.00,0,0,0,dh","네이버")</x:f>
        <x:v>HYPERLINK is not implemented. linkLocation=https://map.naver.com/p/entry/coordinates/3zfiYK,2AF6aS?c=15.00,0,0,0,dh, friendlyName=네이버</x:v>
      </x:c>
      <x:c r="H32" s="238" t="str">
        <x:v>2025-11-18 11:52:27</x:v>
      </x:c>
      <x:c r="I32" s="233"/>
      <x:c r="J32" s="233"/>
      <x:c r="K32" s="233"/>
      <x:c r="L32" s="233"/>
      <x:c r="M32" s="233"/>
      <x:c r="N32" s="233"/>
      <x:c r="O32" s="233"/>
      <x:c r="P32" s="233"/>
      <x:c r="Q32" s="233"/>
    </x:row>
    <x:row r="33" ht="34" customHeight="1">
      <x:c r="A33" s="67" t="str">
        <x:v>CW14-A</x:v>
      </x:c>
      <x:c r="B33" s="67" t="str">
        <x:v>CW14</x:v>
      </x:c>
      <x:c r="C33" s="67" t="str">
        <x:v>A</x:v>
      </x:c>
      <x:c r="D33" s="235" t="n">
        <x:v>37.39951423562795</x:v>
      </x:c>
      <x:c r="E33" s="235" t="n">
        <x:v>126.92380849157105</x:v>
      </x:c>
      <x:c r="F33" s="105" t="e">
        <x:f>HYPERLINK("https://map.kakao.com/?panoid=1202874714&amp;pan=322.6&amp;zoom=0&amp;map_type=TYPE_MAP&amp;map_attribute=ROADVIEW&amp;urlX=483161.0&amp;urlY=1083394.0","카카오")</x:f>
        <x:v>HYPERLINK is not implemented. linkLocation=https://map.kakao.com/?panoid=1202874714&amp;pan=322.6&amp;zoom=0&amp;map_type=TYPE_MAP&amp;map_attribute=ROADVIEW&amp;urlX=483161.0&amp;urlY=1083394.0, friendlyName=카카오</x:v>
      </x:c>
      <x:c r="G33" s="105" t="e">
        <x:f>HYPERLINK("https://map.naver.com/p/entry/coordinates/3zfoax,2AF2Ae?c=15.00,0,0,0,dh","네이버")</x:f>
        <x:v>HYPERLINK is not implemented. linkLocation=https://map.naver.com/p/entry/coordinates/3zfoax,2AF2Ae?c=15.00,0,0,0,dh, friendlyName=네이버</x:v>
      </x:c>
      <x:c r="H33" s="238" t="str">
        <x:v>2025-11-18 14:45:30</x:v>
      </x:c>
      <x:c r="I33" s="233"/>
      <x:c r="J33" s="233"/>
      <x:c r="K33" s="233"/>
      <x:c r="L33" s="233"/>
      <x:c r="M33" s="233"/>
      <x:c r="N33" s="233"/>
      <x:c r="O33" s="233"/>
      <x:c r="P33" s="233"/>
      <x:c r="Q33" s="233"/>
    </x:row>
    <x:row r="34" ht="34" customHeight="1">
      <x:c r="A34" s="67" t="str">
        <x:v>CW14-B</x:v>
      </x:c>
      <x:c r="B34" s="67" t="str">
        <x:v>CW14</x:v>
      </x:c>
      <x:c r="C34" s="67" t="str">
        <x:v>B</x:v>
      </x:c>
      <x:c r="D34" s="235" t="n">
        <x:v>37.399604184372045</x:v>
      </x:c>
      <x:c r="E34" s="235" t="n">
        <x:v>126.92395310842896</x:v>
      </x:c>
      <x:c r="F34" s="105" t="e">
        <x:f>HYPERLINK("https://map.kakao.com/?panoid=1202874714&amp;pan=322.6&amp;zoom=0&amp;map_type=TYPE_MAP&amp;map_attribute=ROADVIEW&amp;urlX=483161.0&amp;urlY=1083394.0","카카오")</x:f>
        <x:v>HYPERLINK is not implemented. linkLocation=https://map.kakao.com/?panoid=1202874714&amp;pan=322.6&amp;zoom=0&amp;map_type=TYPE_MAP&amp;map_attribute=ROADVIEW&amp;urlX=483161.0&amp;urlY=1083394.0, friendlyName=카카오</x:v>
      </x:c>
      <x:c r="G34" s="105" t="e">
        <x:f>HYPERLINK("https://map.naver.com/p/entry/coordinates/3zfoxR,2AF2OK?c=15.00,0,0,0,dh","네이버")</x:f>
        <x:v>HYPERLINK is not implemented. linkLocation=https://map.naver.com/p/entry/coordinates/3zfoxR,2AF2OK?c=15.00,0,0,0,dh, friendlyName=네이버</x:v>
      </x:c>
      <x:c r="H34" s="238" t="str">
        <x:v>2025-11-18 14:45:30</x:v>
      </x:c>
      <x:c r="I34" s="233"/>
      <x:c r="J34" s="233"/>
      <x:c r="K34" s="233"/>
      <x:c r="L34" s="233"/>
      <x:c r="M34" s="233"/>
      <x:c r="N34" s="233"/>
      <x:c r="O34" s="233"/>
      <x:c r="P34" s="233"/>
      <x:c r="Q34" s="233"/>
    </x:row>
    <x:row r="35" ht="34" customHeight="1">
      <x:c r="A35" s="67" t="str">
        <x:v>CW15-A</x:v>
      </x:c>
      <x:c r="B35" s="67" t="str">
        <x:v>CW15</x:v>
      </x:c>
      <x:c r="C35" s="67" t="str">
        <x:v>A</x:v>
      </x:c>
      <x:c r="D35" s="235" t="n">
        <x:v>37.398330514879135</x:v>
      </x:c>
      <x:c r="E35" s="235" t="n">
        <x:v>126.92430267046433</x:v>
      </x:c>
      <x:c r="F35" s="105" t="e">
        <x:f>HYPERLINK("https://map.kakao.com/?panoid=1202871493&amp;pan=42.8&amp;zoom=0&amp;map_type=TYPE_MAP&amp;map_attribute=ROADVIEW&amp;urlX=483239.0&amp;urlY=1083064.0","카카오")</x:f>
        <x:v>HYPERLINK is not implemented. linkLocation=https://map.kakao.com/?panoid=1202871493&amp;pan=42.8&amp;zoom=0&amp;map_type=TYPE_MAP&amp;map_attribute=ROADVIEW&amp;urlX=483239.0&amp;urlY=1083064.0, friendlyName=카카오</x:v>
      </x:c>
      <x:c r="G35" s="105" t="e">
        <x:f>HYPERLINK("https://map.naver.com/p/entry/coordinates/3zfpsf,2AEZvj?c=15.00,0,0,0,dh","네이버")</x:f>
        <x:v>HYPERLINK is not implemented. linkLocation=https://map.naver.com/p/entry/coordinates/3zfpsf,2AEZvj?c=15.00,0,0,0,dh, friendlyName=네이버</x:v>
      </x:c>
      <x:c r="H35" s="238" t="str">
        <x:v>2025-11-18 11:45:38</x:v>
      </x:c>
      <x:c r="I35" s="233"/>
      <x:c r="J35" s="233"/>
      <x:c r="K35" s="233"/>
      <x:c r="L35" s="233"/>
      <x:c r="M35" s="233"/>
      <x:c r="N35" s="233"/>
      <x:c r="O35" s="233"/>
      <x:c r="P35" s="233"/>
      <x:c r="Q35" s="233"/>
    </x:row>
    <x:row r="36" ht="34" customHeight="1">
      <x:c r="A36" s="67" t="str">
        <x:v>CW15-B</x:v>
      </x:c>
      <x:c r="B36" s="67" t="str">
        <x:v>CW15</x:v>
      </x:c>
      <x:c r="C36" s="67" t="str">
        <x:v>B</x:v>
      </x:c>
      <x:c r="D36" s="235" t="n">
        <x:v>37.39843440512087</x:v>
      </x:c>
      <x:c r="E36" s="235" t="n">
        <x:v>126.92420312953567</x:v>
      </x:c>
      <x:c r="F36" s="105" t="e">
        <x:f>HYPERLINK("https://map.kakao.com/?panoid=1202871514&amp;pan=237.3&amp;zoom=0&amp;map_type=TYPE_MAP&amp;map_attribute=ROADVIEW&amp;urlX=483232.0&amp;urlY=1083086.0","카카오")</x:f>
        <x:v>HYPERLINK is not implemented. linkLocation=https://map.kakao.com/?panoid=1202871514&amp;pan=237.3&amp;zoom=0&amp;map_type=TYPE_MAP&amp;map_attribute=ROADVIEW&amp;urlX=483232.0&amp;urlY=1083086.0, friendlyName=카카오</x:v>
      </x:c>
      <x:c r="G36" s="105" t="e">
        <x:f>HYPERLINK("https://map.naver.com/p/entry/coordinates/3zfpcb,2AEZM4?c=15.00,0,0,0,dh","네이버")</x:f>
        <x:v>HYPERLINK is not implemented. linkLocation=https://map.naver.com/p/entry/coordinates/3zfpcb,2AEZM4?c=15.00,0,0,0,dh, friendlyName=네이버</x:v>
      </x:c>
      <x:c r="H36" s="238" t="str">
        <x:v>2025-11-18 11:49:28</x:v>
      </x:c>
      <x:c r="I36" s="233"/>
      <x:c r="J36" s="233"/>
      <x:c r="K36" s="233"/>
      <x:c r="L36" s="233"/>
      <x:c r="M36" s="233"/>
      <x:c r="N36" s="233"/>
      <x:c r="O36" s="233"/>
      <x:c r="P36" s="233"/>
      <x:c r="Q36" s="233"/>
    </x:row>
    <x:row r="37" ht="34" customHeight="1">
      <x:c r="A37" s="67" t="str">
        <x:v>CW16-A</x:v>
      </x:c>
      <x:c r="B37" s="67" t="str">
        <x:v>CW16</x:v>
      </x:c>
      <x:c r="C37" s="67" t="str">
        <x:v>A</x:v>
      </x:c>
      <x:c r="D37" s="235" t="n">
        <x:v>37.39751862266188</x:v>
      </x:c>
      <x:c r="E37" s="235" t="n">
        <x:v>126.92279839429749</x:v>
      </x:c>
      <x:c r="F37" s="105" t="e">
        <x:f>HYPERLINK("https://map.kakao.com/?panoid=1202873960&amp;pan=57.2&amp;zoom=0&amp;map_type=TYPE_MAP&amp;map_attribute=ROADVIEW&amp;urlX=482904.0&amp;urlY=1082851.0","카카오")</x:f>
        <x:v>HYPERLINK is not implemented. linkLocation=https://map.kakao.com/?panoid=1202873960&amp;pan=57.2&amp;zoom=0&amp;map_type=TYPE_MAP&amp;map_attribute=ROADVIEW&amp;urlX=482904.0&amp;urlY=1082851.0, friendlyName=카카오</x:v>
      </x:c>
      <x:c r="G37" s="105" t="e">
        <x:f>HYPERLINK("https://map.naver.com/p/entry/coordinates/3zflxC,2AEXom?c=15.00,0,0,0,dh","네이버")</x:f>
        <x:v>HYPERLINK is not implemented. linkLocation=https://map.naver.com/p/entry/coordinates/3zflxC,2AEXom?c=15.00,0,0,0,dh, friendlyName=네이버</x:v>
      </x:c>
      <x:c r="H37" s="238" t="str">
        <x:v>2025-11-18 14:18:05</x:v>
      </x:c>
      <x:c r="I37" s="233"/>
      <x:c r="J37" s="233"/>
      <x:c r="K37" s="233"/>
      <x:c r="L37" s="233"/>
      <x:c r="M37" s="233"/>
      <x:c r="N37" s="233"/>
      <x:c r="O37" s="233"/>
      <x:c r="P37" s="233"/>
      <x:c r="Q37" s="233"/>
    </x:row>
    <x:row r="38" ht="34" customHeight="1">
      <x:c r="A38" s="67" t="str">
        <x:v>CW16-B</x:v>
      </x:c>
      <x:c r="B38" s="67" t="str">
        <x:v>CW16</x:v>
      </x:c>
      <x:c r="C38" s="67" t="str">
        <x:v>B</x:v>
      </x:c>
      <x:c r="D38" s="235" t="n">
        <x:v>37.397654297338114</x:v>
      </x:c>
      <x:c r="E38" s="235" t="n">
        <x:v>126.92268200570251</x:v>
      </x:c>
      <x:c r="F38" s="105" t="e">
        <x:f>HYPERLINK("https://map.kakao.com/?panoid=1202873960&amp;pan=57.2&amp;zoom=0&amp;map_type=TYPE_MAP&amp;map_attribute=ROADVIEW&amp;urlX=482904.0&amp;urlY=1082851.0","카카오")</x:f>
        <x:v>HYPERLINK is not implemented. linkLocation=https://map.kakao.com/?panoid=1202873960&amp;pan=57.2&amp;zoom=0&amp;map_type=TYPE_MAP&amp;map_attribute=ROADVIEW&amp;urlX=482904.0&amp;urlY=1082851.0, friendlyName=카카오</x:v>
      </x:c>
      <x:c r="G38" s="105" t="e">
        <x:f>HYPERLINK("https://map.naver.com/p/entry/coordinates/3zfleQ,2AEXKf?c=15.00,0,0,0,dh","네이버")</x:f>
        <x:v>HYPERLINK is not implemented. linkLocation=https://map.naver.com/p/entry/coordinates/3zfleQ,2AEXKf?c=15.00,0,0,0,dh, friendlyName=네이버</x:v>
      </x:c>
      <x:c r="H38" s="238" t="str">
        <x:v>2025-11-18 14:18:05</x:v>
      </x:c>
      <x:c r="I38" s="233"/>
      <x:c r="J38" s="233"/>
      <x:c r="K38" s="233"/>
      <x:c r="L38" s="233"/>
      <x:c r="M38" s="233"/>
      <x:c r="N38" s="233"/>
      <x:c r="O38" s="233"/>
      <x:c r="P38" s="233"/>
      <x:c r="Q38" s="233"/>
    </x:row>
    <x:row r="39" ht="34" customHeight="1">
      <x:c r="A39" s="67" t="str">
        <x:v>CW17-A</x:v>
      </x:c>
      <x:c r="B39" s="67" t="str">
        <x:v>CW17</x:v>
      </x:c>
      <x:c r="C39" s="67" t="str">
        <x:v>A</x:v>
      </x:c>
      <x:c r="D39" s="235" t="n">
        <x:v>37.39667273168306</x:v>
      </x:c>
      <x:c r="E39" s="235" t="n">
        <x:v>126.92338647331106</x:v>
      </x:c>
      <x:c r="F39" s="105" t="e">
        <x:f>HYPERLINK("https://map.kakao.com/?panoid=1202875183&amp;pan=34.5&amp;zoom=0&amp;map_type=TYPE_MAP&amp;map_attribute=ROADVIEW&amp;urlX=483033.0&amp;urlY=1082609.0","카카오")</x:f>
        <x:v>HYPERLINK is not implemented. linkLocation=https://map.kakao.com/?panoid=1202875183&amp;pan=34.5&amp;zoom=0&amp;map_type=TYPE_MAP&amp;map_attribute=ROADVIEW&amp;urlX=483033.0&amp;urlY=1082609.0, friendlyName=카카오</x:v>
      </x:c>
      <x:c r="G39" s="105" t="e">
        <x:f>HYPERLINK("https://map.naver.com/p/entry/coordinates/3zfn4t,2AEVbV?c=15.00,0,0,0,dh","네이버")</x:f>
        <x:v>HYPERLINK is not implemented. linkLocation=https://map.naver.com/p/entry/coordinates/3zfn4t,2AEVbV?c=15.00,0,0,0,dh, friendlyName=네이버</x:v>
      </x:c>
      <x:c r="H39" s="238" t="str">
        <x:v>2025-11-18 15:24:23</x:v>
      </x:c>
      <x:c r="I39" s="233"/>
      <x:c r="J39" s="233"/>
      <x:c r="K39" s="233"/>
      <x:c r="L39" s="233"/>
      <x:c r="M39" s="233"/>
      <x:c r="N39" s="233"/>
      <x:c r="O39" s="233"/>
      <x:c r="P39" s="233"/>
      <x:c r="Q39" s="233"/>
    </x:row>
    <x:row r="40" ht="34" customHeight="1">
      <x:c r="A40" s="67" t="str">
        <x:v>CW17-B</x:v>
      </x:c>
      <x:c r="B40" s="67" t="str">
        <x:v>CW17</x:v>
      </x:c>
      <x:c r="C40" s="67" t="str">
        <x:v>B</x:v>
      </x:c>
      <x:c r="D40" s="235" t="n">
        <x:v>37.396727708316945</x:v>
      </x:c>
      <x:c r="E40" s="235" t="n">
        <x:v>126.92333932668895</x:v>
      </x:c>
      <x:c r="F40" s="105" t="e">
        <x:f>HYPERLINK("https://map.kakao.com/?panoid=1202875183&amp;pan=34.5&amp;zoom=0&amp;map_type=TYPE_MAP&amp;map_attribute=ROADVIEW&amp;urlX=483033.0&amp;urlY=1082609.0","카카오")</x:f>
        <x:v>HYPERLINK is not implemented. linkLocation=https://map.kakao.com/?panoid=1202875183&amp;pan=34.5&amp;zoom=0&amp;map_type=TYPE_MAP&amp;map_attribute=ROADVIEW&amp;urlX=483033.0&amp;urlY=1082609.0, friendlyName=카카오</x:v>
      </x:c>
      <x:c r="G40" s="105" t="e">
        <x:f>HYPERLINK("https://map.naver.com/p/entry/coordinates/3zfmWR,2AEVkN?c=15.00,0,0,0,dh","네이버")</x:f>
        <x:v>HYPERLINK is not implemented. linkLocation=https://map.naver.com/p/entry/coordinates/3zfmWR,2AEVkN?c=15.00,0,0,0,dh, friendlyName=네이버</x:v>
      </x:c>
      <x:c r="H40" s="238" t="str">
        <x:v>2025-11-18 15:24:23</x:v>
      </x:c>
      <x:c r="I40" s="233"/>
      <x:c r="J40" s="233"/>
      <x:c r="K40" s="233"/>
      <x:c r="L40" s="233"/>
      <x:c r="M40" s="233"/>
      <x:c r="N40" s="233"/>
      <x:c r="O40" s="233"/>
      <x:c r="P40" s="233"/>
      <x:c r="Q40" s="233"/>
    </x:row>
    <x:row r="41" ht="34" customHeight="1">
      <x:c r="A41" s="67" t="str">
        <x:v>CW18-A</x:v>
      </x:c>
      <x:c r="B41" s="67" t="str">
        <x:v>CW18</x:v>
      </x:c>
      <x:c r="C41" s="67" t="str">
        <x:v>A</x:v>
      </x:c>
      <x:c r="D41" s="235" t="n">
        <x:v>37.39581829178769</x:v>
      </x:c>
      <x:c r="E41" s="235" t="n">
        <x:v>126.9241050997271</x:v>
      </x:c>
      <x:c r="F41" s="105" t="e">
        <x:f>HYPERLINK("https://map.kakao.com/?panoid=1203480723&amp;pan=326.1&amp;zoom=0&amp;map_type=TYPE_MAP&amp;map_attribute=ROADVIEW&amp;urlX=483181.0&amp;urlY=1082354.0","카카오")</x:f>
        <x:v>HYPERLINK is not implemented. linkLocation=https://map.kakao.com/?panoid=1203480723&amp;pan=326.1&amp;zoom=0&amp;map_type=TYPE_MAP&amp;map_attribute=ROADVIEW&amp;urlX=483181.0&amp;urlY=1082354.0, friendlyName=카카오</x:v>
      </x:c>
      <x:c r="G41" s="105" t="e">
        <x:f>HYPERLINK("https://map.naver.com/p/entry/coordinates/3zfoWn,2AESY7?c=15.00,0,0,0,dh","네이버")</x:f>
        <x:v>HYPERLINK is not implemented. linkLocation=https://map.naver.com/p/entry/coordinates/3zfoWn,2AESY7?c=15.00,0,0,0,dh, friendlyName=네이버</x:v>
      </x:c>
      <x:c r="H41" s="238" t="str">
        <x:v>2025-12-01 14:08:47</x:v>
      </x:c>
      <x:c r="I41" s="233"/>
      <x:c r="J41" s="233"/>
      <x:c r="K41" s="233"/>
      <x:c r="L41" s="233"/>
      <x:c r="M41" s="233"/>
      <x:c r="N41" s="233"/>
      <x:c r="O41" s="233"/>
      <x:c r="P41" s="233"/>
      <x:c r="Q41" s="233"/>
    </x:row>
    <x:row r="42" ht="34" customHeight="1">
      <x:c r="A42" s="67" t="str">
        <x:v>CW18-B</x:v>
      </x:c>
      <x:c r="B42" s="67" t="str">
        <x:v>CW18</x:v>
      </x:c>
      <x:c r="C42" s="67" t="str">
        <x:v>B</x:v>
      </x:c>
      <x:c r="D42" s="235" t="n">
        <x:v>37.39588836821232</x:v>
      </x:c>
      <x:c r="E42" s="235" t="n">
        <x:v>126.92404650027288</x:v>
      </x:c>
      <x:c r="F42" s="105" t="e">
        <x:f>HYPERLINK("https://map.kakao.com/?panoid=1203480726&amp;pan=323.5&amp;zoom=0&amp;map_type=TYPE_MAP&amp;map_attribute=ROADVIEW&amp;urlX=483167.0&amp;urlY=1082374.0","카카오")</x:f>
        <x:v>HYPERLINK is not implemented. linkLocation=https://map.kakao.com/?panoid=1203480726&amp;pan=323.5&amp;zoom=0&amp;map_type=TYPE_MAP&amp;map_attribute=ROADVIEW&amp;urlX=483167.0&amp;urlY=1082374.0, friendlyName=카카오</x:v>
      </x:c>
      <x:c r="G42" s="105" t="e">
        <x:f>HYPERLINK("https://map.naver.com/p/entry/coordinates/3zfoMV,2AET9q?c=15.00,0,0,0,dh","네이버")</x:f>
        <x:v>HYPERLINK is not implemented. linkLocation=https://map.naver.com/p/entry/coordinates/3zfoMV,2AET9q?c=15.00,0,0,0,dh, friendlyName=네이버</x:v>
      </x:c>
      <x:c r="H42" s="238" t="str">
        <x:v>2025-12-01 14:09:05</x:v>
      </x:c>
      <x:c r="I42" s="233"/>
      <x:c r="J42" s="233"/>
      <x:c r="K42" s="233"/>
      <x:c r="L42" s="233"/>
      <x:c r="M42" s="233"/>
      <x:c r="N42" s="233"/>
      <x:c r="O42" s="233"/>
      <x:c r="P42" s="233"/>
      <x:c r="Q42" s="233"/>
    </x:row>
    <x:row r="43" ht="34" customHeight="1">
      <x:c r="A43" s="67" t="str">
        <x:v>CW19-A</x:v>
      </x:c>
      <x:c r="B43" s="67" t="str">
        <x:v>CW19</x:v>
      </x:c>
      <x:c r="C43" s="67" t="str">
        <x:v>A</x:v>
      </x:c>
      <x:c r="D43" s="235" t="n">
        <x:v>37.39561913411808</x:v>
      </x:c>
      <x:c r="E43" s="235" t="n">
        <x:v>126.9239184646548</x:v>
      </x:c>
      <x:c r="F43" s="105" t="e">
        <x:f>HYPERLINK("https://map.kakao.com/?panoid=1203478741&amp;pan=147.6&amp;zoom=0&amp;map_type=TYPE_MAP&amp;map_attribute=ROADVIEW&amp;urlX=483169.0&amp;urlY=1082312.0","카카오")</x:f>
        <x:v>HYPERLINK is not implemented. linkLocation=https://map.kakao.com/?panoid=1203478741&amp;pan=147.6&amp;zoom=0&amp;map_type=TYPE_MAP&amp;map_attribute=ROADVIEW&amp;urlX=483169.0&amp;urlY=1082312.0, friendlyName=카카오</x:v>
      </x:c>
      <x:c r="G43" s="105" t="e">
        <x:f>HYPERLINK("https://map.naver.com/p/entry/coordinates/3zfosh,2AESrZ?c=15.00,0,0,0,dh","네이버")</x:f>
        <x:v>HYPERLINK is not implemented. linkLocation=https://map.naver.com/p/entry/coordinates/3zfosh,2AESrZ?c=15.00,0,0,0,dh, friendlyName=네이버</x:v>
      </x:c>
      <x:c r="H43" s="238" t="str">
        <x:v>2025-12-01 13:50:22</x:v>
      </x:c>
      <x:c r="I43" s="233"/>
      <x:c r="J43" s="233"/>
      <x:c r="K43" s="233"/>
      <x:c r="L43" s="233"/>
      <x:c r="M43" s="233"/>
      <x:c r="N43" s="233"/>
      <x:c r="O43" s="233"/>
      <x:c r="P43" s="233"/>
      <x:c r="Q43" s="233"/>
    </x:row>
    <x:row r="44" ht="34" customHeight="1">
      <x:c r="A44" s="67" t="str">
        <x:v>CW19-B</x:v>
      </x:c>
      <x:c r="B44" s="67" t="str">
        <x:v>CW19</x:v>
      </x:c>
      <x:c r="C44" s="67" t="str">
        <x:v>B</x:v>
      </x:c>
      <x:c r="D44" s="235" t="n">
        <x:v>37.39573534588192</x:v>
      </x:c>
      <x:c r="E44" s="235" t="n">
        <x:v>126.92413853534521</x:v>
      </x:c>
      <x:c r="F44" s="105" t="e">
        <x:f>HYPERLINK("https://map.kakao.com/?panoid=1203480720&amp;pan=326.7&amp;zoom=0&amp;map_type=TYPE_MAP&amp;map_attribute=ROADVIEW&amp;urlX=483195.0&amp;urlY=1082333.0","카카오")</x:f>
        <x:v>HYPERLINK is not implemented. linkLocation=https://map.kakao.com/?panoid=1203480720&amp;pan=326.7&amp;zoom=0&amp;map_type=TYPE_MAP&amp;map_attribute=ROADVIEW&amp;urlX=483195.0&amp;urlY=1082333.0, friendlyName=카카오</x:v>
      </x:c>
      <x:c r="G44" s="105" t="e">
        <x:f>HYPERLINK("https://map.naver.com/p/entry/coordinates/3zfp1L,2AESKJ?c=15.00,0,0,0,dh","네이버")</x:f>
        <x:v>HYPERLINK is not implemented. linkLocation=https://map.naver.com/p/entry/coordinates/3zfp1L,2AESKJ?c=15.00,0,0,0,dh, friendlyName=네이버</x:v>
      </x:c>
      <x:c r="H44" s="238" t="str">
        <x:v>2025-12-01 14:08:44</x:v>
      </x:c>
      <x:c r="I44" s="233"/>
      <x:c r="J44" s="233"/>
      <x:c r="K44" s="233"/>
      <x:c r="L44" s="233"/>
      <x:c r="M44" s="233"/>
      <x:c r="N44" s="233"/>
      <x:c r="O44" s="233"/>
      <x:c r="P44" s="233"/>
      <x:c r="Q44" s="233"/>
    </x:row>
    <x:row r="45" ht="34" customHeight="1">
      <x:c r="A45" s="67" t="str">
        <x:v>CW20-A</x:v>
      </x:c>
      <x:c r="B45" s="67" t="str">
        <x:v>CW20</x:v>
      </x:c>
      <x:c r="C45" s="67" t="str">
        <x:v>A</x:v>
      </x:c>
      <x:c r="D45" s="235" t="n">
        <x:v>37.39434797316774</x:v>
      </x:c>
      <x:c r="E45" s="235" t="n">
        <x:v>126.92501464784056</x:v>
      </x:c>
      <x:c r="F45" s="105" t="e">
        <x:f>HYPERLINK("https://map.kakao.com/?panoid=1203478791&amp;pan=146.9&amp;zoom=0&amp;map_type=TYPE_MAP&amp;map_attribute=ROADVIEW&amp;urlX=483404.0&amp;urlY=1081956.0","카카오")</x:f>
        <x:v>HYPERLINK is not implemented. linkLocation=https://map.kakao.com/?panoid=1203478791&amp;pan=146.9&amp;zoom=0&amp;map_type=TYPE_MAP&amp;map_attribute=ROADVIEW&amp;urlX=483404.0&amp;urlY=1081956.0, friendlyName=카카오</x:v>
      </x:c>
      <x:c r="G45" s="105" t="e">
        <x:f>HYPERLINK("https://map.naver.com/p/entry/coordinates/3zfrj4,2AEP8Y?c=15.00,0,0,0,dh","네이버")</x:f>
        <x:v>HYPERLINK is not implemented. linkLocation=https://map.naver.com/p/entry/coordinates/3zfrj4,2AEP8Y?c=15.00,0,0,0,dh, friendlyName=네이버</x:v>
      </x:c>
      <x:c r="H45" s="238" t="str">
        <x:v>2025-12-01 13:50:35</x:v>
      </x:c>
      <x:c r="I45" s="233"/>
      <x:c r="J45" s="233"/>
      <x:c r="K45" s="233"/>
      <x:c r="L45" s="233"/>
      <x:c r="M45" s="233"/>
      <x:c r="N45" s="233"/>
      <x:c r="O45" s="233"/>
      <x:c r="P45" s="233"/>
      <x:c r="Q45" s="233"/>
    </x:row>
    <x:row r="46" ht="34" customHeight="1">
      <x:c r="A46" s="67" t="str">
        <x:v>CW20-B</x:v>
      </x:c>
      <x:c r="B46" s="67" t="str">
        <x:v>CW20</x:v>
      </x:c>
      <x:c r="C46" s="67" t="str">
        <x:v>B</x:v>
      </x:c>
      <x:c r="D46" s="235" t="n">
        <x:v>37.39446220683226</x:v>
      </x:c>
      <x:c r="E46" s="235" t="n">
        <x:v>126.92522835215944</x:v>
      </x:c>
      <x:c r="F46" s="105" t="e">
        <x:f>HYPERLINK("https://map.kakao.com/?panoid=1203480668&amp;pan=326.1&amp;zoom=0&amp;map_type=TYPE_MAP&amp;map_attribute=ROADVIEW&amp;urlX=483430.0&amp;urlY=1081979.0","카카오")</x:f>
        <x:v>HYPERLINK is not implemented. linkLocation=https://map.kakao.com/?panoid=1203480668&amp;pan=326.1&amp;zoom=0&amp;map_type=TYPE_MAP&amp;map_attribute=ROADVIEW&amp;urlX=483430.0&amp;urlY=1081979.0, friendlyName=카카오</x:v>
      </x:c>
      <x:c r="G46" s="105" t="e">
        <x:f>HYPERLINK("https://map.naver.com/p/entry/coordinates/3zfrRy,2AEPro?c=15.00,0,0,0,dh","네이버")</x:f>
        <x:v>HYPERLINK is not implemented. linkLocation=https://map.naver.com/p/entry/coordinates/3zfrRy,2AEPro?c=15.00,0,0,0,dh, friendlyName=네이버</x:v>
      </x:c>
      <x:c r="H46" s="238" t="str">
        <x:v>2025-12-01 14:08:27</x:v>
      </x:c>
      <x:c r="I46" s="233"/>
      <x:c r="J46" s="233"/>
      <x:c r="K46" s="233"/>
      <x:c r="L46" s="233"/>
      <x:c r="M46" s="233"/>
      <x:c r="N46" s="233"/>
      <x:c r="O46" s="233"/>
      <x:c r="P46" s="233"/>
      <x:c r="Q46" s="233"/>
    </x:row>
    <x:row r="47" ht="34" customHeight="1">
      <x:c r="A47" s="67" t="str">
        <x:v>CW21-A</x:v>
      </x:c>
      <x:c r="B47" s="67" t="str">
        <x:v>CW21</x:v>
      </x:c>
      <x:c r="C47" s="67" t="str">
        <x:v>A</x:v>
      </x:c>
      <x:c r="D47" s="235" t="n">
        <x:v>37.39303756607922</x:v>
      </x:c>
      <x:c r="E47" s="235" t="n">
        <x:v>126.92322375721096</x:v>
      </x:c>
      <x:c r="F47" s="105" t="e">
        <x:f>HYPERLINK("https://map.kakao.com/?panoid=1202871152&amp;pan=233.4&amp;zoom=0&amp;map_type=TYPE_MAP&amp;map_attribute=ROADVIEW&amp;urlX=483004.0&amp;urlY=1081607.0","카카오")</x:f>
        <x:v>HYPERLINK is not implemented. linkLocation=https://map.kakao.com/?panoid=1202871152&amp;pan=233.4&amp;zoom=0&amp;map_type=TYPE_MAP&amp;map_attribute=ROADVIEW&amp;urlX=483004.0&amp;urlY=1081607.0, friendlyName=카카오</x:v>
      </x:c>
      <x:c r="G47" s="105" t="e">
        <x:f>HYPERLINK("https://map.naver.com/p/entry/coordinates/3zfmEe,2AELJC?c=15.00,0,0,0,dh","네이버")</x:f>
        <x:v>HYPERLINK is not implemented. linkLocation=https://map.naver.com/p/entry/coordinates/3zfmEe,2AELJC?c=15.00,0,0,0,dh, friendlyName=네이버</x:v>
      </x:c>
      <x:c r="H47" s="238" t="str">
        <x:v>2025-11-18 11:18:33</x:v>
      </x:c>
      <x:c r="I47" s="233"/>
      <x:c r="J47" s="233"/>
      <x:c r="K47" s="233"/>
      <x:c r="L47" s="233"/>
      <x:c r="M47" s="233"/>
      <x:c r="N47" s="233"/>
      <x:c r="O47" s="233"/>
      <x:c r="P47" s="233"/>
      <x:c r="Q47" s="233"/>
    </x:row>
    <x:row r="48" ht="34" customHeight="1">
      <x:c r="A48" s="67" t="str">
        <x:v>CW21-B</x:v>
      </x:c>
      <x:c r="B48" s="67" t="str">
        <x:v>CW21</x:v>
      </x:c>
      <x:c r="C48" s="67" t="str">
        <x:v>B</x:v>
      </x:c>
      <x:c r="D48" s="235" t="n">
        <x:v>37.39310371392077</x:v>
      </x:c>
      <x:c r="E48" s="235" t="n">
        <x:v>126.92317024278903</x:v>
      </x:c>
      <x:c r="F48" s="105" t="e">
        <x:f>HYPERLINK("https://map.kakao.com/?panoid=1202871152&amp;pan=233.4&amp;zoom=0&amp;map_type=TYPE_MAP&amp;map_attribute=ROADVIEW&amp;urlX=483004.0&amp;urlY=1081607.0","카카오")</x:f>
        <x:v>HYPERLINK is not implemented. linkLocation=https://map.kakao.com/?panoid=1202871152&amp;pan=233.4&amp;zoom=0&amp;map_type=TYPE_MAP&amp;map_attribute=ROADVIEW&amp;urlX=483004.0&amp;urlY=1081607.0, friendlyName=카카오</x:v>
      </x:c>
      <x:c r="G48" s="105" t="e">
        <x:f>HYPERLINK("https://map.naver.com/p/entry/coordinates/3zfmvA,2AELUh?c=15.00,0,0,0,dh","네이버")</x:f>
        <x:v>HYPERLINK is not implemented. linkLocation=https://map.naver.com/p/entry/coordinates/3zfmvA,2AELUh?c=15.00,0,0,0,dh, friendlyName=네이버</x:v>
      </x:c>
      <x:c r="H48" s="238" t="str">
        <x:v>2025-11-18 11:18:33</x:v>
      </x:c>
      <x:c r="I48" s="233"/>
      <x:c r="J48" s="233"/>
      <x:c r="K48" s="233"/>
      <x:c r="L48" s="233"/>
      <x:c r="M48" s="233"/>
      <x:c r="N48" s="233"/>
      <x:c r="O48" s="233"/>
      <x:c r="P48" s="233"/>
      <x:c r="Q48" s="233"/>
    </x:row>
    <x:row r="49" ht="34" customHeight="1">
      <x:c r="A49" s="67" t="str">
        <x:v>CW22-A</x:v>
      </x:c>
      <x:c r="B49" s="67" t="str">
        <x:v>CW22</x:v>
      </x:c>
      <x:c r="C49" s="67" t="str">
        <x:v>A</x:v>
      </x:c>
      <x:c r="D49" s="235" t="n">
        <x:v>37.39214078880838</x:v>
      </x:c>
      <x:c r="E49" s="235" t="n">
        <x:v>126.92361853491747</x:v>
      </x:c>
      <x:c r="F49" s="105" t="e">
        <x:f>HYPERLINK("https://map.kakao.com/?panoid=1202969686&amp;pan=327.0&amp;zoom=0&amp;map_type=TYPE_MAP&amp;map_attribute=ROADVIEW&amp;urlX=483115.0&amp;urlY=1081356.0","카카오")</x:f>
        <x:v>HYPERLINK is not implemented. linkLocation=https://map.kakao.com/?panoid=1202969686&amp;pan=327.0&amp;zoom=0&amp;map_type=TYPE_MAP&amp;map_attribute=ROADVIEW&amp;urlX=483115.0&amp;urlY=1081356.0, friendlyName=카카오</x:v>
      </x:c>
      <x:c r="G49" s="105" t="e">
        <x:f>HYPERLINK("https://map.naver.com/p/entry/coordinates/3zfnFT,2AEJoY?c=15.00,0,0,0,dh","네이버")</x:f>
        <x:v>HYPERLINK is not implemented. linkLocation=https://map.naver.com/p/entry/coordinates/3zfnFT,2AEJoY?c=15.00,0,0,0,dh, friendlyName=네이버</x:v>
      </x:c>
      <x:c r="H49" s="238" t="str">
        <x:v>2025-11-17 11:58:28</x:v>
      </x:c>
      <x:c r="I49" s="233"/>
      <x:c r="J49" s="233"/>
      <x:c r="K49" s="233"/>
      <x:c r="L49" s="233"/>
      <x:c r="M49" s="233"/>
      <x:c r="N49" s="233"/>
      <x:c r="O49" s="233"/>
      <x:c r="P49" s="233"/>
      <x:c r="Q49" s="233"/>
    </x:row>
    <x:row r="50" ht="34" customHeight="1">
      <x:c r="A50" s="67" t="str">
        <x:v>CW22-B</x:v>
      </x:c>
      <x:c r="B50" s="67" t="str">
        <x:v>CW22</x:v>
      </x:c>
      <x:c r="C50" s="67" t="str">
        <x:v>B</x:v>
      </x:c>
      <x:c r="D50" s="235" t="n">
        <x:v>37.39221919119162</x:v>
      </x:c>
      <x:c r="E50" s="235" t="n">
        <x:v>126.92376926508251</x:v>
      </x:c>
      <x:c r="F50" s="105" t="e">
        <x:f>HYPERLINK("https://map.kakao.com/?panoid=1202969686&amp;pan=327.0&amp;zoom=0&amp;map_type=TYPE_MAP&amp;map_attribute=ROADVIEW&amp;urlX=483115.0&amp;urlY=1081356.0","카카오")</x:f>
        <x:v>HYPERLINK is not implemented. linkLocation=https://map.kakao.com/?panoid=1202969686&amp;pan=327.0&amp;zoom=0&amp;map_type=TYPE_MAP&amp;map_attribute=ROADVIEW&amp;urlX=483115.0&amp;urlY=1081356.0, friendlyName=카카오</x:v>
      </x:c>
      <x:c r="G50" s="105" t="e">
        <x:f>HYPERLINK("https://map.naver.com/p/entry/coordinates/3zfo4d,2AEJBC?c=15.00,0,0,0,dh","네이버")</x:f>
        <x:v>HYPERLINK is not implemented. linkLocation=https://map.naver.com/p/entry/coordinates/3zfo4d,2AEJBC?c=15.00,0,0,0,dh, friendlyName=네이버</x:v>
      </x:c>
      <x:c r="H50" s="238" t="str">
        <x:v>2025-11-17 11:58:28</x:v>
      </x:c>
      <x:c r="I50" s="233"/>
      <x:c r="J50" s="233"/>
      <x:c r="K50" s="233"/>
      <x:c r="L50" s="233"/>
      <x:c r="M50" s="233"/>
      <x:c r="N50" s="233"/>
      <x:c r="O50" s="233"/>
      <x:c r="P50" s="233"/>
      <x:c r="Q50" s="233"/>
    </x:row>
    <x:row r="51" ht="34" customHeight="1">
      <x:c r="A51" s="67" t="str">
        <x:v>CW23-A</x:v>
      </x:c>
      <x:c r="B51" s="67" t="str">
        <x:v>CW23</x:v>
      </x:c>
      <x:c r="C51" s="67" t="str">
        <x:v>A</x:v>
      </x:c>
      <x:c r="D51" s="235" t="n">
        <x:v>37.39211628056607</x:v>
      </x:c>
      <x:c r="E51" s="235" t="n">
        <x:v>126.92388323781566</x:v>
      </x:c>
      <x:c r="F51" s="105" t="e">
        <x:f>HYPERLINK("https://map.kakao.com/?panoid=1202870512&amp;pan=238.8&amp;zoom=0&amp;map_type=TYPE_MAP&amp;map_attribute=ROADVIEW&amp;urlX=483156.0&amp;urlY=1081348.0","카카오")</x:f>
        <x:v>HYPERLINK is not implemented. linkLocation=https://map.kakao.com/?panoid=1202870512&amp;pan=238.8&amp;zoom=0&amp;map_type=TYPE_MAP&amp;map_attribute=ROADVIEW&amp;urlX=483156.0&amp;urlY=1081348.0, friendlyName=카카오</x:v>
      </x:c>
      <x:c r="G51" s="105" t="e">
        <x:f>HYPERLINK("https://map.naver.com/p/entry/coordinates/3zfomA,2AEJl1?c=15.00,0,0,0,dh","네이버")</x:f>
        <x:v>HYPERLINK is not implemented. linkLocation=https://map.naver.com/p/entry/coordinates/3zfomA,2AEJl1?c=15.00,0,0,0,dh, friendlyName=네이버</x:v>
      </x:c>
      <x:c r="H51" s="238" t="str">
        <x:v>2025-11-18 10:22:37</x:v>
      </x:c>
      <x:c r="I51" s="233"/>
      <x:c r="J51" s="233"/>
      <x:c r="K51" s="233"/>
      <x:c r="L51" s="233"/>
      <x:c r="M51" s="233"/>
      <x:c r="N51" s="233"/>
      <x:c r="O51" s="233"/>
      <x:c r="P51" s="233"/>
      <x:c r="Q51" s="233"/>
    </x:row>
    <x:row r="52" ht="34" customHeight="1">
      <x:c r="A52" s="67" t="str">
        <x:v>CW23-B</x:v>
      </x:c>
      <x:c r="B52" s="67" t="str">
        <x:v>CW23</x:v>
      </x:c>
      <x:c r="C52" s="67" t="str">
        <x:v>B</x:v>
      </x:c>
      <x:c r="D52" s="235" t="n">
        <x:v>37.39216041943393</x:v>
      </x:c>
      <x:c r="E52" s="235" t="n">
        <x:v>126.92384736218435</x:v>
      </x:c>
      <x:c r="F52" s="105" t="e">
        <x:f>HYPERLINK("https://map.kakao.com/?panoid=1202870512&amp;pan=238.8&amp;zoom=0&amp;map_type=TYPE_MAP&amp;map_attribute=ROADVIEW&amp;urlX=483156.0&amp;urlY=1081348.0","카카오")</x:f>
        <x:v>HYPERLINK is not implemented. linkLocation=https://map.kakao.com/?panoid=1202870512&amp;pan=238.8&amp;zoom=0&amp;map_type=TYPE_MAP&amp;map_attribute=ROADVIEW&amp;urlX=483156.0&amp;urlY=1081348.0, friendlyName=카카오</x:v>
      </x:c>
      <x:c r="G52" s="105" t="e">
        <x:f>HYPERLINK("https://map.naver.com/p/entry/coordinates/3zfogO,2AEJs8?c=15.00,0,0,0,dh","네이버")</x:f>
        <x:v>HYPERLINK is not implemented. linkLocation=https://map.naver.com/p/entry/coordinates/3zfogO,2AEJs8?c=15.00,0,0,0,dh, friendlyName=네이버</x:v>
      </x:c>
      <x:c r="H52" s="238" t="str">
        <x:v>2025-11-18 10:22:37</x:v>
      </x:c>
      <x:c r="I52" s="233"/>
      <x:c r="J52" s="233"/>
      <x:c r="K52" s="233"/>
      <x:c r="L52" s="233"/>
      <x:c r="M52" s="233"/>
      <x:c r="N52" s="233"/>
      <x:c r="O52" s="233"/>
      <x:c r="P52" s="233"/>
      <x:c r="Q52" s="233"/>
    </x:row>
    <x:row r="53" ht="34" customHeight="1">
      <x:c r="A53" s="67" t="str">
        <x:v>CW24-A</x:v>
      </x:c>
      <x:c r="B53" s="67" t="str">
        <x:v>CW24</x:v>
      </x:c>
      <x:c r="C53" s="67" t="str">
        <x:v>A</x:v>
      </x:c>
      <x:c r="D53" s="235" t="n">
        <x:v>37.3920183365017</x:v>
      </x:c>
      <x:c r="E53" s="235" t="n">
        <x:v>126.92359267780495</x:v>
      </x:c>
      <x:c r="F53" s="105" t="e">
        <x:f>HYPERLINK("https://map.kakao.com/?panoid=1202969685&amp;pan=327.1&amp;zoom=0&amp;map_type=TYPE_MAP&amp;map_attribute=ROADVIEW&amp;urlX=483129.0&amp;urlY=1081335.0","카카오")</x:f>
        <x:v>HYPERLINK is not implemented. linkLocation=https://map.kakao.com/?panoid=1202969685&amp;pan=327.1&amp;zoom=0&amp;map_type=TYPE_MAP&amp;map_attribute=ROADVIEW&amp;urlX=483129.0&amp;urlY=1081335.0, friendlyName=카카오</x:v>
      </x:c>
      <x:c r="G53" s="105" t="e">
        <x:f>HYPERLINK("https://map.naver.com/p/entry/coordinates/3zfnBJ,2AEJ5d?c=15.00,0,0,0,dh","네이버")</x:f>
        <x:v>HYPERLINK is not implemented. linkLocation=https://map.naver.com/p/entry/coordinates/3zfnBJ,2AEJ5d?c=15.00,0,0,0,dh, friendlyName=네이버</x:v>
      </x:c>
      <x:c r="H53" s="238" t="str">
        <x:v>2025-11-17 11:58:26</x:v>
      </x:c>
      <x:c r="I53" s="233"/>
      <x:c r="J53" s="233"/>
      <x:c r="K53" s="233"/>
      <x:c r="L53" s="233"/>
      <x:c r="M53" s="233"/>
      <x:c r="N53" s="233"/>
      <x:c r="O53" s="233"/>
      <x:c r="P53" s="233"/>
      <x:c r="Q53" s="233"/>
    </x:row>
    <x:row r="54" ht="34" customHeight="1">
      <x:c r="A54" s="67" t="str">
        <x:v>CW24-B</x:v>
      </x:c>
      <x:c r="B54" s="67" t="str">
        <x:v>CW24</x:v>
      </x:c>
      <x:c r="C54" s="67" t="str">
        <x:v>B</x:v>
      </x:c>
      <x:c r="D54" s="235" t="n">
        <x:v>37.392087123498314</x:v>
      </x:c>
      <x:c r="E54" s="235" t="n">
        <x:v>126.92372492219503</x:v>
      </x:c>
      <x:c r="F54" s="105" t="e">
        <x:f>HYPERLINK("https://map.kakao.com/?panoid=1202969685&amp;pan=327.1&amp;zoom=0&amp;map_type=TYPE_MAP&amp;map_attribute=ROADVIEW&amp;urlX=483129.0&amp;urlY=1081335.0","카카오")</x:f>
        <x:v>HYPERLINK is not implemented. linkLocation=https://map.kakao.com/?panoid=1202969685&amp;pan=327.1&amp;zoom=0&amp;map_type=TYPE_MAP&amp;map_attribute=ROADVIEW&amp;urlX=483129.0&amp;urlY=1081335.0, friendlyName=카카오</x:v>
      </x:c>
      <x:c r="G54" s="105" t="e">
        <x:f>HYPERLINK("https://map.naver.com/p/entry/coordinates/3zfnX3,2AEJgj?c=15.00,0,0,0,dh","네이버")</x:f>
        <x:v>HYPERLINK is not implemented. linkLocation=https://map.naver.com/p/entry/coordinates/3zfnX3,2AEJgj?c=15.00,0,0,0,dh, friendlyName=네이버</x:v>
      </x:c>
      <x:c r="H54" s="238" t="str">
        <x:v>2025-11-17 11:58:26</x:v>
      </x:c>
      <x:c r="I54" s="233"/>
      <x:c r="J54" s="233"/>
      <x:c r="K54" s="233"/>
      <x:c r="L54" s="233"/>
      <x:c r="M54" s="233"/>
      <x:c r="N54" s="233"/>
      <x:c r="O54" s="233"/>
      <x:c r="P54" s="233"/>
      <x:c r="Q54" s="233"/>
    </x:row>
    <x:row r="55" ht="34" customHeight="1">
      <x:c r="A55" s="67" t="str">
        <x:v>CW25-A</x:v>
      </x:c>
      <x:c r="B55" s="67" t="str">
        <x:v>CW25</x:v>
      </x:c>
      <x:c r="C55" s="67" t="str">
        <x:v>A</x:v>
      </x:c>
      <x:c r="D55" s="235" t="n">
        <x:v>37.3919801552276</x:v>
      </x:c>
      <x:c r="E55" s="235" t="n">
        <x:v>126.9237435785561</x:v>
      </x:c>
      <x:c r="F55" s="105" t="e">
        <x:f>HYPERLINK("https://map.kakao.com/?panoid=1202969684&amp;pan=326.9&amp;zoom=0&amp;map_type=TYPE_MAP&amp;map_attribute=ROADVIEW&amp;urlX=483142.0&amp;urlY=1081314.0","카카오")</x:f>
        <x:v>HYPERLINK is not implemented. linkLocation=https://map.kakao.com/?panoid=1202969684&amp;pan=326.9&amp;zoom=0&amp;map_type=TYPE_MAP&amp;map_attribute=ROADVIEW&amp;urlX=483142.0&amp;urlY=1081314.0, friendlyName=카카오</x:v>
      </x:c>
      <x:c r="G55" s="105" t="e">
        <x:f>HYPERLINK("https://map.naver.com/p/entry/coordinates/3zfo04,2AEIZ4?c=15.00,0,0,0,dh","네이버")</x:f>
        <x:v>HYPERLINK is not implemented. linkLocation=https://map.naver.com/p/entry/coordinates/3zfo04,2AEIZ4?c=15.00,0,0,0,dh, friendlyName=네이버</x:v>
      </x:c>
      <x:c r="H55" s="238" t="str">
        <x:v>2025-11-17 11:58:25</x:v>
      </x:c>
      <x:c r="I55" s="233"/>
      <x:c r="J55" s="233"/>
      <x:c r="K55" s="233"/>
      <x:c r="L55" s="233"/>
      <x:c r="M55" s="233"/>
      <x:c r="N55" s="233"/>
      <x:c r="O55" s="233"/>
      <x:c r="P55" s="233"/>
      <x:c r="Q55" s="233"/>
    </x:row>
    <x:row r="56" ht="34" customHeight="1">
      <x:c r="A56" s="67" t="str">
        <x:v>CW25-B</x:v>
      </x:c>
      <x:c r="B56" s="67" t="str">
        <x:v>CW25</x:v>
      </x:c>
      <x:c r="C56" s="67" t="str">
        <x:v>B</x:v>
      </x:c>
      <x:c r="D56" s="235" t="n">
        <x:v>37.3920609447724</x:v>
      </x:c>
      <x:c r="E56" s="235" t="n">
        <x:v>126.9238972214439</x:v>
      </x:c>
      <x:c r="F56" s="105" t="e">
        <x:f>HYPERLINK("https://map.kakao.com/?panoid=1202969684&amp;pan=326.9&amp;zoom=0&amp;map_type=TYPE_MAP&amp;map_attribute=ROADVIEW&amp;urlX=483142.0&amp;urlY=1081314.0","카카오")</x:f>
        <x:v>HYPERLINK is not implemented. linkLocation=https://map.kakao.com/?panoid=1202969684&amp;pan=326.9&amp;zoom=0&amp;map_type=TYPE_MAP&amp;map_attribute=ROADVIEW&amp;urlX=483142.0&amp;urlY=1081314.0, friendlyName=카카오</x:v>
      </x:c>
      <x:c r="G56" s="105" t="e">
        <x:f>HYPERLINK("https://map.naver.com/p/entry/coordinates/3zfooQ,2AEJc5?c=15.00,0,0,0,dh","네이버")</x:f>
        <x:v>HYPERLINK is not implemented. linkLocation=https://map.naver.com/p/entry/coordinates/3zfooQ,2AEJc5?c=15.00,0,0,0,dh, friendlyName=네이버</x:v>
      </x:c>
      <x:c r="H56" s="238" t="str">
        <x:v>2025-11-17 11:58:25</x:v>
      </x:c>
      <x:c r="I56" s="233"/>
      <x:c r="J56" s="233"/>
      <x:c r="K56" s="233"/>
      <x:c r="L56" s="233"/>
      <x:c r="M56" s="233"/>
      <x:c r="N56" s="233"/>
      <x:c r="O56" s="233"/>
      <x:c r="P56" s="233"/>
      <x:c r="Q56" s="233"/>
    </x:row>
    <x:row r="57" ht="34" customHeight="1">
      <x:c r="A57" s="67" t="str">
        <x:v>CW26-A</x:v>
      </x:c>
      <x:c r="B57" s="67" t="str">
        <x:v>CW26</x:v>
      </x:c>
      <x:c r="C57" s="67" t="str">
        <x:v>A</x:v>
      </x:c>
      <x:c r="D57" s="235" t="n">
        <x:v>37.39130366285457</x:v>
      </x:c>
      <x:c r="E57" s="235" t="n">
        <x:v>126.9243625992532</x:v>
      </x:c>
      <x:c r="F57" s="105" t="e">
        <x:f>HYPERLINK("https://map.kakao.com/?panoid=1202969675&amp;pan=326.8&amp;zoom=0&amp;map_type=TYPE_MAP&amp;map_attribute=ROADVIEW&amp;urlX=483266.0&amp;urlY=1081128.0","카카오")</x:f>
        <x:v>HYPERLINK is not implemented. linkLocation=https://map.kakao.com/?panoid=1202969675&amp;pan=326.8&amp;zoom=0&amp;map_type=TYPE_MAP&amp;map_attribute=ROADVIEW&amp;urlX=483266.0&amp;urlY=1081128.0, friendlyName=카카오</x:v>
      </x:c>
      <x:c r="G57" s="105" t="e">
        <x:f>HYPERLINK("https://map.naver.com/p/entry/coordinates/3zfpBU,2AEHdX?c=15.00,0,0,0,dh","네이버")</x:f>
        <x:v>HYPERLINK is not implemented. linkLocation=https://map.naver.com/p/entry/coordinates/3zfpBU,2AEHdX?c=15.00,0,0,0,dh, friendlyName=네이버</x:v>
      </x:c>
      <x:c r="H57" s="238" t="str">
        <x:v>2025-11-17 11:57:37</x:v>
      </x:c>
      <x:c r="I57" s="233"/>
      <x:c r="J57" s="233"/>
      <x:c r="K57" s="233"/>
      <x:c r="L57" s="233"/>
      <x:c r="M57" s="233"/>
      <x:c r="N57" s="233"/>
      <x:c r="O57" s="233"/>
      <x:c r="P57" s="233"/>
      <x:c r="Q57" s="233"/>
    </x:row>
    <x:row r="58" ht="34" customHeight="1">
      <x:c r="A58" s="67" t="str">
        <x:v>CW26-B</x:v>
      </x:c>
      <x:c r="B58" s="67" t="str">
        <x:v>CW26</x:v>
      </x:c>
      <x:c r="C58" s="67" t="str">
        <x:v>B</x:v>
      </x:c>
      <x:c r="D58" s="235" t="n">
        <x:v>37.39135683714544</x:v>
      </x:c>
      <x:c r="E58" s="235" t="n">
        <x:v>126.92446840074679</x:v>
      </x:c>
      <x:c r="F58" s="105" t="e">
        <x:f>HYPERLINK("https://map.kakao.com/?panoid=1202969675&amp;pan=326.8&amp;zoom=0&amp;map_type=TYPE_MAP&amp;map_attribute=ROADVIEW&amp;urlX=483266.0&amp;urlY=1081128.0","카카오")</x:f>
        <x:v>HYPERLINK is not implemented. linkLocation=https://map.kakao.com/?panoid=1202969675&amp;pan=326.8&amp;zoom=0&amp;map_type=TYPE_MAP&amp;map_attribute=ROADVIEW&amp;urlX=483266.0&amp;urlY=1081128.0, friendlyName=카카오</x:v>
      </x:c>
      <x:c r="G58" s="105" t="e">
        <x:f>HYPERLINK("https://map.naver.com/p/entry/coordinates/3zfpSY,2AEHmw?c=15.00,0,0,0,dh","네이버")</x:f>
        <x:v>HYPERLINK is not implemented. linkLocation=https://map.naver.com/p/entry/coordinates/3zfpSY,2AEHmw?c=15.00,0,0,0,dh, friendlyName=네이버</x:v>
      </x:c>
      <x:c r="H58" s="238" t="str">
        <x:v>2025-11-17 11:57:37</x:v>
      </x:c>
      <x:c r="I58" s="233"/>
      <x:c r="J58" s="233"/>
      <x:c r="K58" s="233"/>
      <x:c r="L58" s="233"/>
      <x:c r="M58" s="233"/>
      <x:c r="N58" s="233"/>
      <x:c r="O58" s="233"/>
      <x:c r="P58" s="233"/>
      <x:c r="Q58" s="233"/>
    </x:row>
    <x:row r="59" ht="34" customHeight="1">
      <x:c r="A59" s="67" t="str">
        <x:v>CW27-A</x:v>
      </x:c>
      <x:c r="B59" s="67" t="str">
        <x:v>CW27</x:v>
      </x:c>
      <x:c r="C59" s="67" t="str">
        <x:v>A</x:v>
      </x:c>
      <x:c r="D59" s="235" t="n">
        <x:v>37.39045684884471</x:v>
      </x:c>
      <x:c r="E59" s="235" t="n">
        <x:v>126.92505581204853</x:v>
      </x:c>
      <x:c r="F59" s="105" t="e">
        <x:f>HYPERLINK("https://map.kakao.com/?panoid=1202969663&amp;pan=328.0&amp;zoom=0&amp;map_type=TYPE_MAP&amp;map_attribute=ROADVIEW&amp;urlX=483430.0&amp;urlY=1080878.0","카카오")</x:f>
        <x:v>HYPERLINK is not implemented. linkLocation=https://map.kakao.com/?panoid=1202969663&amp;pan=328.0&amp;zoom=0&amp;map_type=TYPE_MAP&amp;map_attribute=ROADVIEW&amp;urlX=483430.0&amp;urlY=1080878.0, friendlyName=카카오</x:v>
      </x:c>
      <x:c r="G59" s="105" t="e">
        <x:f>HYPERLINK("https://map.naver.com/p/entry/coordinates/3zfrpI,2AEF1m?c=15.00,0,0,0,dh","네이버")</x:f>
        <x:v>HYPERLINK is not implemented. linkLocation=https://map.naver.com/p/entry/coordinates/3zfrpI,2AEF1m?c=15.00,0,0,0,dh, friendlyName=네이버</x:v>
      </x:c>
      <x:c r="H59" s="238" t="str">
        <x:v>2025-11-17 11:57:25</x:v>
      </x:c>
      <x:c r="I59" s="233"/>
      <x:c r="J59" s="233"/>
      <x:c r="K59" s="233"/>
      <x:c r="L59" s="233"/>
      <x:c r="M59" s="233"/>
      <x:c r="N59" s="233"/>
      <x:c r="O59" s="233"/>
      <x:c r="P59" s="233"/>
      <x:c r="Q59" s="233"/>
    </x:row>
    <x:row r="60" ht="34" customHeight="1">
      <x:c r="A60" s="67" t="str">
        <x:v>CW27-B</x:v>
      </x:c>
      <x:c r="B60" s="67" t="str">
        <x:v>CW27</x:v>
      </x:c>
      <x:c r="C60" s="67" t="str">
        <x:v>B</x:v>
      </x:c>
      <x:c r="D60" s="235" t="n">
        <x:v>37.390526071155286</x:v>
      </x:c>
      <x:c r="E60" s="235" t="n">
        <x:v>126.92518498795148</x:v>
      </x:c>
      <x:c r="F60" s="105" t="e">
        <x:f>HYPERLINK("https://map.kakao.com/?panoid=1202969663&amp;pan=328.0&amp;zoom=0&amp;map_type=TYPE_MAP&amp;map_attribute=ROADVIEW&amp;urlX=483430.0&amp;urlY=1080878.0","카카오")</x:f>
        <x:v>HYPERLINK is not implemented. linkLocation=https://map.kakao.com/?panoid=1202969663&amp;pan=328.0&amp;zoom=0&amp;map_type=TYPE_MAP&amp;map_attribute=ROADVIEW&amp;urlX=483430.0&amp;urlY=1080878.0, friendlyName=카카오</x:v>
      </x:c>
      <x:c r="G60" s="105" t="e">
        <x:f>HYPERLINK("https://map.naver.com/p/entry/coordinates/3zfrKy,2AEFcx?c=15.00,0,0,0,dh","네이버")</x:f>
        <x:v>HYPERLINK is not implemented. linkLocation=https://map.naver.com/p/entry/coordinates/3zfrKy,2AEFcx?c=15.00,0,0,0,dh, friendlyName=네이버</x:v>
      </x:c>
      <x:c r="H60" s="238" t="str">
        <x:v>2025-11-17 11:57:25</x:v>
      </x:c>
      <x:c r="I60" s="233"/>
      <x:c r="J60" s="233"/>
      <x:c r="K60" s="233"/>
      <x:c r="L60" s="233"/>
      <x:c r="M60" s="233"/>
      <x:c r="N60" s="233"/>
      <x:c r="O60" s="233"/>
      <x:c r="P60" s="233"/>
      <x:c r="Q60" s="233"/>
    </x:row>
    <x:row r="61" ht="34" customHeight="1">
      <x:c r="A61" s="67" t="str">
        <x:v>CW28-A</x:v>
      </x:c>
      <x:c r="B61" s="67" t="str">
        <x:v>CW28</x:v>
      </x:c>
      <x:c r="C61" s="67" t="str">
        <x:v>A</x:v>
      </x:c>
      <x:c r="D61" s="235" t="n">
        <x:v>37.39040313736469</x:v>
      </x:c>
      <x:c r="E61" s="235" t="n">
        <x:v>126.92534644316888</x:v>
      </x:c>
      <x:c r="F61" s="105" t="e">
        <x:f>HYPERLINK("https://map.kakao.com/?panoid=1202970288&amp;pan=58.4&amp;zoom=0&amp;map_type=TYPE_MAP&amp;map_attribute=ROADVIEW&amp;urlX=483475.0&amp;urlY=1080867.0","카카오")</x:f>
        <x:v>HYPERLINK is not implemented. linkLocation=https://map.kakao.com/?panoid=1202970288&amp;pan=58.4&amp;zoom=0&amp;map_type=TYPE_MAP&amp;map_attribute=ROADVIEW&amp;urlX=483475.0&amp;urlY=1080867.0, friendlyName=카카오</x:v>
      </x:c>
      <x:c r="G61" s="105" t="e">
        <x:f>HYPERLINK("https://map.naver.com/p/entry/coordinates/3zfsaA,2AEESH?c=15.00,0,0,0,dh","네이버")</x:f>
        <x:v>HYPERLINK is not implemented. linkLocation=https://map.naver.com/p/entry/coordinates/3zfsaA,2AEESH?c=15.00,0,0,0,dh, friendlyName=네이버</x:v>
      </x:c>
      <x:c r="H61" s="238" t="str">
        <x:v>2025-11-17 13:29:46</x:v>
      </x:c>
      <x:c r="I61" s="233"/>
      <x:c r="J61" s="233"/>
      <x:c r="K61" s="233"/>
      <x:c r="L61" s="233"/>
      <x:c r="M61" s="233"/>
      <x:c r="N61" s="233"/>
      <x:c r="O61" s="233"/>
      <x:c r="P61" s="233"/>
      <x:c r="Q61" s="233"/>
    </x:row>
    <x:row r="62" ht="34" customHeight="1">
      <x:c r="A62" s="67" t="str">
        <x:v>CW28-B</x:v>
      </x:c>
      <x:c r="B62" s="67" t="str">
        <x:v>CW28</x:v>
      </x:c>
      <x:c r="C62" s="67" t="str">
        <x:v>B</x:v>
      </x:c>
      <x:c r="D62" s="235" t="n">
        <x:v>37.390506262635306</x:v>
      </x:c>
      <x:c r="E62" s="235" t="n">
        <x:v>126.92526195683112</x:v>
      </x:c>
      <x:c r="F62" s="105" t="e">
        <x:f>HYPERLINK("https://map.kakao.com/?panoid=1202969663&amp;pan=328.0&amp;zoom=0&amp;map_type=TYPE_MAP&amp;map_attribute=ROADVIEW&amp;urlX=483430.0&amp;urlY=1080878.0","카카오")</x:f>
        <x:v>HYPERLINK is not implemented. linkLocation=https://map.kakao.com/?panoid=1202969663&amp;pan=328.0&amp;zoom=0&amp;map_type=TYPE_MAP&amp;map_attribute=ROADVIEW&amp;urlX=483430.0&amp;urlY=1080878.0, friendlyName=카카오</x:v>
      </x:c>
      <x:c r="G62" s="105" t="e">
        <x:f>HYPERLINK("https://map.naver.com/p/entry/coordinates/3zfrWY,2AEF9l?c=15.00,0,0,0,dh","네이버")</x:f>
        <x:v>HYPERLINK is not implemented. linkLocation=https://map.naver.com/p/entry/coordinates/3zfrWY,2AEF9l?c=15.00,0,0,0,dh, friendlyName=네이버</x:v>
      </x:c>
      <x:c r="H62" s="238" t="str">
        <x:v>2025-11-17 11:57:25</x:v>
      </x:c>
      <x:c r="I62" s="233"/>
      <x:c r="J62" s="233"/>
      <x:c r="K62" s="233"/>
      <x:c r="L62" s="233"/>
      <x:c r="M62" s="233"/>
      <x:c r="N62" s="233"/>
      <x:c r="O62" s="233"/>
      <x:c r="P62" s="233"/>
      <x:c r="Q62" s="233"/>
    </x:row>
    <x:row r="63" ht="34" customHeight="1">
      <x:c r="A63" s="67" t="str">
        <x:v>CW29-A</x:v>
      </x:c>
      <x:c r="B63" s="67" t="str">
        <x:v>CW29</x:v>
      </x:c>
      <x:c r="C63" s="67" t="str">
        <x:v>A</x:v>
      </x:c>
      <x:c r="D63" s="235" t="n">
        <x:v>37.39031011408944</x:v>
      </x:c>
      <x:c r="E63" s="235" t="n">
        <x:v>126.92508866166824</x:v>
      </x:c>
      <x:c r="F63" s="105" t="e">
        <x:f>HYPERLINK("https://map.kakao.com/?panoid=1202970285&amp;pan=67.5&amp;zoom=0&amp;map_type=TYPE_MAP&amp;map_attribute=ROADVIEW&amp;urlX=483408.0&amp;urlY=1080836.0","카카오")</x:f>
        <x:v>HYPERLINK is not implemented. linkLocation=https://map.kakao.com/?panoid=1202970285&amp;pan=67.5&amp;zoom=0&amp;map_type=TYPE_MAP&amp;map_attribute=ROADVIEW&amp;urlX=483408.0&amp;urlY=1080836.0, friendlyName=카카오</x:v>
      </x:c>
      <x:c r="G63" s="105" t="e">
        <x:f>HYPERLINK("https://map.naver.com/p/entry/coordinates/3zfrv1,2AEEDH?c=15.00,0,0,0,dh","네이버")</x:f>
        <x:v>HYPERLINK is not implemented. linkLocation=https://map.naver.com/p/entry/coordinates/3zfrv1,2AEEDH?c=15.00,0,0,0,dh, friendlyName=네이버</x:v>
      </x:c>
      <x:c r="H63" s="238" t="str">
        <x:v>2025-11-17 13:29:43</x:v>
      </x:c>
      <x:c r="I63" s="233"/>
      <x:c r="J63" s="233"/>
      <x:c r="K63" s="233"/>
      <x:c r="L63" s="233"/>
      <x:c r="M63" s="233"/>
      <x:c r="N63" s="233"/>
      <x:c r="O63" s="233"/>
      <x:c r="P63" s="233"/>
      <x:c r="Q63" s="233"/>
    </x:row>
    <x:row r="64" ht="34" customHeight="1">
      <x:c r="A64" s="67" t="str">
        <x:v>CW29-B</x:v>
      </x:c>
      <x:c r="B64" s="67" t="str">
        <x:v>CW29</x:v>
      </x:c>
      <x:c r="C64" s="67" t="str">
        <x:v>B</x:v>
      </x:c>
      <x:c r="D64" s="235" t="n">
        <x:v>37.390403245910555</x:v>
      </x:c>
      <x:c r="E64" s="235" t="n">
        <x:v>126.92504233833175</x:v>
      </x:c>
      <x:c r="F64" s="105" t="e">
        <x:f>HYPERLINK("https://map.kakao.com/?panoid=1202970285&amp;pan=67.5&amp;zoom=0&amp;map_type=TYPE_MAP&amp;map_attribute=ROADVIEW&amp;urlX=483408.0&amp;urlY=1080836.0","카카오")</x:f>
        <x:v>HYPERLINK is not implemented. linkLocation=https://map.kakao.com/?panoid=1202970285&amp;pan=67.5&amp;zoom=0&amp;map_type=TYPE_MAP&amp;map_attribute=ROADVIEW&amp;urlX=483408.0&amp;urlY=1080836.0, friendlyName=카카오</x:v>
      </x:c>
      <x:c r="G64" s="105" t="e">
        <x:f>HYPERLINK("https://map.naver.com/p/entry/coordinates/3zfrnx,2AEESI?c=15.00,0,0,0,dh","네이버")</x:f>
        <x:v>HYPERLINK is not implemented. linkLocation=https://map.naver.com/p/entry/coordinates/3zfrnx,2AEESI?c=15.00,0,0,0,dh, friendlyName=네이버</x:v>
      </x:c>
      <x:c r="H64" s="238" t="str">
        <x:v>2025-11-17 13:29:43</x:v>
      </x:c>
      <x:c r="I64" s="233"/>
      <x:c r="J64" s="233"/>
      <x:c r="K64" s="233"/>
      <x:c r="L64" s="233"/>
      <x:c r="M64" s="233"/>
      <x:c r="N64" s="233"/>
      <x:c r="O64" s="233"/>
      <x:c r="P64" s="233"/>
      <x:c r="Q64" s="233"/>
    </x:row>
    <x:row r="65" ht="34" customHeight="1">
      <x:c r="A65" s="67" t="str">
        <x:v>CW30-A</x:v>
      </x:c>
      <x:c r="B65" s="67" t="str">
        <x:v>CW30</x:v>
      </x:c>
      <x:c r="C65" s="67" t="str">
        <x:v>A</x:v>
      </x:c>
      <x:c r="D65" s="235" t="n">
        <x:v>37.39012616733453</x:v>
      </x:c>
      <x:c r="E65" s="235" t="n">
        <x:v>126.92409457142617</x:v>
      </x:c>
      <x:c r="F65" s="105" t="e">
        <x:f>HYPERLINK("https://map.kakao.com/?panoid=1202970276&amp;pan=110.3&amp;zoom=0&amp;map_type=TYPE_MAP&amp;map_attribute=ROADVIEW&amp;urlX=483198.0&amp;urlY=1080769.0","카카오")</x:f>
        <x:v>HYPERLINK is not implemented. linkLocation=https://map.kakao.com/?panoid=1202970276&amp;pan=110.3&amp;zoom=0&amp;map_type=TYPE_MAP&amp;map_attribute=ROADVIEW&amp;urlX=483198.0&amp;urlY=1080769.0, friendlyName=카카오</x:v>
      </x:c>
      <x:c r="G65" s="105" t="e">
        <x:f>HYPERLINK("https://map.naver.com/p/entry/coordinates/3zfoUG,2AEEa2?c=15.00,0,0,0,dh","네이버")</x:f>
        <x:v>HYPERLINK is not implemented. linkLocation=https://map.naver.com/p/entry/coordinates/3zfoUG,2AEEa2?c=15.00,0,0,0,dh, friendlyName=네이버</x:v>
      </x:c>
      <x:c r="H65" s="238" t="str">
        <x:v>2025-11-17 13:29:32</x:v>
      </x:c>
      <x:c r="I65" s="233"/>
      <x:c r="J65" s="233"/>
      <x:c r="K65" s="233"/>
      <x:c r="L65" s="233"/>
      <x:c r="M65" s="233"/>
      <x:c r="N65" s="233"/>
      <x:c r="O65" s="233"/>
      <x:c r="P65" s="233"/>
      <x:c r="Q65" s="233"/>
    </x:row>
    <x:row r="66" ht="34" customHeight="1">
      <x:c r="A66" s="67" t="str">
        <x:v>CW30-B</x:v>
      </x:c>
      <x:c r="B66" s="67" t="str">
        <x:v>CW30</x:v>
      </x:c>
      <x:c r="C66" s="67" t="str">
        <x:v>B</x:v>
      </x:c>
      <x:c r="D66" s="235" t="n">
        <x:v>37.390204712665465</x:v>
      </x:c>
      <x:c r="E66" s="235" t="n">
        <x:v>126.92412862857385</x:v>
      </x:c>
      <x:c r="F66" s="105" t="e">
        <x:f>HYPERLINK("https://map.kakao.com/?panoid=1202970276&amp;pan=110.3&amp;zoom=0&amp;map_type=TYPE_MAP&amp;map_attribute=ROADVIEW&amp;urlX=483198.0&amp;urlY=1080769.0","카카오")</x:f>
        <x:v>HYPERLINK is not implemented. linkLocation=https://map.kakao.com/?panoid=1202970276&amp;pan=110.3&amp;zoom=0&amp;map_type=TYPE_MAP&amp;map_attribute=ROADVIEW&amp;urlX=483198.0&amp;urlY=1080769.0, friendlyName=카카오</x:v>
      </x:c>
      <x:c r="G66" s="105" t="e">
        <x:f>HYPERLINK("https://map.naver.com/p/entry/coordinates/3zfp0a,2AEEmH?c=15.00,0,0,0,dh","네이버")</x:f>
        <x:v>HYPERLINK is not implemented. linkLocation=https://map.naver.com/p/entry/coordinates/3zfp0a,2AEEmH?c=15.00,0,0,0,dh, friendlyName=네이버</x:v>
      </x:c>
      <x:c r="H66" s="238" t="str">
        <x:v>2025-11-17 13:29:32</x:v>
      </x:c>
      <x:c r="I66" s="233"/>
      <x:c r="J66" s="233"/>
      <x:c r="K66" s="233"/>
      <x:c r="L66" s="233"/>
      <x:c r="M66" s="233"/>
      <x:c r="N66" s="233"/>
      <x:c r="O66" s="233"/>
      <x:c r="P66" s="233"/>
      <x:c r="Q66" s="233"/>
    </x:row>
    <x:row r="67" ht="34" customHeight="1">
      <x:c r="A67" s="67" t="str">
        <x:v>CW31-A</x:v>
      </x:c>
      <x:c r="B67" s="67" t="str">
        <x:v>CW31</x:v>
      </x:c>
      <x:c r="C67" s="67" t="str">
        <x:v>A</x:v>
      </x:c>
      <x:c r="D67" s="235" t="n">
        <x:v>37.39032369675492</x:v>
      </x:c>
      <x:c r="E67" s="235" t="n">
        <x:v>126.92520600321222</x:v>
      </x:c>
      <x:c r="F67" s="105" t="e">
        <x:f>HYPERLINK("https://map.kakao.com/?panoid=1202969661&amp;pan=334.4&amp;zoom=0&amp;map_type=TYPE_MAP&amp;map_attribute=ROADVIEW&amp;urlX=483455.0&amp;urlY=1080835.0","카카오")</x:f>
        <x:v>HYPERLINK is not implemented. linkLocation=https://map.kakao.com/?panoid=1202969661&amp;pan=334.4&amp;zoom=0&amp;map_type=TYPE_MAP&amp;map_attribute=ROADVIEW&amp;urlX=483455.0&amp;urlY=1080835.0, friendlyName=카카오</x:v>
      </x:c>
      <x:c r="G67" s="105" t="e">
        <x:f>HYPERLINK("https://map.naver.com/p/entry/coordinates/3zfrNW,2AEEFT?c=15.00,0,0,0,dh","네이버")</x:f>
        <x:v>HYPERLINK is not implemented. linkLocation=https://map.naver.com/p/entry/coordinates/3zfrNW,2AEEFT?c=15.00,0,0,0,dh, friendlyName=네이버</x:v>
      </x:c>
      <x:c r="H67" s="238" t="str">
        <x:v>2025-11-17 11:57:23</x:v>
      </x:c>
      <x:c r="I67" s="233"/>
      <x:c r="J67" s="233"/>
      <x:c r="K67" s="233"/>
      <x:c r="L67" s="233"/>
      <x:c r="M67" s="233"/>
      <x:c r="N67" s="233"/>
      <x:c r="O67" s="233"/>
      <x:c r="P67" s="233"/>
      <x:c r="Q67" s="233"/>
    </x:row>
    <x:row r="68" ht="34" customHeight="1">
      <x:c r="A68" s="67" t="str">
        <x:v>CW31-B</x:v>
      </x:c>
      <x:c r="B68" s="67" t="str">
        <x:v>CW31</x:v>
      </x:c>
      <x:c r="C68" s="67" t="str">
        <x:v>B</x:v>
      </x:c>
      <x:c r="D68" s="235" t="n">
        <x:v>37.39036492324509</x:v>
      </x:c>
      <x:c r="E68" s="235" t="n">
        <x:v>126.92534499678776</x:v>
      </x:c>
      <x:c r="F68" s="105" t="e">
        <x:f>HYPERLINK("https://map.kakao.com/?panoid=1202970288&amp;pan=58.4&amp;zoom=0&amp;map_type=TYPE_MAP&amp;map_attribute=ROADVIEW&amp;urlX=483475.0&amp;urlY=1080867.0","카카오")</x:f>
        <x:v>HYPERLINK is not implemented. linkLocation=https://map.kakao.com/?panoid=1202970288&amp;pan=58.4&amp;zoom=0&amp;map_type=TYPE_MAP&amp;map_attribute=ROADVIEW&amp;urlX=483475.0&amp;urlY=1080867.0, friendlyName=카카오</x:v>
      </x:c>
      <x:c r="G68" s="105" t="e">
        <x:f>HYPERLINK("https://map.naver.com/p/entry/coordinates/3zfsam,2AEEMx?c=15.00,0,0,0,dh","네이버")</x:f>
        <x:v>HYPERLINK is not implemented. linkLocation=https://map.naver.com/p/entry/coordinates/3zfsam,2AEEMx?c=15.00,0,0,0,dh, friendlyName=네이버</x:v>
      </x:c>
      <x:c r="H68" s="238" t="str">
        <x:v>2025-11-17 13:29:46</x:v>
      </x:c>
      <x:c r="I68" s="233"/>
      <x:c r="J68" s="233"/>
      <x:c r="K68" s="233"/>
      <x:c r="L68" s="233"/>
      <x:c r="M68" s="233"/>
      <x:c r="N68" s="233"/>
      <x:c r="O68" s="233"/>
      <x:c r="P68" s="233"/>
      <x:c r="Q68" s="233"/>
    </x:row>
    <x:row r="69" ht="34" customHeight="1">
      <x:c r="A69" s="67" t="str">
        <x:v>CW32-A</x:v>
      </x:c>
      <x:c r="B69" s="67" t="str">
        <x:v>CW32</x:v>
      </x:c>
      <x:c r="C69" s="67" t="str">
        <x:v>A</x:v>
      </x:c>
      <x:c r="D69" s="235" t="n">
        <x:v>37.390048790568265</x:v>
      </x:c>
      <x:c r="E69" s="235" t="n">
        <x:v>126.9242948447004</x:v>
      </x:c>
      <x:c r="F69" s="105" t="e">
        <x:f>HYPERLINK("https://map.kakao.com/?panoid=1202970278&amp;pan=71.5&amp;zoom=0&amp;map_type=TYPE_MAP&amp;map_attribute=ROADVIEW&amp;urlX=483247.0&amp;urlY=1080769.0","카카오")</x:f>
        <x:v>HYPERLINK is not implemented. linkLocation=https://map.kakao.com/?panoid=1202970278&amp;pan=71.5&amp;zoom=0&amp;map_type=TYPE_MAP&amp;map_attribute=ROADVIEW&amp;urlX=483247.0&amp;urlY=1080769.0, friendlyName=카카오</x:v>
      </x:c>
      <x:c r="G69" s="105" t="e">
        <x:f>HYPERLINK("https://map.naver.com/p/entry/coordinates/3zfpqY,2AEDXy?c=15.00,0,0,0,dh","네이버")</x:f>
        <x:v>HYPERLINK is not implemented. linkLocation=https://map.naver.com/p/entry/coordinates/3zfpqY,2AEDXy?c=15.00,0,0,0,dh, friendlyName=네이버</x:v>
      </x:c>
      <x:c r="H69" s="238" t="str">
        <x:v>2025-11-17 13:29:35</x:v>
      </x:c>
      <x:c r="I69" s="233"/>
      <x:c r="J69" s="233"/>
      <x:c r="K69" s="233"/>
      <x:c r="L69" s="233"/>
      <x:c r="M69" s="233"/>
      <x:c r="N69" s="233"/>
      <x:c r="O69" s="233"/>
      <x:c r="P69" s="233"/>
      <x:c r="Q69" s="233"/>
    </x:row>
    <x:row r="70" ht="34" customHeight="1">
      <x:c r="A70" s="67" t="str">
        <x:v>CW32-B</x:v>
      </x:c>
      <x:c r="B70" s="67" t="str">
        <x:v>CW32</x:v>
      </x:c>
      <x:c r="C70" s="67" t="str">
        <x:v>B</x:v>
      </x:c>
      <x:c r="D70" s="235" t="n">
        <x:v>37.39012174943174</x:v>
      </x:c>
      <x:c r="E70" s="235" t="n">
        <x:v>126.92425855529957</x:v>
      </x:c>
      <x:c r="F70" s="105" t="e">
        <x:f>HYPERLINK("https://map.kakao.com/?panoid=1202970277&amp;pan=90.4&amp;zoom=0&amp;map_type=TYPE_MAP&amp;map_attribute=ROADVIEW&amp;urlX=483222.0&amp;urlY=1080765.0","카카오")</x:f>
        <x:v>HYPERLINK is not implemented. linkLocation=https://map.kakao.com/?panoid=1202970277&amp;pan=90.4&amp;zoom=0&amp;map_type=TYPE_MAP&amp;map_attribute=ROADVIEW&amp;urlX=483222.0&amp;urlY=1080765.0, friendlyName=카카오</x:v>
      </x:c>
      <x:c r="G70" s="105" t="e">
        <x:f>HYPERLINK("https://map.naver.com/p/entry/coordinates/3zfpl8,2AEE9j?c=15.00,0,0,0,dh","네이버")</x:f>
        <x:v>HYPERLINK is not implemented. linkLocation=https://map.naver.com/p/entry/coordinates/3zfpl8,2AEE9j?c=15.00,0,0,0,dh, friendlyName=네이버</x:v>
      </x:c>
      <x:c r="H70" s="238" t="str">
        <x:v>2025-11-17 13:29:34</x:v>
      </x:c>
      <x:c r="I70" s="233"/>
      <x:c r="J70" s="233"/>
      <x:c r="K70" s="233"/>
      <x:c r="L70" s="233"/>
      <x:c r="M70" s="233"/>
      <x:c r="N70" s="233"/>
      <x:c r="O70" s="233"/>
      <x:c r="P70" s="233"/>
      <x:c r="Q70" s="233"/>
    </x:row>
    <x:row r="71" ht="34" customHeight="1">
      <x:c r="A71" s="67" t="str">
        <x:v>CW33-A</x:v>
      </x:c>
      <x:c r="B71" s="67" t="str">
        <x:v>CW33</x:v>
      </x:c>
      <x:c r="C71" s="67" t="str">
        <x:v>A</x:v>
      </x:c>
      <x:c r="D71" s="235" t="n">
        <x:v>37.389982227292826</x:v>
      </x:c>
      <x:c r="E71" s="235" t="n">
        <x:v>126.9254940088399</x:v>
      </x:c>
      <x:c r="F71" s="105" t="e">
        <x:f>HYPERLINK("https://map.kakao.com/?panoid=1202972599&amp;pan=251.4&amp;zoom=0&amp;map_type=TYPE_MAP&amp;map_attribute=ROADVIEW&amp;urlX=483511.0&amp;urlY=1080749.0","카카오")</x:f>
        <x:v>HYPERLINK is not implemented. linkLocation=https://map.kakao.com/?panoid=1202972599&amp;pan=251.4&amp;zoom=0&amp;map_type=TYPE_MAP&amp;map_attribute=ROADVIEW&amp;urlX=483511.0&amp;urlY=1080749.0, friendlyName=카카오</x:v>
      </x:c>
      <x:c r="G71" s="105" t="e">
        <x:f>HYPERLINK("https://map.naver.com/p/entry/coordinates/3zfsyo,2AEDMO?c=15.00,0,0,0,dh","네이버")</x:f>
        <x:v>HYPERLINK is not implemented. linkLocation=https://map.naver.com/p/entry/coordinates/3zfsyo,2AEDMO?c=15.00,0,0,0,dh, friendlyName=네이버</x:v>
      </x:c>
      <x:c r="H71" s="238" t="str">
        <x:v>2025-11-17 15:39:09</x:v>
      </x:c>
      <x:c r="I71" s="233"/>
      <x:c r="J71" s="233"/>
      <x:c r="K71" s="233"/>
      <x:c r="L71" s="233"/>
      <x:c r="M71" s="233"/>
      <x:c r="N71" s="233"/>
      <x:c r="O71" s="233"/>
      <x:c r="P71" s="233"/>
      <x:c r="Q71" s="233"/>
    </x:row>
    <x:row r="72" ht="34" customHeight="1">
      <x:c r="A72" s="67" t="str">
        <x:v>CW33-B</x:v>
      </x:c>
      <x:c r="B72" s="67" t="str">
        <x:v>CW33</x:v>
      </x:c>
      <x:c r="C72" s="67" t="str">
        <x:v>B</x:v>
      </x:c>
      <x:c r="D72" s="235" t="n">
        <x:v>37.39001577270718</x:v>
      </x:c>
      <x:c r="E72" s="235" t="n">
        <x:v>126.9254661911601</x:v>
      </x:c>
      <x:c r="F72" s="105" t="e">
        <x:f>HYPERLINK("https://map.kakao.com/?panoid=1202972599&amp;pan=251.4&amp;zoom=0&amp;map_type=TYPE_MAP&amp;map_attribute=ROADVIEW&amp;urlX=483511.0&amp;urlY=1080749.0","카카오")</x:f>
        <x:v>HYPERLINK is not implemented. linkLocation=https://map.kakao.com/?panoid=1202972599&amp;pan=251.4&amp;zoom=0&amp;map_type=TYPE_MAP&amp;map_attribute=ROADVIEW&amp;urlX=483511.0&amp;urlY=1080749.0, friendlyName=카카오</x:v>
      </x:c>
      <x:c r="G72" s="105" t="e">
        <x:f>HYPERLINK("https://map.naver.com/p/entry/coordinates/3zfstU,2AEDSe?c=15.00,0,0,0,dh","네이버")</x:f>
        <x:v>HYPERLINK is not implemented. linkLocation=https://map.naver.com/p/entry/coordinates/3zfstU,2AEDSe?c=15.00,0,0,0,dh, friendlyName=네이버</x:v>
      </x:c>
      <x:c r="H72" s="238" t="str">
        <x:v>2025-11-17 15:39:09</x:v>
      </x:c>
      <x:c r="I72" s="233"/>
      <x:c r="J72" s="233"/>
      <x:c r="K72" s="233"/>
      <x:c r="L72" s="233"/>
      <x:c r="M72" s="233"/>
      <x:c r="N72" s="233"/>
      <x:c r="O72" s="233"/>
      <x:c r="P72" s="233"/>
      <x:c r="Q72" s="233"/>
    </x:row>
    <x:row r="73" ht="34" customHeight="1">
      <x:c r="A73" s="67" t="str">
        <x:v>CW34-A</x:v>
      </x:c>
      <x:c r="B73" s="67" t="str">
        <x:v>CW34</x:v>
      </x:c>
      <x:c r="C73" s="67" t="str">
        <x:v>A</x:v>
      </x:c>
      <x:c r="D73" s="235" t="n">
        <x:v>37.389622186729625</x:v>
      </x:c>
      <x:c r="E73" s="235" t="n">
        <x:v>126.92548561896953</x:v>
      </x:c>
      <x:c r="F73" s="105" t="e">
        <x:f>HYPERLINK("https://map.kakao.com/?panoid=1202970045&amp;pan=233.1&amp;zoom=0&amp;map_type=TYPE_MAP&amp;map_attribute=ROADVIEW&amp;urlX=483504.0&amp;urlY=1080615.0","카카오")</x:f>
        <x:v>HYPERLINK is not implemented. linkLocation=https://map.kakao.com/?panoid=1202970045&amp;pan=233.1&amp;zoom=0&amp;map_type=TYPE_MAP&amp;map_attribute=ROADVIEW&amp;urlX=483504.0&amp;urlY=1080615.0, friendlyName=카카오</x:v>
      </x:c>
      <x:c r="G73" s="105" t="e">
        <x:f>HYPERLINK("https://map.naver.com/p/entry/coordinates/3zfsx2,2AECQK?c=15.00,0,0,0,dh","네이버")</x:f>
        <x:v>HYPERLINK is not implemented. linkLocation=https://map.naver.com/p/entry/coordinates/3zfsx2,2AECQK?c=15.00,0,0,0,dh, friendlyName=네이버</x:v>
      </x:c>
      <x:c r="H73" s="238" t="str">
        <x:v>2025-11-17 13:10:05</x:v>
      </x:c>
      <x:c r="I73" s="233"/>
      <x:c r="J73" s="233"/>
      <x:c r="K73" s="233"/>
      <x:c r="L73" s="233"/>
      <x:c r="M73" s="233"/>
      <x:c r="N73" s="233"/>
      <x:c r="O73" s="233"/>
      <x:c r="P73" s="233"/>
      <x:c r="Q73" s="233"/>
    </x:row>
    <x:row r="74" ht="34" customHeight="1">
      <x:c r="A74" s="67" t="str">
        <x:v>CW34-B</x:v>
      </x:c>
      <x:c r="B74" s="67" t="str">
        <x:v>CW34</x:v>
      </x:c>
      <x:c r="C74" s="67" t="str">
        <x:v>B</x:v>
      </x:c>
      <x:c r="D74" s="235" t="n">
        <x:v>37.38965699327038</x:v>
      </x:c>
      <x:c r="E74" s="235" t="n">
        <x:v>126.92561438103047</x:v>
      </x:c>
      <x:c r="F74" s="105" t="e">
        <x:f>HYPERLINK("https://map.kakao.com/?panoid=1202969653&amp;pan=339.7&amp;zoom=0&amp;map_type=TYPE_MAP&amp;map_attribute=ROADVIEW&amp;urlX=483529.0&amp;urlY=1080649.0","카카오")</x:f>
        <x:v>HYPERLINK is not implemented. linkLocation=https://map.kakao.com/?panoid=1202969653&amp;pan=339.7&amp;zoom=0&amp;map_type=TYPE_MAP&amp;map_attribute=ROADVIEW&amp;urlX=483529.0&amp;urlY=1080649.0, friendlyName=카카오</x:v>
      </x:c>
      <x:c r="G74" s="105" t="e">
        <x:f>HYPERLINK("https://map.naver.com/p/entry/coordinates/3zfsRO,2AECWm?c=15.00,0,0,0,dh","네이버")</x:f>
        <x:v>HYPERLINK is not implemented. linkLocation=https://map.naver.com/p/entry/coordinates/3zfsRO,2AECWm?c=15.00,0,0,0,dh, friendlyName=네이버</x:v>
      </x:c>
      <x:c r="H74" s="238" t="str">
        <x:v>2025-11-17 11:57:08</x:v>
      </x:c>
      <x:c r="I74" s="233"/>
      <x:c r="J74" s="233"/>
      <x:c r="K74" s="233"/>
      <x:c r="L74" s="233"/>
      <x:c r="M74" s="233"/>
      <x:c r="N74" s="233"/>
      <x:c r="O74" s="233"/>
      <x:c r="P74" s="233"/>
      <x:c r="Q74" s="233"/>
    </x:row>
    <x:row r="75" ht="34" customHeight="1">
      <x:c r="A75" s="67" t="str">
        <x:v>CW35-A</x:v>
      </x:c>
      <x:c r="B75" s="67" t="str">
        <x:v>CW35</x:v>
      </x:c>
      <x:c r="C75" s="67" t="str">
        <x:v>A</x:v>
      </x:c>
      <x:c r="D75" s="235" t="n">
        <x:v>37.38956545502662</x:v>
      </x:c>
      <x:c r="E75" s="235" t="n">
        <x:v>126.92568254442703</x:v>
      </x:c>
      <x:c r="F75" s="105" t="e">
        <x:f>HYPERLINK("https://map.kakao.com/?panoid=1202969652&amp;pan=339.6&amp;zoom=0&amp;map_type=TYPE_MAP&amp;map_attribute=ROADVIEW&amp;urlX=483537.0&amp;urlY=1080625.0","카카오")</x:f>
        <x:v>HYPERLINK is not implemented. linkLocation=https://map.kakao.com/?panoid=1202969652&amp;pan=339.6&amp;zoom=0&amp;map_type=TYPE_MAP&amp;map_attribute=ROADVIEW&amp;urlX=483537.0&amp;urlY=1080625.0, friendlyName=카카오</x:v>
      </x:c>
      <x:c r="G75" s="105" t="e">
        <x:f>HYPERLINK("https://map.naver.com/p/entry/coordinates/3zft2N,2AECHB?c=15.00,0,0,0,dh","네이버")</x:f>
        <x:v>HYPERLINK is not implemented. linkLocation=https://map.naver.com/p/entry/coordinates/3zft2N,2AECHB?c=15.00,0,0,0,dh, friendlyName=네이버</x:v>
      </x:c>
      <x:c r="H75" s="238" t="str">
        <x:v>2025-11-17 11:57:07</x:v>
      </x:c>
      <x:c r="I75" s="233"/>
      <x:c r="J75" s="233"/>
      <x:c r="K75" s="233"/>
      <x:c r="L75" s="233"/>
      <x:c r="M75" s="233"/>
      <x:c r="N75" s="233"/>
      <x:c r="O75" s="233"/>
      <x:c r="P75" s="233"/>
      <x:c r="Q75" s="233"/>
    </x:row>
    <x:row r="76" ht="34" customHeight="1">
      <x:c r="A76" s="67" t="str">
        <x:v>CW35-B</x:v>
      </x:c>
      <x:c r="B76" s="67" t="str">
        <x:v>CW35</x:v>
      </x:c>
      <x:c r="C76" s="67" t="str">
        <x:v>B</x:v>
      </x:c>
      <x:c r="D76" s="235" t="n">
        <x:v>37.38963516497338</x:v>
      </x:c>
      <x:c r="E76" s="235" t="n">
        <x:v>126.92564065557295</x:v>
      </x:c>
      <x:c r="F76" s="105" t="e">
        <x:f>HYPERLINK("https://map.kakao.com/?panoid=1202969653&amp;pan=339.7&amp;zoom=0&amp;map_type=TYPE_MAP&amp;map_attribute=ROADVIEW&amp;urlX=483529.0&amp;urlY=1080649.0","카카오")</x:f>
        <x:v>HYPERLINK is not implemented. linkLocation=https://map.kakao.com/?panoid=1202969653&amp;pan=339.7&amp;zoom=0&amp;map_type=TYPE_MAP&amp;map_attribute=ROADVIEW&amp;urlX=483529.0&amp;urlY=1080649.0, friendlyName=카카오</x:v>
      </x:c>
      <x:c r="G76" s="105" t="e">
        <x:f>HYPERLINK("https://map.naver.com/p/entry/coordinates/3zfsW3,2AECSQ?c=15.00,0,0,0,dh","네이버")</x:f>
        <x:v>HYPERLINK is not implemented. linkLocation=https://map.naver.com/p/entry/coordinates/3zfsW3,2AECSQ?c=15.00,0,0,0,dh, friendlyName=네이버</x:v>
      </x:c>
      <x:c r="H76" s="238" t="str">
        <x:v>2025-11-17 11:57:08</x:v>
      </x:c>
      <x:c r="I76" s="233"/>
      <x:c r="J76" s="233"/>
      <x:c r="K76" s="233"/>
      <x:c r="L76" s="233"/>
      <x:c r="M76" s="233"/>
      <x:c r="N76" s="233"/>
      <x:c r="O76" s="233"/>
      <x:c r="P76" s="233"/>
      <x:c r="Q76" s="233"/>
    </x:row>
    <x:row r="77" ht="34" customHeight="1">
      <x:c r="A77" s="67" t="str">
        <x:v>CW36-A</x:v>
      </x:c>
      <x:c r="B77" s="67" t="str">
        <x:v>CW36</x:v>
      </x:c>
      <x:c r="C77" s="67" t="str">
        <x:v>A</x:v>
      </x:c>
      <x:c r="D77" s="235" t="n">
        <x:v>37.389460889905884</x:v>
      </x:c>
      <x:c r="E77" s="235" t="n">
        <x:v>126.92553763921738</x:v>
      </x:c>
      <x:c r="F77" s="105" t="e">
        <x:f>HYPERLINK("https://map.kakao.com/?panoid=1202970045&amp;pan=233.1&amp;zoom=0&amp;map_type=TYPE_MAP&amp;map_attribute=ROADVIEW&amp;urlX=483504.0&amp;urlY=1080615.0","카카오")</x:f>
        <x:v>HYPERLINK is not implemented. linkLocation=https://map.kakao.com/?panoid=1202970045&amp;pan=233.1&amp;zoom=0&amp;map_type=TYPE_MAP&amp;map_attribute=ROADVIEW&amp;urlX=483504.0&amp;urlY=1080615.0, friendlyName=카카오</x:v>
      </x:c>
      <x:c r="G77" s="105" t="e">
        <x:f>HYPERLINK("https://map.naver.com/p/entry/coordinates/3zfsFq,2AECqJ?c=15.00,0,0,0,dh","네이버")</x:f>
        <x:v>HYPERLINK is not implemented. linkLocation=https://map.naver.com/p/entry/coordinates/3zfsFq,2AECqJ?c=15.00,0,0,0,dh, friendlyName=네이버</x:v>
      </x:c>
      <x:c r="H77" s="238" t="str">
        <x:v>2025-11-17 13:10:05</x:v>
      </x:c>
      <x:c r="I77" s="233"/>
      <x:c r="J77" s="233"/>
      <x:c r="K77" s="233"/>
      <x:c r="L77" s="233"/>
      <x:c r="M77" s="233"/>
      <x:c r="N77" s="233"/>
      <x:c r="O77" s="233"/>
      <x:c r="P77" s="233"/>
      <x:c r="Q77" s="233"/>
    </x:row>
    <x:row r="78" ht="34" customHeight="1">
      <x:c r="A78" s="67" t="str">
        <x:v>CW36-B</x:v>
      </x:c>
      <x:c r="B78" s="67" t="str">
        <x:v>CW36</x:v>
      </x:c>
      <x:c r="C78" s="67" t="str">
        <x:v>B</x:v>
      </x:c>
      <x:c r="D78" s="235" t="n">
        <x:v>37.389528410094115</x:v>
      </x:c>
      <x:c r="E78" s="235" t="n">
        <x:v>126.92545656078262</x:v>
      </x:c>
      <x:c r="F78" s="105" t="e">
        <x:f>HYPERLINK("https://map.kakao.com/?panoid=1202970045&amp;pan=233.1&amp;zoom=0&amp;map_type=TYPE_MAP&amp;map_attribute=ROADVIEW&amp;urlX=483504.0&amp;urlY=1080615.0","카카오")</x:f>
        <x:v>HYPERLINK is not implemented. linkLocation=https://map.kakao.com/?panoid=1202970045&amp;pan=233.1&amp;zoom=0&amp;map_type=TYPE_MAP&amp;map_attribute=ROADVIEW&amp;urlX=483504.0&amp;urlY=1080615.0, friendlyName=카카오</x:v>
      </x:c>
      <x:c r="G78" s="105" t="e">
        <x:f>HYPERLINK("https://map.naver.com/p/entry/coordinates/3zfssm,2AECBC?c=15.00,0,0,0,dh","네이버")</x:f>
        <x:v>HYPERLINK is not implemented. linkLocation=https://map.naver.com/p/entry/coordinates/3zfssm,2AECBC?c=15.00,0,0,0,dh, friendlyName=네이버</x:v>
      </x:c>
      <x:c r="H78" s="238" t="str">
        <x:v>2025-11-17 13:10:05</x:v>
      </x:c>
      <x:c r="I78" s="233"/>
      <x:c r="J78" s="233"/>
      <x:c r="K78" s="233"/>
      <x:c r="L78" s="233"/>
      <x:c r="M78" s="233"/>
      <x:c r="N78" s="233"/>
      <x:c r="O78" s="233"/>
      <x:c r="P78" s="233"/>
      <x:c r="Q78" s="233"/>
    </x:row>
    <x:row r="79" ht="34" customHeight="1">
      <x:c r="A79" s="67" t="str">
        <x:v>CW37-A</x:v>
      </x:c>
      <x:c r="B79" s="67" t="str">
        <x:v>CW37</x:v>
      </x:c>
      <x:c r="C79" s="67" t="str">
        <x:v>A</x:v>
      </x:c>
      <x:c r="D79" s="235" t="n">
        <x:v>37.38942767602712</x:v>
      </x:c>
      <x:c r="E79" s="235" t="n">
        <x:v>126.92561176972762</x:v>
      </x:c>
      <x:c r="F79" s="105" t="e">
        <x:f>HYPERLINK("https://map.kakao.com/?panoid=1202969651&amp;pan=339.3&amp;zoom=0&amp;map_type=TYPE_MAP&amp;map_attribute=ROADVIEW&amp;urlX=483546.0&amp;urlY=1080602.0","카카오")</x:f>
        <x:v>HYPERLINK is not implemented. linkLocation=https://map.kakao.com/?panoid=1202969651&amp;pan=339.3&amp;zoom=0&amp;map_type=TYPE_MAP&amp;map_attribute=ROADVIEW&amp;urlX=483546.0&amp;urlY=1080602.0, friendlyName=카카오</x:v>
      </x:c>
      <x:c r="G79" s="105" t="e">
        <x:f>HYPERLINK("https://map.naver.com/p/entry/coordinates/3zfsRo,2AECln?c=15.00,0,0,0,dh","네이버")</x:f>
        <x:v>HYPERLINK is not implemented. linkLocation=https://map.naver.com/p/entry/coordinates/3zfsRo,2AECln?c=15.00,0,0,0,dh, friendlyName=네이버</x:v>
      </x:c>
      <x:c r="H79" s="238" t="str">
        <x:v>2025-11-17 11:57:06</x:v>
      </x:c>
      <x:c r="I79" s="233"/>
      <x:c r="J79" s="233"/>
      <x:c r="K79" s="233"/>
      <x:c r="L79" s="233"/>
      <x:c r="M79" s="233"/>
      <x:c r="N79" s="233"/>
      <x:c r="O79" s="233"/>
      <x:c r="P79" s="233"/>
      <x:c r="Q79" s="233"/>
    </x:row>
    <x:row r="80" ht="34" customHeight="1">
      <x:c r="A80" s="67" t="str">
        <x:v>CW37-B</x:v>
      </x:c>
      <x:c r="B80" s="67" t="str">
        <x:v>CW37</x:v>
      </x:c>
      <x:c r="C80" s="67" t="str">
        <x:v>B</x:v>
      </x:c>
      <x:c r="D80" s="235" t="n">
        <x:v>37.38945428397289</x:v>
      </x:c>
      <x:c r="E80" s="235" t="n">
        <x:v>126.92570423027236</x:v>
      </x:c>
      <x:c r="F80" s="105" t="e">
        <x:f>HYPERLINK("https://map.kakao.com/?panoid=1202969651&amp;pan=339.3&amp;zoom=0&amp;map_type=TYPE_MAP&amp;map_attribute=ROADVIEW&amp;urlX=483546.0&amp;urlY=1080602.0","카카오")</x:f>
        <x:v>HYPERLINK is not implemented. linkLocation=https://map.kakao.com/?panoid=1202969651&amp;pan=339.3&amp;zoom=0&amp;map_type=TYPE_MAP&amp;map_attribute=ROADVIEW&amp;urlX=483546.0&amp;urlY=1080602.0, friendlyName=카카오</x:v>
      </x:c>
      <x:c r="G80" s="105" t="e">
        <x:f>HYPERLINK("https://map.naver.com/p/entry/coordinates/3zft6i,2AECpF?c=15.00,0,0,0,dh","네이버")</x:f>
        <x:v>HYPERLINK is not implemented. linkLocation=https://map.naver.com/p/entry/coordinates/3zft6i,2AECpF?c=15.00,0,0,0,dh, friendlyName=네이버</x:v>
      </x:c>
      <x:c r="H80" s="238" t="str">
        <x:v>2025-11-17 11:57:06</x:v>
      </x:c>
      <x:c r="I80" s="233"/>
      <x:c r="J80" s="233"/>
      <x:c r="K80" s="233"/>
      <x:c r="L80" s="233"/>
      <x:c r="M80" s="233"/>
      <x:c r="N80" s="233"/>
      <x:c r="O80" s="233"/>
      <x:c r="P80" s="233"/>
      <x:c r="Q80" s="233"/>
    </x:row>
    <x:row r="81" ht="34" customHeight="1">
      <x:c r="A81" s="67" t="str">
        <x:v>CW38-A</x:v>
      </x:c>
      <x:c r="B81" s="67" t="str">
        <x:v>CW38</x:v>
      </x:c>
      <x:c r="C81" s="67" t="str">
        <x:v>A</x:v>
      </x:c>
      <x:c r="D81" s="235" t="n">
        <x:v>37.389248330727646</x:v>
      </x:c>
      <x:c r="E81" s="235" t="n">
        <x:v>126.92520180052233</x:v>
      </x:c>
      <x:c r="F81" s="105" t="e">
        <x:f>HYPERLINK("https://map.kakao.com/?panoid=1202970049&amp;pan=225.5&amp;zoom=0&amp;map_type=TYPE_MAP&amp;map_attribute=ROADVIEW&amp;urlX=483430.0&amp;urlY=1080548.0","카카오")</x:f>
        <x:v>HYPERLINK is not implemented. linkLocation=https://map.kakao.com/?panoid=1202970049&amp;pan=225.5&amp;zoom=0&amp;map_type=TYPE_MAP&amp;map_attribute=ROADVIEW&amp;urlX=483430.0&amp;urlY=1080548.0, friendlyName=카카오</x:v>
      </x:c>
      <x:c r="G81" s="105" t="e">
        <x:f>HYPERLINK("https://map.naver.com/p/entry/coordinates/3zfrNg,2AEBSr?c=15.00,0,0,0,dh","네이버")</x:f>
        <x:v>HYPERLINK is not implemented. linkLocation=https://map.naver.com/p/entry/coordinates/3zfrNg,2AEBSr?c=15.00,0,0,0,dh, friendlyName=네이버</x:v>
      </x:c>
      <x:c r="H81" s="238" t="str">
        <x:v>2025-11-17 13:10:10</x:v>
      </x:c>
      <x:c r="I81" s="233"/>
      <x:c r="J81" s="233"/>
      <x:c r="K81" s="233"/>
      <x:c r="L81" s="233"/>
      <x:c r="M81" s="233"/>
      <x:c r="N81" s="233"/>
      <x:c r="O81" s="233"/>
      <x:c r="P81" s="233"/>
      <x:c r="Q81" s="233"/>
    </x:row>
    <x:row r="82" ht="34" customHeight="1">
      <x:c r="A82" s="67" t="str">
        <x:v>CW38-B</x:v>
      </x:c>
      <x:c r="B82" s="67" t="str">
        <x:v>CW38</x:v>
      </x:c>
      <x:c r="C82" s="67" t="str">
        <x:v>B</x:v>
      </x:c>
      <x:c r="D82" s="235" t="n">
        <x:v>37.38930162927237</x:v>
      </x:c>
      <x:c r="E82" s="235" t="n">
        <x:v>126.9251377994777</x:v>
      </x:c>
      <x:c r="F82" s="105" t="e">
        <x:f>HYPERLINK("https://map.kakao.com/?panoid=1202970049&amp;pan=225.5&amp;zoom=0&amp;map_type=TYPE_MAP&amp;map_attribute=ROADVIEW&amp;urlX=483430.0&amp;urlY=1080548.0","카카오")</x:f>
        <x:v>HYPERLINK is not implemented. linkLocation=https://map.kakao.com/?panoid=1202970049&amp;pan=225.5&amp;zoom=0&amp;map_type=TYPE_MAP&amp;map_attribute=ROADVIEW&amp;urlX=483430.0&amp;urlY=1080548.0, friendlyName=카카오</x:v>
      </x:c>
      <x:c r="G82" s="105" t="e">
        <x:f>HYPERLINK("https://map.naver.com/p/entry/coordinates/3zfrCW,2AEC12?c=15.00,0,0,0,dh","네이버")</x:f>
        <x:v>HYPERLINK is not implemented. linkLocation=https://map.naver.com/p/entry/coordinates/3zfrCW,2AEC12?c=15.00,0,0,0,dh, friendlyName=네이버</x:v>
      </x:c>
      <x:c r="H82" s="238" t="str">
        <x:v>2025-11-17 13:10:10</x:v>
      </x:c>
      <x:c r="I82" s="233"/>
      <x:c r="J82" s="233"/>
      <x:c r="K82" s="233"/>
      <x:c r="L82" s="233"/>
      <x:c r="M82" s="233"/>
      <x:c r="N82" s="233"/>
      <x:c r="O82" s="233"/>
      <x:c r="P82" s="233"/>
      <x:c r="Q82" s="233"/>
    </x:row>
    <x:row r="83" ht="34" customHeight="1">
      <x:c r="A83" s="67" t="str">
        <x:v>CW39-A</x:v>
      </x:c>
      <x:c r="B83" s="67" t="str">
        <x:v>CW39</x:v>
      </x:c>
      <x:c r="C83" s="67" t="str">
        <x:v>A</x:v>
      </x:c>
      <x:c r="D83" s="235" t="n">
        <x:v>37.38924455741109</x:v>
      </x:c>
      <x:c r="E83" s="235" t="n">
        <x:v>126.92509509723544</x:v>
      </x:c>
      <x:c r="F83" s="105" t="e">
        <x:f>HYPERLINK("https://map.kakao.com/?panoid=1202970050&amp;pan=224.2&amp;zoom=0&amp;map_type=TYPE_MAP&amp;map_attribute=ROADVIEW&amp;urlX=483412.0&amp;urlY=1080530.0","카카오")</x:f>
        <x:v>HYPERLINK is not implemented. linkLocation=https://map.kakao.com/?panoid=1202970050&amp;pan=224.2&amp;zoom=0&amp;map_type=TYPE_MAP&amp;map_attribute=ROADVIEW&amp;urlX=483412.0&amp;urlY=1080530.0, friendlyName=카카오</x:v>
      </x:c>
      <x:c r="G83" s="105" t="e">
        <x:f>HYPERLINK("https://map.naver.com/p/entry/coordinates/3zfrw3,2AEBRQ?c=15.00,0,0,0,dh","네이버")</x:f>
        <x:v>HYPERLINK is not implemented. linkLocation=https://map.naver.com/p/entry/coordinates/3zfrw3,2AEBRQ?c=15.00,0,0,0,dh, friendlyName=네이버</x:v>
      </x:c>
      <x:c r="H83" s="238" t="str">
        <x:v>2025-11-17 13:10:11</x:v>
      </x:c>
      <x:c r="I83" s="233"/>
      <x:c r="J83" s="233"/>
      <x:c r="K83" s="233"/>
      <x:c r="L83" s="233"/>
      <x:c r="M83" s="233"/>
      <x:c r="N83" s="233"/>
      <x:c r="O83" s="233"/>
      <x:c r="P83" s="233"/>
      <x:c r="Q83" s="233"/>
    </x:row>
    <x:row r="84" ht="34" customHeight="1">
      <x:c r="A84" s="67" t="str">
        <x:v>CW39-B</x:v>
      </x:c>
      <x:c r="B84" s="67" t="str">
        <x:v>CW39</x:v>
      </x:c>
      <x:c r="C84" s="67" t="str">
        <x:v>B</x:v>
      </x:c>
      <x:c r="D84" s="235" t="n">
        <x:v>37.38929968258892</x:v>
      </x:c>
      <x:c r="E84" s="235" t="n">
        <x:v>126.92502890276454</x:v>
      </x:c>
      <x:c r="F84" s="105" t="e">
        <x:f>HYPERLINK("https://map.kakao.com/?panoid=1202970050&amp;pan=224.2&amp;zoom=0&amp;map_type=TYPE_MAP&amp;map_attribute=ROADVIEW&amp;urlX=483412.0&amp;urlY=1080530.0","카카오")</x:f>
        <x:v>HYPERLINK is not implemented. linkLocation=https://map.kakao.com/?panoid=1202970050&amp;pan=224.2&amp;zoom=0&amp;map_type=TYPE_MAP&amp;map_attribute=ROADVIEW&amp;urlX=483412.0&amp;urlY=1080530.0, friendlyName=카카오</x:v>
      </x:c>
      <x:c r="G84" s="105" t="e">
        <x:f>HYPERLINK("https://map.naver.com/p/entry/coordinates/3zfrln,2AEC0J?c=15.00,0,0,0,dh","네이버")</x:f>
        <x:v>HYPERLINK is not implemented. linkLocation=https://map.naver.com/p/entry/coordinates/3zfrln,2AEC0J?c=15.00,0,0,0,dh, friendlyName=네이버</x:v>
      </x:c>
      <x:c r="H84" s="238" t="str">
        <x:v>2025-11-17 13:10:11</x:v>
      </x:c>
      <x:c r="I84" s="233"/>
      <x:c r="J84" s="233"/>
      <x:c r="K84" s="233"/>
      <x:c r="L84" s="233"/>
      <x:c r="M84" s="233"/>
      <x:c r="N84" s="233"/>
      <x:c r="O84" s="233"/>
      <x:c r="P84" s="233"/>
      <x:c r="Q84" s="233"/>
    </x:row>
    <x:row r="85" ht="34" customHeight="1">
      <x:c r="A85" s="67" t="str">
        <x:v>CW40-A</x:v>
      </x:c>
      <x:c r="B85" s="67" t="str">
        <x:v>CW40</x:v>
      </x:c>
      <x:c r="C85" s="67" t="str">
        <x:v>A</x:v>
      </x:c>
      <x:c r="D85" s="235" t="n">
        <x:v>37.38914772596454</x:v>
      </x:c>
      <x:c r="E85" s="235" t="n">
        <x:v>126.92506392218567</x:v>
      </x:c>
      <x:c r="F85" s="105" t="e">
        <x:f>HYPERLINK("https://map.kakao.com/?panoid=1202970051&amp;pan=225.5&amp;zoom=0&amp;map_type=TYPE_MAP&amp;map_attribute=ROADVIEW&amp;urlX=483394.0&amp;urlY=1080512.0","카카오")</x:f>
        <x:v>HYPERLINK is not implemented. linkLocation=https://map.kakao.com/?panoid=1202970051&amp;pan=225.5&amp;zoom=0&amp;map_type=TYPE_MAP&amp;map_attribute=ROADVIEW&amp;urlX=483394.0&amp;urlY=1080512.0, friendlyName=카카오</x:v>
      </x:c>
      <x:c r="G85" s="105" t="e">
        <x:f>HYPERLINK("https://map.naver.com/p/entry/coordinates/3zfrr1,2AEBCd?c=15.00,0,0,0,dh","네이버")</x:f>
        <x:v>HYPERLINK is not implemented. linkLocation=https://map.naver.com/p/entry/coordinates/3zfrr1,2AEBCd?c=15.00,0,0,0,dh, friendlyName=네이버</x:v>
      </x:c>
      <x:c r="H85" s="238" t="str">
        <x:v>2025-11-17 13:10:12</x:v>
      </x:c>
      <x:c r="I85" s="233"/>
      <x:c r="J85" s="233"/>
      <x:c r="K85" s="233"/>
      <x:c r="L85" s="233"/>
      <x:c r="M85" s="233"/>
      <x:c r="N85" s="233"/>
      <x:c r="O85" s="233"/>
      <x:c r="P85" s="233"/>
      <x:c r="Q85" s="233"/>
    </x:row>
    <x:row r="86" ht="34" customHeight="1">
      <x:c r="A86" s="67" t="str">
        <x:v>CW40-B</x:v>
      </x:c>
      <x:c r="B86" s="67" t="str">
        <x:v>CW40</x:v>
      </x:c>
      <x:c r="C86" s="67" t="str">
        <x:v>B</x:v>
      </x:c>
      <x:c r="D86" s="235" t="n">
        <x:v>37.38920089403547</x:v>
      </x:c>
      <x:c r="E86" s="235" t="n">
        <x:v>126.92500007781435</x:v>
      </x:c>
      <x:c r="F86" s="105" t="e">
        <x:f>HYPERLINK("https://map.kakao.com/?panoid=1202970051&amp;pan=225.5&amp;zoom=0&amp;map_type=TYPE_MAP&amp;map_attribute=ROADVIEW&amp;urlX=483394.0&amp;urlY=1080512.0","카카오")</x:f>
        <x:v>HYPERLINK is not implemented. linkLocation=https://map.kakao.com/?panoid=1202970051&amp;pan=225.5&amp;zoom=0&amp;map_type=TYPE_MAP&amp;map_attribute=ROADVIEW&amp;urlX=483394.0&amp;urlY=1080512.0, friendlyName=카카오</x:v>
      </x:c>
      <x:c r="G86" s="105" t="e">
        <x:f>HYPERLINK("https://map.naver.com/p/entry/coordinates/3zfrgJ,2AEBKN?c=15.00,0,0,0,dh","네이버")</x:f>
        <x:v>HYPERLINK is not implemented. linkLocation=https://map.naver.com/p/entry/coordinates/3zfrgJ,2AEBKN?c=15.00,0,0,0,dh, friendlyName=네이버</x:v>
      </x:c>
      <x:c r="H86" s="238" t="str">
        <x:v>2025-11-17 13:10:12</x:v>
      </x:c>
      <x:c r="I86" s="233"/>
      <x:c r="J86" s="233"/>
      <x:c r="K86" s="233"/>
      <x:c r="L86" s="233"/>
      <x:c r="M86" s="233"/>
      <x:c r="N86" s="233"/>
      <x:c r="O86" s="233"/>
      <x:c r="P86" s="233"/>
      <x:c r="Q86" s="233"/>
    </x:row>
    <x:row r="87">
      <x:c r="A87" s="66"/>
      <x:c r="B87" s="66"/>
      <x:c r="C87" s="66"/>
      <x:c r="D87" s="66"/>
      <x:c r="E87" s="66"/>
      <x:c r="F87" s="66"/>
      <x:c r="G87" s="66"/>
      <x:c r="H87" s="66"/>
      <x:c r="I87" s="66"/>
      <x:c r="J87" s="66"/>
      <x:c r="K87" s="66"/>
      <x:c r="L87" s="66"/>
      <x:c r="M87" s="66"/>
      <x:c r="N87" s="66"/>
      <x:c r="O87" s="66"/>
      <x:c r="P87" s="66"/>
      <x:c r="Q87" s="66"/>
    </x:row>
    <x:row r="88">
      <x:c r="A88" s="66"/>
      <x:c r="B88" s="66"/>
      <x:c r="C88" s="66"/>
      <x:c r="D88" s="66"/>
      <x:c r="E88" s="66"/>
      <x:c r="F88" s="66"/>
      <x:c r="G88" s="66"/>
      <x:c r="H88" s="66"/>
      <x:c r="I88" s="66"/>
      <x:c r="J88" s="66"/>
      <x:c r="K88" s="66"/>
      <x:c r="L88" s="66"/>
      <x:c r="M88" s="66"/>
      <x:c r="N88" s="66"/>
      <x:c r="O88" s="66"/>
      <x:c r="P88" s="66"/>
      <x:c r="Q88" s="66"/>
    </x:row>
    <x:row r="89">
      <x:c r="A89" s="66"/>
      <x:c r="B89" s="66"/>
      <x:c r="C89" s="66"/>
      <x:c r="D89" s="66"/>
      <x:c r="E89" s="66"/>
      <x:c r="F89" s="66"/>
      <x:c r="G89" s="66"/>
      <x:c r="H89" s="66"/>
      <x:c r="I89" s="66"/>
      <x:c r="J89" s="66"/>
      <x:c r="K89" s="66"/>
      <x:c r="L89" s="66"/>
      <x:c r="M89" s="66"/>
      <x:c r="N89" s="66"/>
      <x:c r="O89" s="66"/>
      <x:c r="P89" s="66"/>
      <x:c r="Q89" s="66"/>
    </x:row>
    <x:row r="90">
      <x:c r="A90" s="66"/>
      <x:c r="B90" s="66"/>
      <x:c r="C90" s="66"/>
      <x:c r="D90" s="66"/>
      <x:c r="E90" s="66"/>
      <x:c r="F90" s="66"/>
      <x:c r="G90" s="66"/>
      <x:c r="H90" s="66"/>
      <x:c r="I90" s="66"/>
      <x:c r="J90" s="66"/>
      <x:c r="K90" s="66"/>
      <x:c r="L90" s="66"/>
      <x:c r="M90" s="66"/>
      <x:c r="N90" s="66"/>
      <x:c r="O90" s="66"/>
      <x:c r="P90" s="66"/>
      <x:c r="Q90" s="66"/>
    </x:row>
    <x:row r="91">
      <x:c r="A91" s="66"/>
      <x:c r="B91" s="66"/>
      <x:c r="C91" s="66"/>
      <x:c r="D91" s="66"/>
      <x:c r="E91" s="66"/>
      <x:c r="F91" s="66"/>
      <x:c r="G91" s="66"/>
      <x:c r="H91" s="66"/>
      <x:c r="I91" s="66"/>
      <x:c r="J91" s="66"/>
      <x:c r="K91" s="66"/>
      <x:c r="L91" s="66"/>
      <x:c r="M91" s="66"/>
      <x:c r="N91" s="66"/>
      <x:c r="O91" s="66"/>
      <x:c r="P91" s="66"/>
      <x:c r="Q91" s="66"/>
    </x:row>
    <x:row r="92">
      <x:c r="A92" s="66"/>
      <x:c r="B92" s="66"/>
      <x:c r="C92" s="66"/>
      <x:c r="D92" s="66"/>
      <x:c r="E92" s="66"/>
      <x:c r="F92" s="66"/>
      <x:c r="G92" s="66"/>
      <x:c r="H92" s="66"/>
      <x:c r="I92" s="66"/>
      <x:c r="J92" s="66"/>
      <x:c r="K92" s="66"/>
      <x:c r="L92" s="66"/>
      <x:c r="M92" s="66"/>
      <x:c r="N92" s="66"/>
      <x:c r="O92" s="66"/>
      <x:c r="P92" s="66"/>
      <x:c r="Q92" s="66"/>
    </x:row>
    <x:row r="93">
      <x:c r="A93" s="66"/>
      <x:c r="B93" s="66"/>
      <x:c r="C93" s="66"/>
      <x:c r="D93" s="66"/>
      <x:c r="E93" s="66"/>
      <x:c r="F93" s="66"/>
      <x:c r="G93" s="66"/>
      <x:c r="H93" s="66"/>
      <x:c r="I93" s="66"/>
      <x:c r="J93" s="66"/>
      <x:c r="K93" s="66"/>
      <x:c r="L93" s="66"/>
      <x:c r="M93" s="66"/>
      <x:c r="N93" s="66"/>
      <x:c r="O93" s="66"/>
      <x:c r="P93" s="66"/>
      <x:c r="Q93" s="66"/>
    </x:row>
    <x:row r="94">
      <x:c r="A94" s="66"/>
      <x:c r="B94" s="66"/>
      <x:c r="C94" s="66"/>
      <x:c r="D94" s="66"/>
      <x:c r="E94" s="66"/>
      <x:c r="F94" s="66"/>
      <x:c r="G94" s="66"/>
      <x:c r="H94" s="66"/>
      <x:c r="I94" s="66"/>
      <x:c r="J94" s="66"/>
      <x:c r="K94" s="66"/>
      <x:c r="L94" s="66"/>
      <x:c r="M94" s="66"/>
      <x:c r="N94" s="66"/>
      <x:c r="O94" s="66"/>
      <x:c r="P94" s="66"/>
      <x:c r="Q94" s="66"/>
    </x:row>
    <x:row r="95">
      <x:c r="A95" s="66"/>
      <x:c r="B95" s="66"/>
      <x:c r="C95" s="66"/>
      <x:c r="D95" s="66"/>
      <x:c r="E95" s="66"/>
      <x:c r="F95" s="66"/>
      <x:c r="G95" s="66"/>
      <x:c r="H95" s="66"/>
      <x:c r="I95" s="66"/>
      <x:c r="J95" s="66"/>
      <x:c r="K95" s="66"/>
      <x:c r="L95" s="66"/>
      <x:c r="M95" s="66"/>
      <x:c r="N95" s="66"/>
      <x:c r="O95" s="66"/>
      <x:c r="P95" s="66"/>
      <x:c r="Q95" s="66"/>
    </x:row>
    <x:row r="96">
      <x:c r="A96" s="66"/>
      <x:c r="B96" s="66"/>
      <x:c r="C96" s="66"/>
      <x:c r="D96" s="66"/>
      <x:c r="E96" s="66"/>
      <x:c r="F96" s="66"/>
      <x:c r="G96" s="66"/>
      <x:c r="H96" s="66"/>
      <x:c r="I96" s="66"/>
      <x:c r="J96" s="66"/>
      <x:c r="K96" s="66"/>
      <x:c r="L96" s="66"/>
      <x:c r="M96" s="66"/>
      <x:c r="N96" s="66"/>
      <x:c r="O96" s="66"/>
      <x:c r="P96" s="66"/>
      <x:c r="Q96" s="66"/>
    </x:row>
    <x:row r="97">
      <x:c r="A97" s="66"/>
      <x:c r="B97" s="66"/>
      <x:c r="C97" s="66"/>
      <x:c r="D97" s="66"/>
      <x:c r="E97" s="66"/>
      <x:c r="F97" s="66"/>
      <x:c r="G97" s="66"/>
      <x:c r="H97" s="66"/>
      <x:c r="I97" s="66"/>
      <x:c r="J97" s="66"/>
      <x:c r="K97" s="66"/>
      <x:c r="L97" s="66"/>
      <x:c r="M97" s="66"/>
      <x:c r="N97" s="66"/>
      <x:c r="O97" s="66"/>
      <x:c r="P97" s="66"/>
      <x:c r="Q97" s="66"/>
    </x:row>
    <x:row r="98">
      <x:c r="A98" s="66"/>
      <x:c r="B98" s="66"/>
      <x:c r="C98" s="66"/>
      <x:c r="D98" s="66"/>
      <x:c r="E98" s="66"/>
      <x:c r="F98" s="66"/>
      <x:c r="G98" s="66"/>
      <x:c r="H98" s="66"/>
      <x:c r="I98" s="66"/>
      <x:c r="J98" s="66"/>
      <x:c r="K98" s="66"/>
      <x:c r="L98" s="66"/>
      <x:c r="M98" s="66"/>
      <x:c r="N98" s="66"/>
      <x:c r="O98" s="66"/>
      <x:c r="P98" s="66"/>
      <x:c r="Q98" s="66"/>
    </x:row>
    <x:row r="99">
      <x:c r="A99" s="66"/>
      <x:c r="B99" s="66"/>
      <x:c r="C99" s="66"/>
      <x:c r="D99" s="66"/>
      <x:c r="E99" s="66"/>
      <x:c r="F99" s="66"/>
      <x:c r="G99" s="66"/>
      <x:c r="H99" s="66"/>
      <x:c r="I99" s="66"/>
      <x:c r="J99" s="66"/>
      <x:c r="K99" s="66"/>
      <x:c r="L99" s="66"/>
      <x:c r="M99" s="66"/>
      <x:c r="N99" s="66"/>
      <x:c r="O99" s="66"/>
      <x:c r="P99" s="66"/>
      <x:c r="Q99" s="66"/>
    </x:row>
    <x:row r="100">
      <x:c r="A100" s="66"/>
      <x:c r="B100" s="66"/>
      <x:c r="C100" s="66"/>
      <x:c r="D100" s="66"/>
      <x:c r="E100" s="66"/>
      <x:c r="F100" s="66"/>
      <x:c r="G100" s="66"/>
      <x:c r="H100" s="66"/>
      <x:c r="I100" s="66"/>
      <x:c r="J100" s="66"/>
      <x:c r="K100" s="66"/>
      <x:c r="L100" s="66"/>
      <x:c r="M100" s="66"/>
      <x:c r="N100" s="66"/>
      <x:c r="O100" s="66"/>
      <x:c r="P100" s="66"/>
      <x:c r="Q100" s="66"/>
    </x:row>
  </x:sheetData>
  <x:dataValidations count="6">
    <x:dataValidation type="list" sqref="I7:I86">
      <x:formula1>"정합,보정 필요,판독불가"</x:formula1>
    </x:dataValidation>
    <x:dataValidation type="list" sqref="J7:K86">
      <x:formula1>"있음,없음,판독불가"</x:formula1>
    </x:dataValidation>
    <x:dataValidation type="list" sqref="L7:L86">
      <x:formula1>"없음,고정,임시,공사,판독불가"</x:formula1>
    </x:dataValidation>
    <x:dataValidation type="list" sqref="M7:M86">
      <x:formula1>"충분,일부,판독불가"</x:formula1>
    </x:dataValidation>
    <x:dataValidation type="list" sqref="N7:N86">
      <x:formula1>"통과 가능 후보,물리 제약 후보,판독불가"</x:formula1>
    </x:dataValidation>
    <x:dataValidation type="list" sqref="O7:O86">
      <x:formula1>"안내 양호 후보,안내 위험 후보,판독불가"</x:formula1>
    </x:dataValidation>
  </x:dataValidation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Pr>
    <x:tabColor rgb="FFF5B942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4" hidden="0" customWidth="1"/>
    <x:col min="2" max="2" width="11" hidden="0" customWidth="1"/>
    <x:col min="3" max="3" width="9" hidden="0" customWidth="1"/>
    <x:col min="4" max="4" width="16" hidden="0" customWidth="1"/>
    <x:col min="5" max="5" width="16" hidden="0" customWidth="1"/>
    <x:col min="6" max="6" width="13" hidden="0" customWidth="1"/>
    <x:col min="7" max="7" width="13" hidden="0" customWidth="1"/>
    <x:col min="8" max="8" width="14" hidden="0" customWidth="1"/>
    <x:col min="9" max="9" width="15" hidden="0" customWidth="1"/>
    <x:col min="10" max="10" width="17" hidden="0" customWidth="1"/>
    <x:col min="11" max="11" width="14" hidden="0" customWidth="1"/>
    <x:col min="12" max="12" width="14" hidden="0" customWidth="1"/>
    <x:col min="13" max="13" width="13" hidden="0" customWidth="1"/>
    <x:col min="14" max="14" width="22" hidden="0" customWidth="1"/>
    <x:col min="15" max="15" width="22" hidden="0" customWidth="1"/>
    <x:col min="16" max="16" width="46" hidden="0" customWidth="1"/>
    <x:col min="17" max="17" width="22" hidden="0" customWidth="1"/>
  </x:cols>
  <x:sheetData>
    <x:row r="1">
      <x:c r="A1" s="66"/>
      <x:c r="B1" s="66"/>
      <x:c r="C1" s="66"/>
      <x:c r="D1" s="66"/>
      <x:c r="E1" s="66"/>
      <x:c r="F1" s="66"/>
      <x:c r="G1" s="66"/>
      <x:c r="H1" s="66"/>
      <x:c r="I1" s="66"/>
      <x:c r="J1" s="66"/>
      <x:c r="K1" s="66"/>
      <x:c r="L1" s="66"/>
      <x:c r="M1" s="66"/>
      <x:c r="N1" s="66"/>
      <x:c r="O1" s="66"/>
      <x:c r="P1" s="66"/>
      <x:c r="Q1" s="66"/>
    </x:row>
    <x:row r="2" ht="28" customHeight="1">
      <x:c r="A2" s="131" t="str">
        <x:v>2차 독립 검수 배포용</x:v>
      </x:c>
      <x:c r="B2" s="131"/>
      <x:c r="C2" s="131"/>
      <x:c r="D2" s="131"/>
      <x:c r="E2" s="131"/>
      <x:c r="F2" s="131"/>
      <x:c r="G2" s="131"/>
      <x:c r="H2" s="131"/>
      <x:c r="I2" s="131"/>
      <x:c r="J2" s="131"/>
      <x:c r="K2" s="131"/>
      <x:c r="L2" s="131"/>
      <x:c r="M2" s="131"/>
      <x:c r="N2" s="131"/>
      <x:c r="O2" s="131"/>
      <x:c r="P2" s="131"/>
      <x:c r="Q2" s="131"/>
    </x:row>
    <x:row r="3" ht="22" customHeight="1">
      <x:c r="A3" s="132" t="str">
        <x:v>AI 판정·다른 검수자 결과를 포함하지 않습니다. 이 시트만 별도 파일로 복사해 배포하세요.</x:v>
      </x:c>
      <x:c r="B3" s="132"/>
      <x:c r="C3" s="132"/>
      <x:c r="D3" s="132"/>
      <x:c r="E3" s="132"/>
      <x:c r="F3" s="132"/>
      <x:c r="G3" s="132"/>
      <x:c r="H3" s="132"/>
      <x:c r="I3" s="132"/>
      <x:c r="J3" s="132"/>
      <x:c r="K3" s="132"/>
      <x:c r="L3" s="132"/>
      <x:c r="M3" s="132"/>
      <x:c r="N3" s="132"/>
      <x:c r="O3" s="132"/>
      <x:c r="P3" s="132"/>
      <x:c r="Q3" s="132"/>
    </x:row>
    <x:row r="4">
      <x:c r="A4" s="115"/>
      <x:c r="B4" s="115"/>
      <x:c r="C4" s="115"/>
      <x:c r="D4" s="115"/>
      <x:c r="E4" s="115"/>
      <x:c r="F4" s="115"/>
      <x:c r="G4" s="115"/>
      <x:c r="H4" s="115"/>
      <x:c r="I4" s="115"/>
      <x:c r="J4" s="115"/>
      <x:c r="K4" s="115"/>
      <x:c r="L4" s="115"/>
      <x:c r="M4" s="115"/>
      <x:c r="N4" s="115"/>
      <x:c r="O4" s="115"/>
      <x:c r="P4" s="115"/>
      <x:c r="Q4" s="115"/>
    </x:row>
    <x:row r="5">
      <x:c r="A5" s="132" t="str">
        <x:v>판정 원칙: 위치가 맞는지 먼저 확인 → 관찰 속성 입력 → 휠체어/시각장애 후보를 별도로 판정 → 보이지 않으면 판독불가</x:v>
      </x:c>
      <x:c r="B5" s="132"/>
      <x:c r="C5" s="132"/>
      <x:c r="D5" s="132"/>
      <x:c r="E5" s="132"/>
      <x:c r="F5" s="132"/>
      <x:c r="G5" s="132"/>
      <x:c r="H5" s="132"/>
      <x:c r="I5" s="132"/>
      <x:c r="J5" s="132"/>
      <x:c r="K5" s="132"/>
      <x:c r="L5" s="132"/>
      <x:c r="M5" s="132"/>
      <x:c r="N5" s="132"/>
      <x:c r="O5" s="132"/>
      <x:c r="P5" s="132"/>
      <x:c r="Q5" s="132"/>
    </x:row>
    <x:row r="6" ht="32" customHeight="1">
      <x:c r="A6" s="197" t="str">
        <x:v>접근부 ID</x:v>
      </x:c>
      <x:c r="B6" s="198" t="str">
        <x:v>표본 ID</x:v>
      </x:c>
      <x:c r="C6" s="198" t="str">
        <x:v>측면</x:v>
      </x:c>
      <x:c r="D6" s="198" t="str">
        <x:v>위도</x:v>
      </x:c>
      <x:c r="E6" s="198" t="str">
        <x:v>경도</x:v>
      </x:c>
      <x:c r="F6" s="198" t="str">
        <x:v>카카오 보기</x:v>
      </x:c>
      <x:c r="G6" s="198" t="str">
        <x:v>네이버 보기</x:v>
      </x:c>
      <x:c r="H6" s="198" t="str">
        <x:v>영상 촬영일</x:v>
      </x:c>
      <x:c r="I6" s="198" t="str">
        <x:v>위치 확인</x:v>
      </x:c>
      <x:c r="J6" s="198" t="str">
        <x:v>보도턱낮춤</x:v>
      </x:c>
      <x:c r="K6" s="198" t="str">
        <x:v>점자블록</x:v>
      </x:c>
      <x:c r="L6" s="198" t="str">
        <x:v>장애물</x:v>
      </x:c>
      <x:c r="M6" s="198" t="str">
        <x:v>가시성</x:v>
      </x:c>
      <x:c r="N6" s="198" t="str">
        <x:v>휠체어 후보</x:v>
      </x:c>
      <x:c r="O6" s="198" t="str">
        <x:v>시각장애 후보</x:v>
      </x:c>
      <x:c r="P6" s="198" t="str">
        <x:v>메모</x:v>
      </x:c>
      <x:c r="Q6" s="199" t="str">
        <x:v>검수자/검수일</x:v>
      </x:c>
    </x:row>
    <x:row r="7" ht="34" customHeight="1">
      <x:c r="A7" s="67" t="str">
        <x:v>CW01-A</x:v>
      </x:c>
      <x:c r="B7" s="67" t="str">
        <x:v>CW01</x:v>
      </x:c>
      <x:c r="C7" s="67" t="str">
        <x:v>A</x:v>
      </x:c>
      <x:c r="D7" s="235" t="n">
        <x:v>37.40240149538004</x:v>
      </x:c>
      <x:c r="E7" s="235" t="n">
        <x:v>126.92264614190194</x:v>
      </x:c>
      <x:c r="F7" s="105" t="e">
        <x:f>HYPERLINK("https://map.kakao.com/?panoid=1202971200&amp;pan=327.8&amp;zoom=0&amp;map_type=TYPE_MAP&amp;map_attribute=ROADVIEW&amp;urlX=482904.0&amp;urlY=1084204.0","카카오")</x:f>
        <x:v>HYPERLINK is not implemented. linkLocation=https://map.kakao.com/?panoid=1202971200&amp;pan=327.8&amp;zoom=0&amp;map_type=TYPE_MAP&amp;map_attribute=ROADVIEW&amp;urlX=482904.0&amp;urlY=1084204.0, friendlyName=카카오</x:v>
      </x:c>
      <x:c r="G7" s="105" t="e">
        <x:f>HYPERLINK("https://map.naver.com/p/entry/coordinates/3zfl93,2AFa5V?c=15.00,0,0,0,dh","네이버")</x:f>
        <x:v>HYPERLINK is not implemented. linkLocation=https://map.naver.com/p/entry/coordinates/3zfl93,2AFa5V?c=15.00,0,0,0,dh, friendlyName=네이버</x:v>
      </x:c>
      <x:c r="H7" s="238" t="str">
        <x:v>2025-11-17 14:28:24</x:v>
      </x:c>
      <x:c r="I7" s="233"/>
      <x:c r="J7" s="233"/>
      <x:c r="K7" s="233"/>
      <x:c r="L7" s="233"/>
      <x:c r="M7" s="233"/>
      <x:c r="N7" s="233"/>
      <x:c r="O7" s="233"/>
      <x:c r="P7" s="233"/>
      <x:c r="Q7" s="233"/>
    </x:row>
    <x:row r="8" ht="34" customHeight="1">
      <x:c r="A8" s="67" t="str">
        <x:v>CW01-B</x:v>
      </x:c>
      <x:c r="B8" s="67" t="str">
        <x:v>CW01</x:v>
      </x:c>
      <x:c r="C8" s="67" t="str">
        <x:v>B</x:v>
      </x:c>
      <x:c r="D8" s="235" t="n">
        <x:v>37.40244836461997</x:v>
      </x:c>
      <x:c r="E8" s="235" t="n">
        <x:v>126.92273045809807</x:v>
      </x:c>
      <x:c r="F8" s="105" t="e">
        <x:f>HYPERLINK("https://map.kakao.com/?panoid=1202971200&amp;pan=327.8&amp;zoom=0&amp;map_type=TYPE_MAP&amp;map_attribute=ROADVIEW&amp;urlX=482904.0&amp;urlY=1084204.0","카카오")</x:f>
        <x:v>HYPERLINK is not implemented. linkLocation=https://map.kakao.com/?panoid=1202971200&amp;pan=327.8&amp;zoom=0&amp;map_type=TYPE_MAP&amp;map_attribute=ROADVIEW&amp;urlX=482904.0&amp;urlY=1084204.0, friendlyName=카카오</x:v>
      </x:c>
      <x:c r="G8" s="105" t="e">
        <x:f>HYPERLINK("https://map.naver.com/p/entry/coordinates/3zflmF,2AFadu?c=15.00,0,0,0,dh","네이버")</x:f>
        <x:v>HYPERLINK is not implemented. linkLocation=https://map.naver.com/p/entry/coordinates/3zflmF,2AFadu?c=15.00,0,0,0,dh, friendlyName=네이버</x:v>
      </x:c>
      <x:c r="H8" s="238" t="str">
        <x:v>2025-11-17 14:28:24</x:v>
      </x:c>
      <x:c r="I8" s="233"/>
      <x:c r="J8" s="233"/>
      <x:c r="K8" s="233"/>
      <x:c r="L8" s="233"/>
      <x:c r="M8" s="233"/>
      <x:c r="N8" s="233"/>
      <x:c r="O8" s="233"/>
      <x:c r="P8" s="233"/>
      <x:c r="Q8" s="233"/>
    </x:row>
    <x:row r="9" ht="34" customHeight="1">
      <x:c r="A9" s="67" t="str">
        <x:v>CW03-A</x:v>
      </x:c>
      <x:c r="B9" s="67" t="str">
        <x:v>CW03</x:v>
      </x:c>
      <x:c r="C9" s="67" t="str">
        <x:v>A</x:v>
      </x:c>
      <x:c r="D9" s="235" t="n">
        <x:v>37.40300229204492</x:v>
      </x:c>
      <x:c r="E9" s="235" t="n">
        <x:v>126.92225900640435</x:v>
      </x:c>
      <x:c r="F9" s="105" t="e">
        <x:f>HYPERLINK("https://map.kakao.com/?panoid=1202971207&amp;pan=327.3&amp;zoom=0&amp;map_type=TYPE_MAP&amp;map_attribute=ROADVIEW&amp;urlX=482811.0&amp;urlY=1084352.0","카카오")</x:f>
        <x:v>HYPERLINK is not implemented. linkLocation=https://map.kakao.com/?panoid=1202971207&amp;pan=327.3&amp;zoom=0&amp;map_type=TYPE_MAP&amp;map_attribute=ROADVIEW&amp;urlX=482811.0&amp;urlY=1084352.0, friendlyName=카카오</x:v>
      </x:c>
      <x:c r="G9" s="105" t="e">
        <x:f>HYPERLINK("https://map.naver.com/p/entry/coordinates/3zfk8C,2AFbEP?c=15.00,0,0,0,dh","네이버")</x:f>
        <x:v>HYPERLINK is not implemented. linkLocation=https://map.naver.com/p/entry/coordinates/3zfk8C,2AFbEP?c=15.00,0,0,0,dh, friendlyName=네이버</x:v>
      </x:c>
      <x:c r="H9" s="238" t="str">
        <x:v>2025-11-17 14:28:34</x:v>
      </x:c>
      <x:c r="I9" s="233"/>
      <x:c r="J9" s="233"/>
      <x:c r="K9" s="233"/>
      <x:c r="L9" s="233"/>
      <x:c r="M9" s="233"/>
      <x:c r="N9" s="233"/>
      <x:c r="O9" s="233"/>
      <x:c r="P9" s="233"/>
      <x:c r="Q9" s="233"/>
    </x:row>
    <x:row r="10" ht="34" customHeight="1">
      <x:c r="A10" s="67" t="str">
        <x:v>CW03-B</x:v>
      </x:c>
      <x:c r="B10" s="67" t="str">
        <x:v>CW03</x:v>
      </x:c>
      <x:c r="C10" s="67" t="str">
        <x:v>B</x:v>
      </x:c>
      <x:c r="D10" s="235" t="n">
        <x:v>37.40303852795509</x:v>
      </x:c>
      <x:c r="E10" s="235" t="n">
        <x:v>126.92232419359563</x:v>
      </x:c>
      <x:c r="F10" s="105" t="e">
        <x:f>HYPERLINK("https://map.kakao.com/?panoid=1202971207&amp;pan=327.3&amp;zoom=0&amp;map_type=TYPE_MAP&amp;map_attribute=ROADVIEW&amp;urlX=482811.0&amp;urlY=1084352.0","카카오")</x:f>
        <x:v>HYPERLINK is not implemented. linkLocation=https://map.kakao.com/?panoid=1202971207&amp;pan=327.3&amp;zoom=0&amp;map_type=TYPE_MAP&amp;map_attribute=ROADVIEW&amp;urlX=482811.0&amp;urlY=1084352.0, friendlyName=카카오</x:v>
      </x:c>
      <x:c r="G10" s="105" t="e">
        <x:f>HYPERLINK("https://map.naver.com/p/entry/coordinates/3zfkj8,2AFbKF?c=15.00,0,0,0,dh","네이버")</x:f>
        <x:v>HYPERLINK is not implemented. linkLocation=https://map.naver.com/p/entry/coordinates/3zfkj8,2AFbKF?c=15.00,0,0,0,dh, friendlyName=네이버</x:v>
      </x:c>
      <x:c r="H10" s="238" t="str">
        <x:v>2025-11-17 14:28:34</x:v>
      </x:c>
      <x:c r="I10" s="233"/>
      <x:c r="J10" s="233"/>
      <x:c r="K10" s="233"/>
      <x:c r="L10" s="233"/>
      <x:c r="M10" s="233"/>
      <x:c r="N10" s="233"/>
      <x:c r="O10" s="233"/>
      <x:c r="P10" s="233"/>
      <x:c r="Q10" s="233"/>
    </x:row>
    <x:row r="11" ht="34" customHeight="1">
      <x:c r="A11" s="67" t="str">
        <x:v>CW05-A</x:v>
      </x:c>
      <x:c r="B11" s="67" t="str">
        <x:v>CW05</x:v>
      </x:c>
      <x:c r="C11" s="67" t="str">
        <x:v>A</x:v>
      </x:c>
      <x:c r="D11" s="235" t="n">
        <x:v>37.40215763504363</x:v>
      </x:c>
      <x:c r="E11" s="235" t="n">
        <x:v>126.92291684588432</x:v>
      </x:c>
      <x:c r="F11" s="105" t="e">
        <x:f>HYPERLINK("https://map.kakao.com/?panoid=1202971196&amp;pan=327.5&amp;zoom=0&amp;map_type=TYPE_MAP&amp;map_attribute=ROADVIEW&amp;urlX=482957.0&amp;urlY=1084120.0","카카오")</x:f>
        <x:v>HYPERLINK is not implemented. linkLocation=https://map.kakao.com/?panoid=1202971196&amp;pan=327.5&amp;zoom=0&amp;map_type=TYPE_MAP&amp;map_attribute=ROADVIEW&amp;urlX=482957.0&amp;urlY=1084120.0, friendlyName=카카오</x:v>
      </x:c>
      <x:c r="G11" s="105" t="e">
        <x:f>HYPERLINK("https://map.naver.com/p/entry/coordinates/3zflQI,2AF9sA?c=15.00,0,0,0,dh","네이버")</x:f>
        <x:v>HYPERLINK is not implemented. linkLocation=https://map.naver.com/p/entry/coordinates/3zflQI,2AF9sA?c=15.00,0,0,0,dh, friendlyName=네이버</x:v>
      </x:c>
      <x:c r="H11" s="238" t="str">
        <x:v>2025-11-17 14:28:18</x:v>
      </x:c>
      <x:c r="I11" s="233"/>
      <x:c r="J11" s="233"/>
      <x:c r="K11" s="233"/>
      <x:c r="L11" s="233"/>
      <x:c r="M11" s="233"/>
      <x:c r="N11" s="233"/>
      <x:c r="O11" s="233"/>
      <x:c r="P11" s="233"/>
      <x:c r="Q11" s="233"/>
    </x:row>
    <x:row r="12" ht="34" customHeight="1">
      <x:c r="A12" s="67" t="str">
        <x:v>CW05-B</x:v>
      </x:c>
      <x:c r="B12" s="67" t="str">
        <x:v>CW05</x:v>
      </x:c>
      <x:c r="C12" s="67" t="str">
        <x:v>B</x:v>
      </x:c>
      <x:c r="D12" s="235" t="n">
        <x:v>37.40219794495638</x:v>
      </x:c>
      <x:c r="E12" s="235" t="n">
        <x:v>126.92299535411566</x:v>
      </x:c>
      <x:c r="F12" s="105" t="e">
        <x:f>HYPERLINK("https://map.kakao.com/?panoid=1202971196&amp;pan=327.5&amp;zoom=0&amp;map_type=TYPE_MAP&amp;map_attribute=ROADVIEW&amp;urlX=482957.0&amp;urlY=1084120.0","카카오")</x:f>
        <x:v>HYPERLINK is not implemented. linkLocation=https://map.kakao.com/?panoid=1202971196&amp;pan=327.5&amp;zoom=0&amp;map_type=TYPE_MAP&amp;map_attribute=ROADVIEW&amp;urlX=482957.0&amp;urlY=1084120.0, friendlyName=카카오</x:v>
      </x:c>
      <x:c r="G12" s="105" t="e">
        <x:f>HYPERLINK("https://map.naver.com/p/entry/coordinates/3zfm3o,2AF9z5?c=15.00,0,0,0,dh","네이버")</x:f>
        <x:v>HYPERLINK is not implemented. linkLocation=https://map.naver.com/p/entry/coordinates/3zfm3o,2AF9z5?c=15.00,0,0,0,dh, friendlyName=네이버</x:v>
      </x:c>
      <x:c r="H12" s="238" t="str">
        <x:v>2025-11-17 14:28:18</x:v>
      </x:c>
      <x:c r="I12" s="233"/>
      <x:c r="J12" s="233"/>
      <x:c r="K12" s="233"/>
      <x:c r="L12" s="233"/>
      <x:c r="M12" s="233"/>
      <x:c r="N12" s="233"/>
      <x:c r="O12" s="233"/>
      <x:c r="P12" s="233"/>
      <x:c r="Q12" s="233"/>
    </x:row>
    <x:row r="13" ht="34" customHeight="1">
      <x:c r="A13" s="67" t="str">
        <x:v>CW07-A</x:v>
      </x:c>
      <x:c r="B13" s="67" t="str">
        <x:v>CW07</x:v>
      </x:c>
      <x:c r="C13" s="67" t="str">
        <x:v>A</x:v>
      </x:c>
      <x:c r="D13" s="235" t="n">
        <x:v>37.40172334566271</x:v>
      </x:c>
      <x:c r="E13" s="235" t="n">
        <x:v>126.92173024130342</x:v>
      </x:c>
      <x:c r="F13" s="105" t="e">
        <x:f>HYPERLINK("https://map.kakao.com/?panoid=1203476201&amp;pan=325.8&amp;zoom=0&amp;map_type=TYPE_MAP&amp;map_attribute=ROADVIEW&amp;urlX=482700.0&amp;urlY=1084002.0","카카오")</x:f>
        <x:v>HYPERLINK is not implemented. linkLocation=https://map.kakao.com/?panoid=1203476201&amp;pan=325.8&amp;zoom=0&amp;map_type=TYPE_MAP&amp;map_attribute=ROADVIEW&amp;urlX=482700.0&amp;urlY=1084002.0, friendlyName=카카오</x:v>
      </x:c>
      <x:c r="G13" s="105" t="e">
        <x:f>HYPERLINK("https://map.naver.com/p/entry/coordinates/3zfiLk,2AF8kx?c=15.00,0,0,0,dh","네이버")</x:f>
        <x:v>HYPERLINK is not implemented. linkLocation=https://map.naver.com/p/entry/coordinates/3zfiLk,2AF8kx?c=15.00,0,0,0,dh, friendlyName=네이버</x:v>
      </x:c>
      <x:c r="H13" s="238" t="str">
        <x:v>2025-12-01 13:09:25</x:v>
      </x:c>
      <x:c r="I13" s="233"/>
      <x:c r="J13" s="233"/>
      <x:c r="K13" s="233"/>
      <x:c r="L13" s="233"/>
      <x:c r="M13" s="233"/>
      <x:c r="N13" s="233"/>
      <x:c r="O13" s="233"/>
      <x:c r="P13" s="233"/>
      <x:c r="Q13" s="233"/>
    </x:row>
    <x:row r="14" ht="34" customHeight="1">
      <x:c r="A14" s="67" t="str">
        <x:v>CW07-B</x:v>
      </x:c>
      <x:c r="B14" s="67" t="str">
        <x:v>CW07</x:v>
      </x:c>
      <x:c r="C14" s="67" t="str">
        <x:v>B</x:v>
      </x:c>
      <x:c r="D14" s="235" t="n">
        <x:v>37.4017507743373</x:v>
      </x:c>
      <x:c r="E14" s="235" t="n">
        <x:v>126.9217985586966</x:v>
      </x:c>
      <x:c r="F14" s="105" t="e">
        <x:f>HYPERLINK("https://map.kakao.com/?panoid=1203476201&amp;pan=325.8&amp;zoom=0&amp;map_type=TYPE_MAP&amp;map_attribute=ROADVIEW&amp;urlX=482700.0&amp;urlY=1084002.0","카카오")</x:f>
        <x:v>HYPERLINK is not implemented. linkLocation=https://map.kakao.com/?panoid=1203476201&amp;pan=325.8&amp;zoom=0&amp;map_type=TYPE_MAP&amp;map_attribute=ROADVIEW&amp;urlX=482700.0&amp;urlY=1084002.0, friendlyName=카카오</x:v>
      </x:c>
      <x:c r="G14" s="105" t="e">
        <x:f>HYPERLINK("https://map.naver.com/p/entry/coordinates/3zfiWm,2AF8oY?c=15.00,0,0,0,dh","네이버")</x:f>
        <x:v>HYPERLINK is not implemented. linkLocation=https://map.naver.com/p/entry/coordinates/3zfiWm,2AF8oY?c=15.00,0,0,0,dh, friendlyName=네이버</x:v>
      </x:c>
      <x:c r="H14" s="238" t="str">
        <x:v>2025-12-01 13:09:25</x:v>
      </x:c>
      <x:c r="I14" s="233"/>
      <x:c r="J14" s="233"/>
      <x:c r="K14" s="233"/>
      <x:c r="L14" s="233"/>
      <x:c r="M14" s="233"/>
      <x:c r="N14" s="233"/>
      <x:c r="O14" s="233"/>
      <x:c r="P14" s="233"/>
      <x:c r="Q14" s="233"/>
    </x:row>
    <x:row r="15" ht="34" customHeight="1">
      <x:c r="A15" s="67" t="str">
        <x:v>CW09-A</x:v>
      </x:c>
      <x:c r="B15" s="67" t="str">
        <x:v>CW09</x:v>
      </x:c>
      <x:c r="C15" s="67" t="str">
        <x:v>A</x:v>
      </x:c>
      <x:c r="D15" s="235" t="n">
        <x:v>37.4012455863223</x:v>
      </x:c>
      <x:c r="E15" s="235" t="n">
        <x:v>126.92224733040224</x:v>
      </x:c>
      <x:c r="F15" s="105" t="e">
        <x:f>HYPERLINK("https://map.kakao.com/?panoid=1202871501&amp;pan=287.0&amp;zoom=0&amp;map_type=TYPE_MAP&amp;map_attribute=ROADVIEW&amp;urlX=482792.0&amp;urlY=1083853.0","카카오")</x:f>
        <x:v>HYPERLINK is not implemented. linkLocation=https://map.kakao.com/?panoid=1202871501&amp;pan=287.0&amp;zoom=0&amp;map_type=TYPE_MAP&amp;map_attribute=ROADVIEW&amp;urlX=482792.0&amp;urlY=1083853.0, friendlyName=카카오</x:v>
      </x:c>
      <x:c r="G15" s="105" t="e">
        <x:f>HYPERLINK("https://map.naver.com/p/entry/coordinates/3zfk6J,2AF75u?c=15.00,0,0,0,dh","네이버")</x:f>
        <x:v>HYPERLINK is not implemented. linkLocation=https://map.naver.com/p/entry/coordinates/3zfk6J,2AF75u?c=15.00,0,0,0,dh, friendlyName=네이버</x:v>
      </x:c>
      <x:c r="H15" s="238" t="str">
        <x:v>2025-11-18 11:48:15</x:v>
      </x:c>
      <x:c r="I15" s="233"/>
      <x:c r="J15" s="233"/>
      <x:c r="K15" s="233"/>
      <x:c r="L15" s="233"/>
      <x:c r="M15" s="233"/>
      <x:c r="N15" s="233"/>
      <x:c r="O15" s="233"/>
      <x:c r="P15" s="233"/>
      <x:c r="Q15" s="233"/>
    </x:row>
    <x:row r="16" ht="34" customHeight="1">
      <x:c r="A16" s="67" t="str">
        <x:v>CW09-B</x:v>
      </x:c>
      <x:c r="B16" s="67" t="str">
        <x:v>CW09</x:v>
      </x:c>
      <x:c r="C16" s="67" t="str">
        <x:v>B</x:v>
      </x:c>
      <x:c r="D16" s="235" t="n">
        <x:v>37.40129217367772</x:v>
      </x:c>
      <x:c r="E16" s="235" t="n">
        <x:v>126.92232506959778</x:v>
      </x:c>
      <x:c r="F16" s="105" t="e">
        <x:f>HYPERLINK("https://map.kakao.com/?panoid=1203476172&amp;pan=320.5&amp;zoom=0&amp;map_type=TYPE_MAP&amp;map_attribute=ROADVIEW&amp;urlX=482806.0&amp;urlY=1083863.0","카카오")</x:f>
        <x:v>HYPERLINK is not implemented. linkLocation=https://map.kakao.com/?panoid=1203476172&amp;pan=320.5&amp;zoom=0&amp;map_type=TYPE_MAP&amp;map_attribute=ROADVIEW&amp;urlX=482806.0&amp;urlY=1083863.0, friendlyName=카카오</x:v>
      </x:c>
      <x:c r="G16" s="105" t="e">
        <x:f>HYPERLINK("https://map.naver.com/p/entry/coordinates/3zfkjh,2AF7d0?c=15.00,0,0,0,dh","네이버")</x:f>
        <x:v>HYPERLINK is not implemented. linkLocation=https://map.naver.com/p/entry/coordinates/3zfkjh,2AF7d0?c=15.00,0,0,0,dh, friendlyName=네이버</x:v>
      </x:c>
      <x:c r="H16" s="238" t="str">
        <x:v>2025-12-01 13:09:18</x:v>
      </x:c>
      <x:c r="I16" s="233"/>
      <x:c r="J16" s="233"/>
      <x:c r="K16" s="233"/>
      <x:c r="L16" s="233"/>
      <x:c r="M16" s="233"/>
      <x:c r="N16" s="233"/>
      <x:c r="O16" s="233"/>
      <x:c r="P16" s="233"/>
      <x:c r="Q16" s="233"/>
    </x:row>
    <x:row r="17" ht="34" customHeight="1">
      <x:c r="A17" s="67" t="str">
        <x:v>CW12-A</x:v>
      </x:c>
      <x:c r="B17" s="67" t="str">
        <x:v>CW12</x:v>
      </x:c>
      <x:c r="C17" s="67" t="str">
        <x:v>A</x:v>
      </x:c>
      <x:c r="D17" s="235" t="n">
        <x:v>37.40099326142671</x:v>
      </x:c>
      <x:c r="E17" s="235" t="n">
        <x:v>126.92264523773848</x:v>
      </x:c>
      <x:c r="F17" s="105" t="e">
        <x:f>HYPERLINK("https://map.kakao.com/?panoid=1202874755&amp;pan=320.5&amp;zoom=0&amp;map_type=TYPE_MAP&amp;map_attribute=ROADVIEW&amp;urlX=482856.0&amp;urlY=1083789.0","카카오")</x:f>
        <x:v>HYPERLINK is not implemented. linkLocation=https://map.kakao.com/?panoid=1202874755&amp;pan=320.5&amp;zoom=0&amp;map_type=TYPE_MAP&amp;map_attribute=ROADVIEW&amp;urlX=482856.0&amp;urlY=1083789.0, friendlyName=카카오</x:v>
      </x:c>
      <x:c r="G17" s="105" t="e">
        <x:f>HYPERLINK("https://map.naver.com/p/entry/coordinates/3zfl8U,2AF6qN?c=15.00,0,0,0,dh","네이버")</x:f>
        <x:v>HYPERLINK is not implemented. linkLocation=https://map.naver.com/p/entry/coordinates/3zfl8U,2AF6qN?c=15.00,0,0,0,dh, friendlyName=네이버</x:v>
      </x:c>
      <x:c r="H17" s="238" t="str">
        <x:v>2025-11-18 14:46:16</x:v>
      </x:c>
      <x:c r="I17" s="233"/>
      <x:c r="J17" s="233"/>
      <x:c r="K17" s="233"/>
      <x:c r="L17" s="233"/>
      <x:c r="M17" s="233"/>
      <x:c r="N17" s="233"/>
      <x:c r="O17" s="233"/>
      <x:c r="P17" s="233"/>
      <x:c r="Q17" s="233"/>
    </x:row>
    <x:row r="18" ht="34" customHeight="1">
      <x:c r="A18" s="67" t="str">
        <x:v>CW12-B</x:v>
      </x:c>
      <x:c r="B18" s="67" t="str">
        <x:v>CW12</x:v>
      </x:c>
      <x:c r="C18" s="67" t="str">
        <x:v>B</x:v>
      </x:c>
      <x:c r="D18" s="235" t="n">
        <x:v>37.401011598573284</x:v>
      </x:c>
      <x:c r="E18" s="235" t="n">
        <x:v>126.92267596226152</x:v>
      </x:c>
      <x:c r="F18" s="105" t="e">
        <x:f>HYPERLINK("https://map.kakao.com/?panoid=1202874755&amp;pan=320.5&amp;zoom=0&amp;map_type=TYPE_MAP&amp;map_attribute=ROADVIEW&amp;urlX=482856.0&amp;urlY=1083789.0","카카오")</x:f>
        <x:v>HYPERLINK is not implemented. linkLocation=https://map.kakao.com/?panoid=1202874755&amp;pan=320.5&amp;zoom=0&amp;map_type=TYPE_MAP&amp;map_attribute=ROADVIEW&amp;urlX=482856.0&amp;urlY=1083789.0, friendlyName=카카오</x:v>
      </x:c>
      <x:c r="G18" s="105" t="e">
        <x:f>HYPERLINK("https://map.naver.com/p/entry/coordinates/3zfldS,2AF6tK?c=15.00,0,0,0,dh","네이버")</x:f>
        <x:v>HYPERLINK is not implemented. linkLocation=https://map.naver.com/p/entry/coordinates/3zfldS,2AF6tK?c=15.00,0,0,0,dh, friendlyName=네이버</x:v>
      </x:c>
      <x:c r="H18" s="238" t="str">
        <x:v>2025-11-18 14:46:16</x:v>
      </x:c>
      <x:c r="I18" s="233"/>
      <x:c r="J18" s="233"/>
      <x:c r="K18" s="233"/>
      <x:c r="L18" s="233"/>
      <x:c r="M18" s="233"/>
      <x:c r="N18" s="233"/>
      <x:c r="O18" s="233"/>
      <x:c r="P18" s="233"/>
      <x:c r="Q18" s="233"/>
    </x:row>
    <x:row r="19" ht="34" customHeight="1">
      <x:c r="A19" s="67" t="str">
        <x:v>CW14-A</x:v>
      </x:c>
      <x:c r="B19" s="67" t="str">
        <x:v>CW14</x:v>
      </x:c>
      <x:c r="C19" s="67" t="str">
        <x:v>A</x:v>
      </x:c>
      <x:c r="D19" s="235" t="n">
        <x:v>37.39951423562795</x:v>
      </x:c>
      <x:c r="E19" s="235" t="n">
        <x:v>126.92380849157105</x:v>
      </x:c>
      <x:c r="F19" s="105" t="e">
        <x:f>HYPERLINK("https://map.kakao.com/?panoid=1202874714&amp;pan=322.6&amp;zoom=0&amp;map_type=TYPE_MAP&amp;map_attribute=ROADVIEW&amp;urlX=483161.0&amp;urlY=1083394.0","카카오")</x:f>
        <x:v>HYPERLINK is not implemented. linkLocation=https://map.kakao.com/?panoid=1202874714&amp;pan=322.6&amp;zoom=0&amp;map_type=TYPE_MAP&amp;map_attribute=ROADVIEW&amp;urlX=483161.0&amp;urlY=1083394.0, friendlyName=카카오</x:v>
      </x:c>
      <x:c r="G19" s="105" t="e">
        <x:f>HYPERLINK("https://map.naver.com/p/entry/coordinates/3zfoax,2AF2Ae?c=15.00,0,0,0,dh","네이버")</x:f>
        <x:v>HYPERLINK is not implemented. linkLocation=https://map.naver.com/p/entry/coordinates/3zfoax,2AF2Ae?c=15.00,0,0,0,dh, friendlyName=네이버</x:v>
      </x:c>
      <x:c r="H19" s="238" t="str">
        <x:v>2025-11-18 14:45:30</x:v>
      </x:c>
      <x:c r="I19" s="233"/>
      <x:c r="J19" s="233"/>
      <x:c r="K19" s="233"/>
      <x:c r="L19" s="233"/>
      <x:c r="M19" s="233"/>
      <x:c r="N19" s="233"/>
      <x:c r="O19" s="233"/>
      <x:c r="P19" s="233"/>
      <x:c r="Q19" s="233"/>
    </x:row>
    <x:row r="20" ht="34" customHeight="1">
      <x:c r="A20" s="67" t="str">
        <x:v>CW14-B</x:v>
      </x:c>
      <x:c r="B20" s="67" t="str">
        <x:v>CW14</x:v>
      </x:c>
      <x:c r="C20" s="67" t="str">
        <x:v>B</x:v>
      </x:c>
      <x:c r="D20" s="235" t="n">
        <x:v>37.399604184372045</x:v>
      </x:c>
      <x:c r="E20" s="235" t="n">
        <x:v>126.92395310842896</x:v>
      </x:c>
      <x:c r="F20" s="105" t="e">
        <x:f>HYPERLINK("https://map.kakao.com/?panoid=1202874714&amp;pan=322.6&amp;zoom=0&amp;map_type=TYPE_MAP&amp;map_attribute=ROADVIEW&amp;urlX=483161.0&amp;urlY=1083394.0","카카오")</x:f>
        <x:v>HYPERLINK is not implemented. linkLocation=https://map.kakao.com/?panoid=1202874714&amp;pan=322.6&amp;zoom=0&amp;map_type=TYPE_MAP&amp;map_attribute=ROADVIEW&amp;urlX=483161.0&amp;urlY=1083394.0, friendlyName=카카오</x:v>
      </x:c>
      <x:c r="G20" s="105" t="e">
        <x:f>HYPERLINK("https://map.naver.com/p/entry/coordinates/3zfoxR,2AF2OK?c=15.00,0,0,0,dh","네이버")</x:f>
        <x:v>HYPERLINK is not implemented. linkLocation=https://map.naver.com/p/entry/coordinates/3zfoxR,2AF2OK?c=15.00,0,0,0,dh, friendlyName=네이버</x:v>
      </x:c>
      <x:c r="H20" s="238" t="str">
        <x:v>2025-11-18 14:45:30</x:v>
      </x:c>
      <x:c r="I20" s="233"/>
      <x:c r="J20" s="233"/>
      <x:c r="K20" s="233"/>
      <x:c r="L20" s="233"/>
      <x:c r="M20" s="233"/>
      <x:c r="N20" s="233"/>
      <x:c r="O20" s="233"/>
      <x:c r="P20" s="233"/>
      <x:c r="Q20" s="233"/>
    </x:row>
    <x:row r="21" ht="34" customHeight="1">
      <x:c r="A21" s="67" t="str">
        <x:v>CW16-A</x:v>
      </x:c>
      <x:c r="B21" s="67" t="str">
        <x:v>CW16</x:v>
      </x:c>
      <x:c r="C21" s="67" t="str">
        <x:v>A</x:v>
      </x:c>
      <x:c r="D21" s="235" t="n">
        <x:v>37.39751862266188</x:v>
      </x:c>
      <x:c r="E21" s="235" t="n">
        <x:v>126.92279839429749</x:v>
      </x:c>
      <x:c r="F21" s="105" t="e">
        <x:f>HYPERLINK("https://map.kakao.com/?panoid=1202873960&amp;pan=57.2&amp;zoom=0&amp;map_type=TYPE_MAP&amp;map_attribute=ROADVIEW&amp;urlX=482904.0&amp;urlY=1082851.0","카카오")</x:f>
        <x:v>HYPERLINK is not implemented. linkLocation=https://map.kakao.com/?panoid=1202873960&amp;pan=57.2&amp;zoom=0&amp;map_type=TYPE_MAP&amp;map_attribute=ROADVIEW&amp;urlX=482904.0&amp;urlY=1082851.0, friendlyName=카카오</x:v>
      </x:c>
      <x:c r="G21" s="105" t="e">
        <x:f>HYPERLINK("https://map.naver.com/p/entry/coordinates/3zflxC,2AEXom?c=15.00,0,0,0,dh","네이버")</x:f>
        <x:v>HYPERLINK is not implemented. linkLocation=https://map.naver.com/p/entry/coordinates/3zflxC,2AEXom?c=15.00,0,0,0,dh, friendlyName=네이버</x:v>
      </x:c>
      <x:c r="H21" s="238" t="str">
        <x:v>2025-11-18 14:18:05</x:v>
      </x:c>
      <x:c r="I21" s="233"/>
      <x:c r="J21" s="233"/>
      <x:c r="K21" s="233"/>
      <x:c r="L21" s="233"/>
      <x:c r="M21" s="233"/>
      <x:c r="N21" s="233"/>
      <x:c r="O21" s="233"/>
      <x:c r="P21" s="233"/>
      <x:c r="Q21" s="233"/>
    </x:row>
    <x:row r="22" ht="34" customHeight="1">
      <x:c r="A22" s="67" t="str">
        <x:v>CW16-B</x:v>
      </x:c>
      <x:c r="B22" s="67" t="str">
        <x:v>CW16</x:v>
      </x:c>
      <x:c r="C22" s="67" t="str">
        <x:v>B</x:v>
      </x:c>
      <x:c r="D22" s="235" t="n">
        <x:v>37.397654297338114</x:v>
      </x:c>
      <x:c r="E22" s="235" t="n">
        <x:v>126.92268200570251</x:v>
      </x:c>
      <x:c r="F22" s="105" t="e">
        <x:f>HYPERLINK("https://map.kakao.com/?panoid=1202873960&amp;pan=57.2&amp;zoom=0&amp;map_type=TYPE_MAP&amp;map_attribute=ROADVIEW&amp;urlX=482904.0&amp;urlY=1082851.0","카카오")</x:f>
        <x:v>HYPERLINK is not implemented. linkLocation=https://map.kakao.com/?panoid=1202873960&amp;pan=57.2&amp;zoom=0&amp;map_type=TYPE_MAP&amp;map_attribute=ROADVIEW&amp;urlX=482904.0&amp;urlY=1082851.0, friendlyName=카카오</x:v>
      </x:c>
      <x:c r="G22" s="105" t="e">
        <x:f>HYPERLINK("https://map.naver.com/p/entry/coordinates/3zfleQ,2AEXKf?c=15.00,0,0,0,dh","네이버")</x:f>
        <x:v>HYPERLINK is not implemented. linkLocation=https://map.naver.com/p/entry/coordinates/3zfleQ,2AEXKf?c=15.00,0,0,0,dh, friendlyName=네이버</x:v>
      </x:c>
      <x:c r="H22" s="238" t="str">
        <x:v>2025-11-18 14:18:05</x:v>
      </x:c>
      <x:c r="I22" s="233"/>
      <x:c r="J22" s="233"/>
      <x:c r="K22" s="233"/>
      <x:c r="L22" s="233"/>
      <x:c r="M22" s="233"/>
      <x:c r="N22" s="233"/>
      <x:c r="O22" s="233"/>
      <x:c r="P22" s="233"/>
      <x:c r="Q22" s="233"/>
    </x:row>
    <x:row r="23" ht="34" customHeight="1">
      <x:c r="A23" s="67" t="str">
        <x:v>CW18-A</x:v>
      </x:c>
      <x:c r="B23" s="67" t="str">
        <x:v>CW18</x:v>
      </x:c>
      <x:c r="C23" s="67" t="str">
        <x:v>A</x:v>
      </x:c>
      <x:c r="D23" s="235" t="n">
        <x:v>37.39581829178769</x:v>
      </x:c>
      <x:c r="E23" s="235" t="n">
        <x:v>126.9241050997271</x:v>
      </x:c>
      <x:c r="F23" s="105" t="e">
        <x:f>HYPERLINK("https://map.kakao.com/?panoid=1203480723&amp;pan=326.1&amp;zoom=0&amp;map_type=TYPE_MAP&amp;map_attribute=ROADVIEW&amp;urlX=483181.0&amp;urlY=1082354.0","카카오")</x:f>
        <x:v>HYPERLINK is not implemented. linkLocation=https://map.kakao.com/?panoid=1203480723&amp;pan=326.1&amp;zoom=0&amp;map_type=TYPE_MAP&amp;map_attribute=ROADVIEW&amp;urlX=483181.0&amp;urlY=1082354.0, friendlyName=카카오</x:v>
      </x:c>
      <x:c r="G23" s="105" t="e">
        <x:f>HYPERLINK("https://map.naver.com/p/entry/coordinates/3zfoWn,2AESY7?c=15.00,0,0,0,dh","네이버")</x:f>
        <x:v>HYPERLINK is not implemented. linkLocation=https://map.naver.com/p/entry/coordinates/3zfoWn,2AESY7?c=15.00,0,0,0,dh, friendlyName=네이버</x:v>
      </x:c>
      <x:c r="H23" s="238" t="str">
        <x:v>2025-12-01 14:08:47</x:v>
      </x:c>
      <x:c r="I23" s="233"/>
      <x:c r="J23" s="233"/>
      <x:c r="K23" s="233"/>
      <x:c r="L23" s="233"/>
      <x:c r="M23" s="233"/>
      <x:c r="N23" s="233"/>
      <x:c r="O23" s="233"/>
      <x:c r="P23" s="233"/>
      <x:c r="Q23" s="233"/>
    </x:row>
    <x:row r="24" ht="34" customHeight="1">
      <x:c r="A24" s="67" t="str">
        <x:v>CW18-B</x:v>
      </x:c>
      <x:c r="B24" s="67" t="str">
        <x:v>CW18</x:v>
      </x:c>
      <x:c r="C24" s="67" t="str">
        <x:v>B</x:v>
      </x:c>
      <x:c r="D24" s="235" t="n">
        <x:v>37.39588836821232</x:v>
      </x:c>
      <x:c r="E24" s="235" t="n">
        <x:v>126.92404650027288</x:v>
      </x:c>
      <x:c r="F24" s="105" t="e">
        <x:f>HYPERLINK("https://map.kakao.com/?panoid=1203480726&amp;pan=323.5&amp;zoom=0&amp;map_type=TYPE_MAP&amp;map_attribute=ROADVIEW&amp;urlX=483167.0&amp;urlY=1082374.0","카카오")</x:f>
        <x:v>HYPERLINK is not implemented. linkLocation=https://map.kakao.com/?panoid=1203480726&amp;pan=323.5&amp;zoom=0&amp;map_type=TYPE_MAP&amp;map_attribute=ROADVIEW&amp;urlX=483167.0&amp;urlY=1082374.0, friendlyName=카카오</x:v>
      </x:c>
      <x:c r="G24" s="105" t="e">
        <x:f>HYPERLINK("https://map.naver.com/p/entry/coordinates/3zfoMV,2AET9q?c=15.00,0,0,0,dh","네이버")</x:f>
        <x:v>HYPERLINK is not implemented. linkLocation=https://map.naver.com/p/entry/coordinates/3zfoMV,2AET9q?c=15.00,0,0,0,dh, friendlyName=네이버</x:v>
      </x:c>
      <x:c r="H24" s="238" t="str">
        <x:v>2025-12-01 14:09:05</x:v>
      </x:c>
      <x:c r="I24" s="233"/>
      <x:c r="J24" s="233"/>
      <x:c r="K24" s="233"/>
      <x:c r="L24" s="233"/>
      <x:c r="M24" s="233"/>
      <x:c r="N24" s="233"/>
      <x:c r="O24" s="233"/>
      <x:c r="P24" s="233"/>
      <x:c r="Q24" s="233"/>
    </x:row>
    <x:row r="25" ht="34" customHeight="1">
      <x:c r="A25" s="67" t="str">
        <x:v>CW20-A</x:v>
      </x:c>
      <x:c r="B25" s="67" t="str">
        <x:v>CW20</x:v>
      </x:c>
      <x:c r="C25" s="67" t="str">
        <x:v>A</x:v>
      </x:c>
      <x:c r="D25" s="235" t="n">
        <x:v>37.39434797316774</x:v>
      </x:c>
      <x:c r="E25" s="235" t="n">
        <x:v>126.92501464784056</x:v>
      </x:c>
      <x:c r="F25" s="105" t="e">
        <x:f>HYPERLINK("https://map.kakao.com/?panoid=1203478791&amp;pan=146.9&amp;zoom=0&amp;map_type=TYPE_MAP&amp;map_attribute=ROADVIEW&amp;urlX=483404.0&amp;urlY=1081956.0","카카오")</x:f>
        <x:v>HYPERLINK is not implemented. linkLocation=https://map.kakao.com/?panoid=1203478791&amp;pan=146.9&amp;zoom=0&amp;map_type=TYPE_MAP&amp;map_attribute=ROADVIEW&amp;urlX=483404.0&amp;urlY=1081956.0, friendlyName=카카오</x:v>
      </x:c>
      <x:c r="G25" s="105" t="e">
        <x:f>HYPERLINK("https://map.naver.com/p/entry/coordinates/3zfrj4,2AEP8Y?c=15.00,0,0,0,dh","네이버")</x:f>
        <x:v>HYPERLINK is not implemented. linkLocation=https://map.naver.com/p/entry/coordinates/3zfrj4,2AEP8Y?c=15.00,0,0,0,dh, friendlyName=네이버</x:v>
      </x:c>
      <x:c r="H25" s="238" t="str">
        <x:v>2025-12-01 13:50:35</x:v>
      </x:c>
      <x:c r="I25" s="233"/>
      <x:c r="J25" s="233"/>
      <x:c r="K25" s="233"/>
      <x:c r="L25" s="233"/>
      <x:c r="M25" s="233"/>
      <x:c r="N25" s="233"/>
      <x:c r="O25" s="233"/>
      <x:c r="P25" s="233"/>
      <x:c r="Q25" s="233"/>
    </x:row>
    <x:row r="26" ht="34" customHeight="1">
      <x:c r="A26" s="67" t="str">
        <x:v>CW20-B</x:v>
      </x:c>
      <x:c r="B26" s="67" t="str">
        <x:v>CW20</x:v>
      </x:c>
      <x:c r="C26" s="67" t="str">
        <x:v>B</x:v>
      </x:c>
      <x:c r="D26" s="235" t="n">
        <x:v>37.39446220683226</x:v>
      </x:c>
      <x:c r="E26" s="235" t="n">
        <x:v>126.92522835215944</x:v>
      </x:c>
      <x:c r="F26" s="105" t="e">
        <x:f>HYPERLINK("https://map.kakao.com/?panoid=1203480668&amp;pan=326.1&amp;zoom=0&amp;map_type=TYPE_MAP&amp;map_attribute=ROADVIEW&amp;urlX=483430.0&amp;urlY=1081979.0","카카오")</x:f>
        <x:v>HYPERLINK is not implemented. linkLocation=https://map.kakao.com/?panoid=1203480668&amp;pan=326.1&amp;zoom=0&amp;map_type=TYPE_MAP&amp;map_attribute=ROADVIEW&amp;urlX=483430.0&amp;urlY=1081979.0, friendlyName=카카오</x:v>
      </x:c>
      <x:c r="G26" s="105" t="e">
        <x:f>HYPERLINK("https://map.naver.com/p/entry/coordinates/3zfrRy,2AEPro?c=15.00,0,0,0,dh","네이버")</x:f>
        <x:v>HYPERLINK is not implemented. linkLocation=https://map.naver.com/p/entry/coordinates/3zfrRy,2AEPro?c=15.00,0,0,0,dh, friendlyName=네이버</x:v>
      </x:c>
      <x:c r="H26" s="238" t="str">
        <x:v>2025-12-01 14:08:27</x:v>
      </x:c>
      <x:c r="I26" s="233"/>
      <x:c r="J26" s="233"/>
      <x:c r="K26" s="233"/>
      <x:c r="L26" s="233"/>
      <x:c r="M26" s="233"/>
      <x:c r="N26" s="233"/>
      <x:c r="O26" s="233"/>
      <x:c r="P26" s="233"/>
      <x:c r="Q26" s="233"/>
    </x:row>
    <x:row r="27" ht="34" customHeight="1">
      <x:c r="A27" s="67" t="str">
        <x:v>CW21-A</x:v>
      </x:c>
      <x:c r="B27" s="67" t="str">
        <x:v>CW21</x:v>
      </x:c>
      <x:c r="C27" s="67" t="str">
        <x:v>A</x:v>
      </x:c>
      <x:c r="D27" s="235" t="n">
        <x:v>37.39303756607922</x:v>
      </x:c>
      <x:c r="E27" s="235" t="n">
        <x:v>126.92322375721096</x:v>
      </x:c>
      <x:c r="F27" s="105" t="e">
        <x:f>HYPERLINK("https://map.kakao.com/?panoid=1202871152&amp;pan=233.4&amp;zoom=0&amp;map_type=TYPE_MAP&amp;map_attribute=ROADVIEW&amp;urlX=483004.0&amp;urlY=1081607.0","카카오")</x:f>
        <x:v>HYPERLINK is not implemented. linkLocation=https://map.kakao.com/?panoid=1202871152&amp;pan=233.4&amp;zoom=0&amp;map_type=TYPE_MAP&amp;map_attribute=ROADVIEW&amp;urlX=483004.0&amp;urlY=1081607.0, friendlyName=카카오</x:v>
      </x:c>
      <x:c r="G27" s="105" t="e">
        <x:f>HYPERLINK("https://map.naver.com/p/entry/coordinates/3zfmEe,2AELJC?c=15.00,0,0,0,dh","네이버")</x:f>
        <x:v>HYPERLINK is not implemented. linkLocation=https://map.naver.com/p/entry/coordinates/3zfmEe,2AELJC?c=15.00,0,0,0,dh, friendlyName=네이버</x:v>
      </x:c>
      <x:c r="H27" s="238" t="str">
        <x:v>2025-11-18 11:18:33</x:v>
      </x:c>
      <x:c r="I27" s="233"/>
      <x:c r="J27" s="233"/>
      <x:c r="K27" s="233"/>
      <x:c r="L27" s="233"/>
      <x:c r="M27" s="233"/>
      <x:c r="N27" s="233"/>
      <x:c r="O27" s="233"/>
      <x:c r="P27" s="233"/>
      <x:c r="Q27" s="233"/>
    </x:row>
    <x:row r="28" ht="34" customHeight="1">
      <x:c r="A28" s="67" t="str">
        <x:v>CW21-B</x:v>
      </x:c>
      <x:c r="B28" s="67" t="str">
        <x:v>CW21</x:v>
      </x:c>
      <x:c r="C28" s="67" t="str">
        <x:v>B</x:v>
      </x:c>
      <x:c r="D28" s="235" t="n">
        <x:v>37.39310371392077</x:v>
      </x:c>
      <x:c r="E28" s="235" t="n">
        <x:v>126.92317024278903</x:v>
      </x:c>
      <x:c r="F28" s="105" t="e">
        <x:f>HYPERLINK("https://map.kakao.com/?panoid=1202871152&amp;pan=233.4&amp;zoom=0&amp;map_type=TYPE_MAP&amp;map_attribute=ROADVIEW&amp;urlX=483004.0&amp;urlY=1081607.0","카카오")</x:f>
        <x:v>HYPERLINK is not implemented. linkLocation=https://map.kakao.com/?panoid=1202871152&amp;pan=233.4&amp;zoom=0&amp;map_type=TYPE_MAP&amp;map_attribute=ROADVIEW&amp;urlX=483004.0&amp;urlY=1081607.0, friendlyName=카카오</x:v>
      </x:c>
      <x:c r="G28" s="105" t="e">
        <x:f>HYPERLINK("https://map.naver.com/p/entry/coordinates/3zfmvA,2AELUh?c=15.00,0,0,0,dh","네이버")</x:f>
        <x:v>HYPERLINK is not implemented. linkLocation=https://map.naver.com/p/entry/coordinates/3zfmvA,2AELUh?c=15.00,0,0,0,dh, friendlyName=네이버</x:v>
      </x:c>
      <x:c r="H28" s="238" t="str">
        <x:v>2025-11-18 11:18:33</x:v>
      </x:c>
      <x:c r="I28" s="233"/>
      <x:c r="J28" s="233"/>
      <x:c r="K28" s="233"/>
      <x:c r="L28" s="233"/>
      <x:c r="M28" s="233"/>
      <x:c r="N28" s="233"/>
      <x:c r="O28" s="233"/>
      <x:c r="P28" s="233"/>
      <x:c r="Q28" s="233"/>
    </x:row>
    <x:row r="29" ht="34" customHeight="1">
      <x:c r="A29" s="67" t="str">
        <x:v>CW23-A</x:v>
      </x:c>
      <x:c r="B29" s="67" t="str">
        <x:v>CW23</x:v>
      </x:c>
      <x:c r="C29" s="67" t="str">
        <x:v>A</x:v>
      </x:c>
      <x:c r="D29" s="235" t="n">
        <x:v>37.39211628056607</x:v>
      </x:c>
      <x:c r="E29" s="235" t="n">
        <x:v>126.92388323781566</x:v>
      </x:c>
      <x:c r="F29" s="105" t="e">
        <x:f>HYPERLINK("https://map.kakao.com/?panoid=1202870512&amp;pan=238.8&amp;zoom=0&amp;map_type=TYPE_MAP&amp;map_attribute=ROADVIEW&amp;urlX=483156.0&amp;urlY=1081348.0","카카오")</x:f>
        <x:v>HYPERLINK is not implemented. linkLocation=https://map.kakao.com/?panoid=1202870512&amp;pan=238.8&amp;zoom=0&amp;map_type=TYPE_MAP&amp;map_attribute=ROADVIEW&amp;urlX=483156.0&amp;urlY=1081348.0, friendlyName=카카오</x:v>
      </x:c>
      <x:c r="G29" s="105" t="e">
        <x:f>HYPERLINK("https://map.naver.com/p/entry/coordinates/3zfomA,2AEJl1?c=15.00,0,0,0,dh","네이버")</x:f>
        <x:v>HYPERLINK is not implemented. linkLocation=https://map.naver.com/p/entry/coordinates/3zfomA,2AEJl1?c=15.00,0,0,0,dh, friendlyName=네이버</x:v>
      </x:c>
      <x:c r="H29" s="238" t="str">
        <x:v>2025-11-18 10:22:37</x:v>
      </x:c>
      <x:c r="I29" s="233"/>
      <x:c r="J29" s="233"/>
      <x:c r="K29" s="233"/>
      <x:c r="L29" s="233"/>
      <x:c r="M29" s="233"/>
      <x:c r="N29" s="233"/>
      <x:c r="O29" s="233"/>
      <x:c r="P29" s="233"/>
      <x:c r="Q29" s="233"/>
    </x:row>
    <x:row r="30" ht="34" customHeight="1">
      <x:c r="A30" s="67" t="str">
        <x:v>CW23-B</x:v>
      </x:c>
      <x:c r="B30" s="67" t="str">
        <x:v>CW23</x:v>
      </x:c>
      <x:c r="C30" s="67" t="str">
        <x:v>B</x:v>
      </x:c>
      <x:c r="D30" s="235" t="n">
        <x:v>37.39216041943393</x:v>
      </x:c>
      <x:c r="E30" s="235" t="n">
        <x:v>126.92384736218435</x:v>
      </x:c>
      <x:c r="F30" s="105" t="e">
        <x:f>HYPERLINK("https://map.kakao.com/?panoid=1202870512&amp;pan=238.8&amp;zoom=0&amp;map_type=TYPE_MAP&amp;map_attribute=ROADVIEW&amp;urlX=483156.0&amp;urlY=1081348.0","카카오")</x:f>
        <x:v>HYPERLINK is not implemented. linkLocation=https://map.kakao.com/?panoid=1202870512&amp;pan=238.8&amp;zoom=0&amp;map_type=TYPE_MAP&amp;map_attribute=ROADVIEW&amp;urlX=483156.0&amp;urlY=1081348.0, friendlyName=카카오</x:v>
      </x:c>
      <x:c r="G30" s="105" t="e">
        <x:f>HYPERLINK("https://map.naver.com/p/entry/coordinates/3zfogO,2AEJs8?c=15.00,0,0,0,dh","네이버")</x:f>
        <x:v>HYPERLINK is not implemented. linkLocation=https://map.naver.com/p/entry/coordinates/3zfogO,2AEJs8?c=15.00,0,0,0,dh, friendlyName=네이버</x:v>
      </x:c>
      <x:c r="H30" s="238" t="str">
        <x:v>2025-11-18 10:22:37</x:v>
      </x:c>
      <x:c r="I30" s="233"/>
      <x:c r="J30" s="233"/>
      <x:c r="K30" s="233"/>
      <x:c r="L30" s="233"/>
      <x:c r="M30" s="233"/>
      <x:c r="N30" s="233"/>
      <x:c r="O30" s="233"/>
      <x:c r="P30" s="233"/>
      <x:c r="Q30" s="233"/>
    </x:row>
    <x:row r="31" ht="34" customHeight="1">
      <x:c r="A31" s="67" t="str">
        <x:v>CW25-A</x:v>
      </x:c>
      <x:c r="B31" s="67" t="str">
        <x:v>CW25</x:v>
      </x:c>
      <x:c r="C31" s="67" t="str">
        <x:v>A</x:v>
      </x:c>
      <x:c r="D31" s="235" t="n">
        <x:v>37.3919801552276</x:v>
      </x:c>
      <x:c r="E31" s="235" t="n">
        <x:v>126.9237435785561</x:v>
      </x:c>
      <x:c r="F31" s="105" t="e">
        <x:f>HYPERLINK("https://map.kakao.com/?panoid=1202969684&amp;pan=326.9&amp;zoom=0&amp;map_type=TYPE_MAP&amp;map_attribute=ROADVIEW&amp;urlX=483142.0&amp;urlY=1081314.0","카카오")</x:f>
        <x:v>HYPERLINK is not implemented. linkLocation=https://map.kakao.com/?panoid=1202969684&amp;pan=326.9&amp;zoom=0&amp;map_type=TYPE_MAP&amp;map_attribute=ROADVIEW&amp;urlX=483142.0&amp;urlY=1081314.0, friendlyName=카카오</x:v>
      </x:c>
      <x:c r="G31" s="105" t="e">
        <x:f>HYPERLINK("https://map.naver.com/p/entry/coordinates/3zfo04,2AEIZ4?c=15.00,0,0,0,dh","네이버")</x:f>
        <x:v>HYPERLINK is not implemented. linkLocation=https://map.naver.com/p/entry/coordinates/3zfo04,2AEIZ4?c=15.00,0,0,0,dh, friendlyName=네이버</x:v>
      </x:c>
      <x:c r="H31" s="238" t="str">
        <x:v>2025-11-17 11:58:25</x:v>
      </x:c>
      <x:c r="I31" s="233"/>
      <x:c r="J31" s="233"/>
      <x:c r="K31" s="233"/>
      <x:c r="L31" s="233"/>
      <x:c r="M31" s="233"/>
      <x:c r="N31" s="233"/>
      <x:c r="O31" s="233"/>
      <x:c r="P31" s="233"/>
      <x:c r="Q31" s="233"/>
    </x:row>
    <x:row r="32" ht="34" customHeight="1">
      <x:c r="A32" s="67" t="str">
        <x:v>CW25-B</x:v>
      </x:c>
      <x:c r="B32" s="67" t="str">
        <x:v>CW25</x:v>
      </x:c>
      <x:c r="C32" s="67" t="str">
        <x:v>B</x:v>
      </x:c>
      <x:c r="D32" s="235" t="n">
        <x:v>37.3920609447724</x:v>
      </x:c>
      <x:c r="E32" s="235" t="n">
        <x:v>126.9238972214439</x:v>
      </x:c>
      <x:c r="F32" s="105" t="e">
        <x:f>HYPERLINK("https://map.kakao.com/?panoid=1202969684&amp;pan=326.9&amp;zoom=0&amp;map_type=TYPE_MAP&amp;map_attribute=ROADVIEW&amp;urlX=483142.0&amp;urlY=1081314.0","카카오")</x:f>
        <x:v>HYPERLINK is not implemented. linkLocation=https://map.kakao.com/?panoid=1202969684&amp;pan=326.9&amp;zoom=0&amp;map_type=TYPE_MAP&amp;map_attribute=ROADVIEW&amp;urlX=483142.0&amp;urlY=1081314.0, friendlyName=카카오</x:v>
      </x:c>
      <x:c r="G32" s="105" t="e">
        <x:f>HYPERLINK("https://map.naver.com/p/entry/coordinates/3zfooQ,2AEJc5?c=15.00,0,0,0,dh","네이버")</x:f>
        <x:v>HYPERLINK is not implemented. linkLocation=https://map.naver.com/p/entry/coordinates/3zfooQ,2AEJc5?c=15.00,0,0,0,dh, friendlyName=네이버</x:v>
      </x:c>
      <x:c r="H32" s="238" t="str">
        <x:v>2025-11-17 11:58:25</x:v>
      </x:c>
      <x:c r="I32" s="233"/>
      <x:c r="J32" s="233"/>
      <x:c r="K32" s="233"/>
      <x:c r="L32" s="233"/>
      <x:c r="M32" s="233"/>
      <x:c r="N32" s="233"/>
      <x:c r="O32" s="233"/>
      <x:c r="P32" s="233"/>
      <x:c r="Q32" s="233"/>
    </x:row>
    <x:row r="33" ht="34" customHeight="1">
      <x:c r="A33" s="67" t="str">
        <x:v>CW27-A</x:v>
      </x:c>
      <x:c r="B33" s="67" t="str">
        <x:v>CW27</x:v>
      </x:c>
      <x:c r="C33" s="67" t="str">
        <x:v>A</x:v>
      </x:c>
      <x:c r="D33" s="235" t="n">
        <x:v>37.39045684884471</x:v>
      </x:c>
      <x:c r="E33" s="235" t="n">
        <x:v>126.92505581204853</x:v>
      </x:c>
      <x:c r="F33" s="105" t="e">
        <x:f>HYPERLINK("https://map.kakao.com/?panoid=1202969663&amp;pan=328.0&amp;zoom=0&amp;map_type=TYPE_MAP&amp;map_attribute=ROADVIEW&amp;urlX=483430.0&amp;urlY=1080878.0","카카오")</x:f>
        <x:v>HYPERLINK is not implemented. linkLocation=https://map.kakao.com/?panoid=1202969663&amp;pan=328.0&amp;zoom=0&amp;map_type=TYPE_MAP&amp;map_attribute=ROADVIEW&amp;urlX=483430.0&amp;urlY=1080878.0, friendlyName=카카오</x:v>
      </x:c>
      <x:c r="G33" s="105" t="e">
        <x:f>HYPERLINK("https://map.naver.com/p/entry/coordinates/3zfrpI,2AEF1m?c=15.00,0,0,0,dh","네이버")</x:f>
        <x:v>HYPERLINK is not implemented. linkLocation=https://map.naver.com/p/entry/coordinates/3zfrpI,2AEF1m?c=15.00,0,0,0,dh, friendlyName=네이버</x:v>
      </x:c>
      <x:c r="H33" s="238" t="str">
        <x:v>2025-11-17 11:57:25</x:v>
      </x:c>
      <x:c r="I33" s="233"/>
      <x:c r="J33" s="233"/>
      <x:c r="K33" s="233"/>
      <x:c r="L33" s="233"/>
      <x:c r="M33" s="233"/>
      <x:c r="N33" s="233"/>
      <x:c r="O33" s="233"/>
      <x:c r="P33" s="233"/>
      <x:c r="Q33" s="233"/>
    </x:row>
    <x:row r="34" ht="34" customHeight="1">
      <x:c r="A34" s="67" t="str">
        <x:v>CW27-B</x:v>
      </x:c>
      <x:c r="B34" s="67" t="str">
        <x:v>CW27</x:v>
      </x:c>
      <x:c r="C34" s="67" t="str">
        <x:v>B</x:v>
      </x:c>
      <x:c r="D34" s="235" t="n">
        <x:v>37.390526071155286</x:v>
      </x:c>
      <x:c r="E34" s="235" t="n">
        <x:v>126.92518498795148</x:v>
      </x:c>
      <x:c r="F34" s="105" t="e">
        <x:f>HYPERLINK("https://map.kakao.com/?panoid=1202969663&amp;pan=328.0&amp;zoom=0&amp;map_type=TYPE_MAP&amp;map_attribute=ROADVIEW&amp;urlX=483430.0&amp;urlY=1080878.0","카카오")</x:f>
        <x:v>HYPERLINK is not implemented. linkLocation=https://map.kakao.com/?panoid=1202969663&amp;pan=328.0&amp;zoom=0&amp;map_type=TYPE_MAP&amp;map_attribute=ROADVIEW&amp;urlX=483430.0&amp;urlY=1080878.0, friendlyName=카카오</x:v>
      </x:c>
      <x:c r="G34" s="105" t="e">
        <x:f>HYPERLINK("https://map.naver.com/p/entry/coordinates/3zfrKy,2AEFcx?c=15.00,0,0,0,dh","네이버")</x:f>
        <x:v>HYPERLINK is not implemented. linkLocation=https://map.naver.com/p/entry/coordinates/3zfrKy,2AEFcx?c=15.00,0,0,0,dh, friendlyName=네이버</x:v>
      </x:c>
      <x:c r="H34" s="238" t="str">
        <x:v>2025-11-17 11:57:25</x:v>
      </x:c>
      <x:c r="I34" s="233"/>
      <x:c r="J34" s="233"/>
      <x:c r="K34" s="233"/>
      <x:c r="L34" s="233"/>
      <x:c r="M34" s="233"/>
      <x:c r="N34" s="233"/>
      <x:c r="O34" s="233"/>
      <x:c r="P34" s="233"/>
      <x:c r="Q34" s="233"/>
    </x:row>
    <x:row r="35" ht="34" customHeight="1">
      <x:c r="A35" s="67" t="str">
        <x:v>CW29-A</x:v>
      </x:c>
      <x:c r="B35" s="67" t="str">
        <x:v>CW29</x:v>
      </x:c>
      <x:c r="C35" s="67" t="str">
        <x:v>A</x:v>
      </x:c>
      <x:c r="D35" s="235" t="n">
        <x:v>37.39031011408944</x:v>
      </x:c>
      <x:c r="E35" s="235" t="n">
        <x:v>126.92508866166824</x:v>
      </x:c>
      <x:c r="F35" s="105" t="e">
        <x:f>HYPERLINK("https://map.kakao.com/?panoid=1202970285&amp;pan=67.5&amp;zoom=0&amp;map_type=TYPE_MAP&amp;map_attribute=ROADVIEW&amp;urlX=483408.0&amp;urlY=1080836.0","카카오")</x:f>
        <x:v>HYPERLINK is not implemented. linkLocation=https://map.kakao.com/?panoid=1202970285&amp;pan=67.5&amp;zoom=0&amp;map_type=TYPE_MAP&amp;map_attribute=ROADVIEW&amp;urlX=483408.0&amp;urlY=1080836.0, friendlyName=카카오</x:v>
      </x:c>
      <x:c r="G35" s="105" t="e">
        <x:f>HYPERLINK("https://map.naver.com/p/entry/coordinates/3zfrv1,2AEEDH?c=15.00,0,0,0,dh","네이버")</x:f>
        <x:v>HYPERLINK is not implemented. linkLocation=https://map.naver.com/p/entry/coordinates/3zfrv1,2AEEDH?c=15.00,0,0,0,dh, friendlyName=네이버</x:v>
      </x:c>
      <x:c r="H35" s="238" t="str">
        <x:v>2025-11-17 13:29:43</x:v>
      </x:c>
      <x:c r="I35" s="233"/>
      <x:c r="J35" s="233"/>
      <x:c r="K35" s="233"/>
      <x:c r="L35" s="233"/>
      <x:c r="M35" s="233"/>
      <x:c r="N35" s="233"/>
      <x:c r="O35" s="233"/>
      <x:c r="P35" s="233"/>
      <x:c r="Q35" s="233"/>
    </x:row>
    <x:row r="36" ht="34" customHeight="1">
      <x:c r="A36" s="67" t="str">
        <x:v>CW29-B</x:v>
      </x:c>
      <x:c r="B36" s="67" t="str">
        <x:v>CW29</x:v>
      </x:c>
      <x:c r="C36" s="67" t="str">
        <x:v>B</x:v>
      </x:c>
      <x:c r="D36" s="235" t="n">
        <x:v>37.390403245910555</x:v>
      </x:c>
      <x:c r="E36" s="235" t="n">
        <x:v>126.92504233833175</x:v>
      </x:c>
      <x:c r="F36" s="105" t="e">
        <x:f>HYPERLINK("https://map.kakao.com/?panoid=1202970285&amp;pan=67.5&amp;zoom=0&amp;map_type=TYPE_MAP&amp;map_attribute=ROADVIEW&amp;urlX=483408.0&amp;urlY=1080836.0","카카오")</x:f>
        <x:v>HYPERLINK is not implemented. linkLocation=https://map.kakao.com/?panoid=1202970285&amp;pan=67.5&amp;zoom=0&amp;map_type=TYPE_MAP&amp;map_attribute=ROADVIEW&amp;urlX=483408.0&amp;urlY=1080836.0, friendlyName=카카오</x:v>
      </x:c>
      <x:c r="G36" s="105" t="e">
        <x:f>HYPERLINK("https://map.naver.com/p/entry/coordinates/3zfrnx,2AEESI?c=15.00,0,0,0,dh","네이버")</x:f>
        <x:v>HYPERLINK is not implemented. linkLocation=https://map.naver.com/p/entry/coordinates/3zfrnx,2AEESI?c=15.00,0,0,0,dh, friendlyName=네이버</x:v>
      </x:c>
      <x:c r="H36" s="238" t="str">
        <x:v>2025-11-17 13:29:43</x:v>
      </x:c>
      <x:c r="I36" s="233"/>
      <x:c r="J36" s="233"/>
      <x:c r="K36" s="233"/>
      <x:c r="L36" s="233"/>
      <x:c r="M36" s="233"/>
      <x:c r="N36" s="233"/>
      <x:c r="O36" s="233"/>
      <x:c r="P36" s="233"/>
      <x:c r="Q36" s="233"/>
    </x:row>
    <x:row r="37" ht="34" customHeight="1">
      <x:c r="A37" s="67" t="str">
        <x:v>CW32-A</x:v>
      </x:c>
      <x:c r="B37" s="67" t="str">
        <x:v>CW32</x:v>
      </x:c>
      <x:c r="C37" s="67" t="str">
        <x:v>A</x:v>
      </x:c>
      <x:c r="D37" s="235" t="n">
        <x:v>37.390048790568265</x:v>
      </x:c>
      <x:c r="E37" s="235" t="n">
        <x:v>126.9242948447004</x:v>
      </x:c>
      <x:c r="F37" s="105" t="e">
        <x:f>HYPERLINK("https://map.kakao.com/?panoid=1202970278&amp;pan=71.5&amp;zoom=0&amp;map_type=TYPE_MAP&amp;map_attribute=ROADVIEW&amp;urlX=483247.0&amp;urlY=1080769.0","카카오")</x:f>
        <x:v>HYPERLINK is not implemented. linkLocation=https://map.kakao.com/?panoid=1202970278&amp;pan=71.5&amp;zoom=0&amp;map_type=TYPE_MAP&amp;map_attribute=ROADVIEW&amp;urlX=483247.0&amp;urlY=1080769.0, friendlyName=카카오</x:v>
      </x:c>
      <x:c r="G37" s="105" t="e">
        <x:f>HYPERLINK("https://map.naver.com/p/entry/coordinates/3zfpqY,2AEDXy?c=15.00,0,0,0,dh","네이버")</x:f>
        <x:v>HYPERLINK is not implemented. linkLocation=https://map.naver.com/p/entry/coordinates/3zfpqY,2AEDXy?c=15.00,0,0,0,dh, friendlyName=네이버</x:v>
      </x:c>
      <x:c r="H37" s="238" t="str">
        <x:v>2025-11-17 13:29:35</x:v>
      </x:c>
      <x:c r="I37" s="233"/>
      <x:c r="J37" s="233"/>
      <x:c r="K37" s="233"/>
      <x:c r="L37" s="233"/>
      <x:c r="M37" s="233"/>
      <x:c r="N37" s="233"/>
      <x:c r="O37" s="233"/>
      <x:c r="P37" s="233"/>
      <x:c r="Q37" s="233"/>
    </x:row>
    <x:row r="38" ht="34" customHeight="1">
      <x:c r="A38" s="67" t="str">
        <x:v>CW32-B</x:v>
      </x:c>
      <x:c r="B38" s="67" t="str">
        <x:v>CW32</x:v>
      </x:c>
      <x:c r="C38" s="67" t="str">
        <x:v>B</x:v>
      </x:c>
      <x:c r="D38" s="235" t="n">
        <x:v>37.39012174943174</x:v>
      </x:c>
      <x:c r="E38" s="235" t="n">
        <x:v>126.92425855529957</x:v>
      </x:c>
      <x:c r="F38" s="105" t="e">
        <x:f>HYPERLINK("https://map.kakao.com/?panoid=1202970277&amp;pan=90.4&amp;zoom=0&amp;map_type=TYPE_MAP&amp;map_attribute=ROADVIEW&amp;urlX=483222.0&amp;urlY=1080765.0","카카오")</x:f>
        <x:v>HYPERLINK is not implemented. linkLocation=https://map.kakao.com/?panoid=1202970277&amp;pan=90.4&amp;zoom=0&amp;map_type=TYPE_MAP&amp;map_attribute=ROADVIEW&amp;urlX=483222.0&amp;urlY=1080765.0, friendlyName=카카오</x:v>
      </x:c>
      <x:c r="G38" s="105" t="e">
        <x:f>HYPERLINK("https://map.naver.com/p/entry/coordinates/3zfpl8,2AEE9j?c=15.00,0,0,0,dh","네이버")</x:f>
        <x:v>HYPERLINK is not implemented. linkLocation=https://map.naver.com/p/entry/coordinates/3zfpl8,2AEE9j?c=15.00,0,0,0,dh, friendlyName=네이버</x:v>
      </x:c>
      <x:c r="H38" s="238" t="str">
        <x:v>2025-11-17 13:29:34</x:v>
      </x:c>
      <x:c r="I38" s="233"/>
      <x:c r="J38" s="233"/>
      <x:c r="K38" s="233"/>
      <x:c r="L38" s="233"/>
      <x:c r="M38" s="233"/>
      <x:c r="N38" s="233"/>
      <x:c r="O38" s="233"/>
      <x:c r="P38" s="233"/>
      <x:c r="Q38" s="233"/>
    </x:row>
    <x:row r="39" ht="34" customHeight="1">
      <x:c r="A39" s="67" t="str">
        <x:v>CW33-A</x:v>
      </x:c>
      <x:c r="B39" s="67" t="str">
        <x:v>CW33</x:v>
      </x:c>
      <x:c r="C39" s="67" t="str">
        <x:v>A</x:v>
      </x:c>
      <x:c r="D39" s="235" t="n">
        <x:v>37.389982227292826</x:v>
      </x:c>
      <x:c r="E39" s="235" t="n">
        <x:v>126.9254940088399</x:v>
      </x:c>
      <x:c r="F39" s="105" t="e">
        <x:f>HYPERLINK("https://map.kakao.com/?panoid=1202972599&amp;pan=251.4&amp;zoom=0&amp;map_type=TYPE_MAP&amp;map_attribute=ROADVIEW&amp;urlX=483511.0&amp;urlY=1080749.0","카카오")</x:f>
        <x:v>HYPERLINK is not implemented. linkLocation=https://map.kakao.com/?panoid=1202972599&amp;pan=251.4&amp;zoom=0&amp;map_type=TYPE_MAP&amp;map_attribute=ROADVIEW&amp;urlX=483511.0&amp;urlY=1080749.0, friendlyName=카카오</x:v>
      </x:c>
      <x:c r="G39" s="105" t="e">
        <x:f>HYPERLINK("https://map.naver.com/p/entry/coordinates/3zfsyo,2AEDMO?c=15.00,0,0,0,dh","네이버")</x:f>
        <x:v>HYPERLINK is not implemented. linkLocation=https://map.naver.com/p/entry/coordinates/3zfsyo,2AEDMO?c=15.00,0,0,0,dh, friendlyName=네이버</x:v>
      </x:c>
      <x:c r="H39" s="238" t="str">
        <x:v>2025-11-17 15:39:09</x:v>
      </x:c>
      <x:c r="I39" s="233"/>
      <x:c r="J39" s="233"/>
      <x:c r="K39" s="233"/>
      <x:c r="L39" s="233"/>
      <x:c r="M39" s="233"/>
      <x:c r="N39" s="233"/>
      <x:c r="O39" s="233"/>
      <x:c r="P39" s="233"/>
      <x:c r="Q39" s="233"/>
    </x:row>
    <x:row r="40" ht="34" customHeight="1">
      <x:c r="A40" s="67" t="str">
        <x:v>CW33-B</x:v>
      </x:c>
      <x:c r="B40" s="67" t="str">
        <x:v>CW33</x:v>
      </x:c>
      <x:c r="C40" s="67" t="str">
        <x:v>B</x:v>
      </x:c>
      <x:c r="D40" s="235" t="n">
        <x:v>37.39001577270718</x:v>
      </x:c>
      <x:c r="E40" s="235" t="n">
        <x:v>126.9254661911601</x:v>
      </x:c>
      <x:c r="F40" s="105" t="e">
        <x:f>HYPERLINK("https://map.kakao.com/?panoid=1202972599&amp;pan=251.4&amp;zoom=0&amp;map_type=TYPE_MAP&amp;map_attribute=ROADVIEW&amp;urlX=483511.0&amp;urlY=1080749.0","카카오")</x:f>
        <x:v>HYPERLINK is not implemented. linkLocation=https://map.kakao.com/?panoid=1202972599&amp;pan=251.4&amp;zoom=0&amp;map_type=TYPE_MAP&amp;map_attribute=ROADVIEW&amp;urlX=483511.0&amp;urlY=1080749.0, friendlyName=카카오</x:v>
      </x:c>
      <x:c r="G40" s="105" t="e">
        <x:f>HYPERLINK("https://map.naver.com/p/entry/coordinates/3zfstU,2AEDSe?c=15.00,0,0,0,dh","네이버")</x:f>
        <x:v>HYPERLINK is not implemented. linkLocation=https://map.naver.com/p/entry/coordinates/3zfstU,2AEDSe?c=15.00,0,0,0,dh, friendlyName=네이버</x:v>
      </x:c>
      <x:c r="H40" s="238" t="str">
        <x:v>2025-11-17 15:39:09</x:v>
      </x:c>
      <x:c r="I40" s="233"/>
      <x:c r="J40" s="233"/>
      <x:c r="K40" s="233"/>
      <x:c r="L40" s="233"/>
      <x:c r="M40" s="233"/>
      <x:c r="N40" s="233"/>
      <x:c r="O40" s="233"/>
      <x:c r="P40" s="233"/>
      <x:c r="Q40" s="233"/>
    </x:row>
    <x:row r="41" ht="34" customHeight="1">
      <x:c r="A41" s="67" t="str">
        <x:v>CW34-A</x:v>
      </x:c>
      <x:c r="B41" s="67" t="str">
        <x:v>CW34</x:v>
      </x:c>
      <x:c r="C41" s="67" t="str">
        <x:v>A</x:v>
      </x:c>
      <x:c r="D41" s="235" t="n">
        <x:v>37.389622186729625</x:v>
      </x:c>
      <x:c r="E41" s="235" t="n">
        <x:v>126.92548561896953</x:v>
      </x:c>
      <x:c r="F41" s="105" t="e">
        <x:f>HYPERLINK("https://map.kakao.com/?panoid=1202970045&amp;pan=233.1&amp;zoom=0&amp;map_type=TYPE_MAP&amp;map_attribute=ROADVIEW&amp;urlX=483504.0&amp;urlY=1080615.0","카카오")</x:f>
        <x:v>HYPERLINK is not implemented. linkLocation=https://map.kakao.com/?panoid=1202970045&amp;pan=233.1&amp;zoom=0&amp;map_type=TYPE_MAP&amp;map_attribute=ROADVIEW&amp;urlX=483504.0&amp;urlY=1080615.0, friendlyName=카카오</x:v>
      </x:c>
      <x:c r="G41" s="105" t="e">
        <x:f>HYPERLINK("https://map.naver.com/p/entry/coordinates/3zfsx2,2AECQK?c=15.00,0,0,0,dh","네이버")</x:f>
        <x:v>HYPERLINK is not implemented. linkLocation=https://map.naver.com/p/entry/coordinates/3zfsx2,2AECQK?c=15.00,0,0,0,dh, friendlyName=네이버</x:v>
      </x:c>
      <x:c r="H41" s="238" t="str">
        <x:v>2025-11-17 13:10:05</x:v>
      </x:c>
      <x:c r="I41" s="233"/>
      <x:c r="J41" s="233"/>
      <x:c r="K41" s="233"/>
      <x:c r="L41" s="233"/>
      <x:c r="M41" s="233"/>
      <x:c r="N41" s="233"/>
      <x:c r="O41" s="233"/>
      <x:c r="P41" s="233"/>
      <x:c r="Q41" s="233"/>
    </x:row>
    <x:row r="42" ht="34" customHeight="1">
      <x:c r="A42" s="67" t="str">
        <x:v>CW34-B</x:v>
      </x:c>
      <x:c r="B42" s="67" t="str">
        <x:v>CW34</x:v>
      </x:c>
      <x:c r="C42" s="67" t="str">
        <x:v>B</x:v>
      </x:c>
      <x:c r="D42" s="235" t="n">
        <x:v>37.38965699327038</x:v>
      </x:c>
      <x:c r="E42" s="235" t="n">
        <x:v>126.92561438103047</x:v>
      </x:c>
      <x:c r="F42" s="105" t="e">
        <x:f>HYPERLINK("https://map.kakao.com/?panoid=1202969653&amp;pan=339.7&amp;zoom=0&amp;map_type=TYPE_MAP&amp;map_attribute=ROADVIEW&amp;urlX=483529.0&amp;urlY=1080649.0","카카오")</x:f>
        <x:v>HYPERLINK is not implemented. linkLocation=https://map.kakao.com/?panoid=1202969653&amp;pan=339.7&amp;zoom=0&amp;map_type=TYPE_MAP&amp;map_attribute=ROADVIEW&amp;urlX=483529.0&amp;urlY=1080649.0, friendlyName=카카오</x:v>
      </x:c>
      <x:c r="G42" s="105" t="e">
        <x:f>HYPERLINK("https://map.naver.com/p/entry/coordinates/3zfsRO,2AECWm?c=15.00,0,0,0,dh","네이버")</x:f>
        <x:v>HYPERLINK is not implemented. linkLocation=https://map.naver.com/p/entry/coordinates/3zfsRO,2AECWm?c=15.00,0,0,0,dh, friendlyName=네이버</x:v>
      </x:c>
      <x:c r="H42" s="238" t="str">
        <x:v>2025-11-17 11:57:08</x:v>
      </x:c>
      <x:c r="I42" s="233"/>
      <x:c r="J42" s="233"/>
      <x:c r="K42" s="233"/>
      <x:c r="L42" s="233"/>
      <x:c r="M42" s="233"/>
      <x:c r="N42" s="233"/>
      <x:c r="O42" s="233"/>
      <x:c r="P42" s="233"/>
      <x:c r="Q42" s="233"/>
    </x:row>
    <x:row r="43" ht="34" customHeight="1">
      <x:c r="A43" s="67" t="str">
        <x:v>CW36-A</x:v>
      </x:c>
      <x:c r="B43" s="67" t="str">
        <x:v>CW36</x:v>
      </x:c>
      <x:c r="C43" s="67" t="str">
        <x:v>A</x:v>
      </x:c>
      <x:c r="D43" s="235" t="n">
        <x:v>37.389460889905884</x:v>
      </x:c>
      <x:c r="E43" s="235" t="n">
        <x:v>126.92553763921738</x:v>
      </x:c>
      <x:c r="F43" s="105" t="e">
        <x:f>HYPERLINK("https://map.kakao.com/?panoid=1202970045&amp;pan=233.1&amp;zoom=0&amp;map_type=TYPE_MAP&amp;map_attribute=ROADVIEW&amp;urlX=483504.0&amp;urlY=1080615.0","카카오")</x:f>
        <x:v>HYPERLINK is not implemented. linkLocation=https://map.kakao.com/?panoid=1202970045&amp;pan=233.1&amp;zoom=0&amp;map_type=TYPE_MAP&amp;map_attribute=ROADVIEW&amp;urlX=483504.0&amp;urlY=1080615.0, friendlyName=카카오</x:v>
      </x:c>
      <x:c r="G43" s="105" t="e">
        <x:f>HYPERLINK("https://map.naver.com/p/entry/coordinates/3zfsFq,2AECqJ?c=15.00,0,0,0,dh","네이버")</x:f>
        <x:v>HYPERLINK is not implemented. linkLocation=https://map.naver.com/p/entry/coordinates/3zfsFq,2AECqJ?c=15.00,0,0,0,dh, friendlyName=네이버</x:v>
      </x:c>
      <x:c r="H43" s="238" t="str">
        <x:v>2025-11-17 13:10:05</x:v>
      </x:c>
      <x:c r="I43" s="233"/>
      <x:c r="J43" s="233"/>
      <x:c r="K43" s="233"/>
      <x:c r="L43" s="233"/>
      <x:c r="M43" s="233"/>
      <x:c r="N43" s="233"/>
      <x:c r="O43" s="233"/>
      <x:c r="P43" s="233"/>
      <x:c r="Q43" s="233"/>
    </x:row>
    <x:row r="44" ht="34" customHeight="1">
      <x:c r="A44" s="67" t="str">
        <x:v>CW36-B</x:v>
      </x:c>
      <x:c r="B44" s="67" t="str">
        <x:v>CW36</x:v>
      </x:c>
      <x:c r="C44" s="67" t="str">
        <x:v>B</x:v>
      </x:c>
      <x:c r="D44" s="235" t="n">
        <x:v>37.389528410094115</x:v>
      </x:c>
      <x:c r="E44" s="235" t="n">
        <x:v>126.92545656078262</x:v>
      </x:c>
      <x:c r="F44" s="105" t="e">
        <x:f>HYPERLINK("https://map.kakao.com/?panoid=1202970045&amp;pan=233.1&amp;zoom=0&amp;map_type=TYPE_MAP&amp;map_attribute=ROADVIEW&amp;urlX=483504.0&amp;urlY=1080615.0","카카오")</x:f>
        <x:v>HYPERLINK is not implemented. linkLocation=https://map.kakao.com/?panoid=1202970045&amp;pan=233.1&amp;zoom=0&amp;map_type=TYPE_MAP&amp;map_attribute=ROADVIEW&amp;urlX=483504.0&amp;urlY=1080615.0, friendlyName=카카오</x:v>
      </x:c>
      <x:c r="G44" s="105" t="e">
        <x:f>HYPERLINK("https://map.naver.com/p/entry/coordinates/3zfssm,2AECBC?c=15.00,0,0,0,dh","네이버")</x:f>
        <x:v>HYPERLINK is not implemented. linkLocation=https://map.naver.com/p/entry/coordinates/3zfssm,2AECBC?c=15.00,0,0,0,dh, friendlyName=네이버</x:v>
      </x:c>
      <x:c r="H44" s="238" t="str">
        <x:v>2025-11-17 13:10:05</x:v>
      </x:c>
      <x:c r="I44" s="233"/>
      <x:c r="J44" s="233"/>
      <x:c r="K44" s="233"/>
      <x:c r="L44" s="233"/>
      <x:c r="M44" s="233"/>
      <x:c r="N44" s="233"/>
      <x:c r="O44" s="233"/>
      <x:c r="P44" s="233"/>
      <x:c r="Q44" s="233"/>
    </x:row>
    <x:row r="45" ht="34" customHeight="1">
      <x:c r="A45" s="67" t="str">
        <x:v>CW38-A</x:v>
      </x:c>
      <x:c r="B45" s="67" t="str">
        <x:v>CW38</x:v>
      </x:c>
      <x:c r="C45" s="67" t="str">
        <x:v>A</x:v>
      </x:c>
      <x:c r="D45" s="235" t="n">
        <x:v>37.389248330727646</x:v>
      </x:c>
      <x:c r="E45" s="235" t="n">
        <x:v>126.92520180052233</x:v>
      </x:c>
      <x:c r="F45" s="105" t="e">
        <x:f>HYPERLINK("https://map.kakao.com/?panoid=1202970049&amp;pan=225.5&amp;zoom=0&amp;map_type=TYPE_MAP&amp;map_attribute=ROADVIEW&amp;urlX=483430.0&amp;urlY=1080548.0","카카오")</x:f>
        <x:v>HYPERLINK is not implemented. linkLocation=https://map.kakao.com/?panoid=1202970049&amp;pan=225.5&amp;zoom=0&amp;map_type=TYPE_MAP&amp;map_attribute=ROADVIEW&amp;urlX=483430.0&amp;urlY=1080548.0, friendlyName=카카오</x:v>
      </x:c>
      <x:c r="G45" s="105" t="e">
        <x:f>HYPERLINK("https://map.naver.com/p/entry/coordinates/3zfrNg,2AEBSr?c=15.00,0,0,0,dh","네이버")</x:f>
        <x:v>HYPERLINK is not implemented. linkLocation=https://map.naver.com/p/entry/coordinates/3zfrNg,2AEBSr?c=15.00,0,0,0,dh, friendlyName=네이버</x:v>
      </x:c>
      <x:c r="H45" s="238" t="str">
        <x:v>2025-11-17 13:10:10</x:v>
      </x:c>
      <x:c r="I45" s="233"/>
      <x:c r="J45" s="233"/>
      <x:c r="K45" s="233"/>
      <x:c r="L45" s="233"/>
      <x:c r="M45" s="233"/>
      <x:c r="N45" s="233"/>
      <x:c r="O45" s="233"/>
      <x:c r="P45" s="233"/>
      <x:c r="Q45" s="233"/>
    </x:row>
    <x:row r="46" ht="34" customHeight="1">
      <x:c r="A46" s="67" t="str">
        <x:v>CW38-B</x:v>
      </x:c>
      <x:c r="B46" s="67" t="str">
        <x:v>CW38</x:v>
      </x:c>
      <x:c r="C46" s="67" t="str">
        <x:v>B</x:v>
      </x:c>
      <x:c r="D46" s="235" t="n">
        <x:v>37.38930162927237</x:v>
      </x:c>
      <x:c r="E46" s="235" t="n">
        <x:v>126.9251377994777</x:v>
      </x:c>
      <x:c r="F46" s="105" t="e">
        <x:f>HYPERLINK("https://map.kakao.com/?panoid=1202970049&amp;pan=225.5&amp;zoom=0&amp;map_type=TYPE_MAP&amp;map_attribute=ROADVIEW&amp;urlX=483430.0&amp;urlY=1080548.0","카카오")</x:f>
        <x:v>HYPERLINK is not implemented. linkLocation=https://map.kakao.com/?panoid=1202970049&amp;pan=225.5&amp;zoom=0&amp;map_type=TYPE_MAP&amp;map_attribute=ROADVIEW&amp;urlX=483430.0&amp;urlY=1080548.0, friendlyName=카카오</x:v>
      </x:c>
      <x:c r="G46" s="105" t="e">
        <x:f>HYPERLINK("https://map.naver.com/p/entry/coordinates/3zfrCW,2AEC12?c=15.00,0,0,0,dh","네이버")</x:f>
        <x:v>HYPERLINK is not implemented. linkLocation=https://map.naver.com/p/entry/coordinates/3zfrCW,2AEC12?c=15.00,0,0,0,dh, friendlyName=네이버</x:v>
      </x:c>
      <x:c r="H46" s="238" t="str">
        <x:v>2025-11-17 13:10:10</x:v>
      </x:c>
      <x:c r="I46" s="233"/>
      <x:c r="J46" s="233"/>
      <x:c r="K46" s="233"/>
      <x:c r="L46" s="233"/>
      <x:c r="M46" s="233"/>
      <x:c r="N46" s="233"/>
      <x:c r="O46" s="233"/>
      <x:c r="P46" s="233"/>
      <x:c r="Q46" s="233"/>
    </x:row>
    <x:row r="47">
      <x:c r="A47" s="66"/>
      <x:c r="B47" s="66"/>
      <x:c r="C47" s="66"/>
      <x:c r="D47" s="66"/>
      <x:c r="E47" s="66"/>
      <x:c r="F47" s="66"/>
      <x:c r="G47" s="66"/>
      <x:c r="H47" s="66"/>
      <x:c r="I47" s="66"/>
      <x:c r="J47" s="66"/>
      <x:c r="K47" s="66"/>
      <x:c r="L47" s="66"/>
      <x:c r="M47" s="66"/>
      <x:c r="N47" s="66"/>
      <x:c r="O47" s="66"/>
      <x:c r="P47" s="66"/>
      <x:c r="Q47" s="66"/>
    </x:row>
    <x:row r="48">
      <x:c r="A48" s="66"/>
      <x:c r="B48" s="66"/>
      <x:c r="C48" s="66"/>
      <x:c r="D48" s="66"/>
      <x:c r="E48" s="66"/>
      <x:c r="F48" s="66"/>
      <x:c r="G48" s="66"/>
      <x:c r="H48" s="66"/>
      <x:c r="I48" s="66"/>
      <x:c r="J48" s="66"/>
      <x:c r="K48" s="66"/>
      <x:c r="L48" s="66"/>
      <x:c r="M48" s="66"/>
      <x:c r="N48" s="66"/>
      <x:c r="O48" s="66"/>
      <x:c r="P48" s="66"/>
      <x:c r="Q48" s="66"/>
    </x:row>
    <x:row r="49">
      <x:c r="A49" s="66"/>
      <x:c r="B49" s="66"/>
      <x:c r="C49" s="66"/>
      <x:c r="D49" s="66"/>
      <x:c r="E49" s="66"/>
      <x:c r="F49" s="66"/>
      <x:c r="G49" s="66"/>
      <x:c r="H49" s="66"/>
      <x:c r="I49" s="66"/>
      <x:c r="J49" s="66"/>
      <x:c r="K49" s="66"/>
      <x:c r="L49" s="66"/>
      <x:c r="M49" s="66"/>
      <x:c r="N49" s="66"/>
      <x:c r="O49" s="66"/>
      <x:c r="P49" s="66"/>
      <x:c r="Q49" s="66"/>
    </x:row>
    <x:row r="50">
      <x:c r="A50" s="66"/>
      <x:c r="B50" s="66"/>
      <x:c r="C50" s="66"/>
      <x:c r="D50" s="66"/>
      <x:c r="E50" s="66"/>
      <x:c r="F50" s="66"/>
      <x:c r="G50" s="66"/>
      <x:c r="H50" s="66"/>
      <x:c r="I50" s="66"/>
      <x:c r="J50" s="66"/>
      <x:c r="K50" s="66"/>
      <x:c r="L50" s="66"/>
      <x:c r="M50" s="66"/>
      <x:c r="N50" s="66"/>
      <x:c r="O50" s="66"/>
      <x:c r="P50" s="66"/>
      <x:c r="Q50" s="66"/>
    </x:row>
    <x:row r="51">
      <x:c r="A51" s="66"/>
      <x:c r="B51" s="66"/>
      <x:c r="C51" s="66"/>
      <x:c r="D51" s="66"/>
      <x:c r="E51" s="66"/>
      <x:c r="F51" s="66"/>
      <x:c r="G51" s="66"/>
      <x:c r="H51" s="66"/>
      <x:c r="I51" s="66"/>
      <x:c r="J51" s="66"/>
      <x:c r="K51" s="66"/>
      <x:c r="L51" s="66"/>
      <x:c r="M51" s="66"/>
      <x:c r="N51" s="66"/>
      <x:c r="O51" s="66"/>
      <x:c r="P51" s="66"/>
      <x:c r="Q51" s="66"/>
    </x:row>
    <x:row r="52">
      <x:c r="A52" s="66"/>
      <x:c r="B52" s="66"/>
      <x:c r="C52" s="66"/>
      <x:c r="D52" s="66"/>
      <x:c r="E52" s="66"/>
      <x:c r="F52" s="66"/>
      <x:c r="G52" s="66"/>
      <x:c r="H52" s="66"/>
      <x:c r="I52" s="66"/>
      <x:c r="J52" s="66"/>
      <x:c r="K52" s="66"/>
      <x:c r="L52" s="66"/>
      <x:c r="M52" s="66"/>
      <x:c r="N52" s="66"/>
      <x:c r="O52" s="66"/>
      <x:c r="P52" s="66"/>
      <x:c r="Q52" s="66"/>
    </x:row>
    <x:row r="53">
      <x:c r="A53" s="66"/>
      <x:c r="B53" s="66"/>
      <x:c r="C53" s="66"/>
      <x:c r="D53" s="66"/>
      <x:c r="E53" s="66"/>
      <x:c r="F53" s="66"/>
      <x:c r="G53" s="66"/>
      <x:c r="H53" s="66"/>
      <x:c r="I53" s="66"/>
      <x:c r="J53" s="66"/>
      <x:c r="K53" s="66"/>
      <x:c r="L53" s="66"/>
      <x:c r="M53" s="66"/>
      <x:c r="N53" s="66"/>
      <x:c r="O53" s="66"/>
      <x:c r="P53" s="66"/>
      <x:c r="Q53" s="66"/>
    </x:row>
    <x:row r="54">
      <x:c r="A54" s="66"/>
      <x:c r="B54" s="66"/>
      <x:c r="C54" s="66"/>
      <x:c r="D54" s="66"/>
      <x:c r="E54" s="66"/>
      <x:c r="F54" s="66"/>
      <x:c r="G54" s="66"/>
      <x:c r="H54" s="66"/>
      <x:c r="I54" s="66"/>
      <x:c r="J54" s="66"/>
      <x:c r="K54" s="66"/>
      <x:c r="L54" s="66"/>
      <x:c r="M54" s="66"/>
      <x:c r="N54" s="66"/>
      <x:c r="O54" s="66"/>
      <x:c r="P54" s="66"/>
      <x:c r="Q54" s="66"/>
    </x:row>
    <x:row r="55">
      <x:c r="A55" s="66"/>
      <x:c r="B55" s="66"/>
      <x:c r="C55" s="66"/>
      <x:c r="D55" s="66"/>
      <x:c r="E55" s="66"/>
      <x:c r="F55" s="66"/>
      <x:c r="G55" s="66"/>
      <x:c r="H55" s="66"/>
      <x:c r="I55" s="66"/>
      <x:c r="J55" s="66"/>
      <x:c r="K55" s="66"/>
      <x:c r="L55" s="66"/>
      <x:c r="M55" s="66"/>
      <x:c r="N55" s="66"/>
      <x:c r="O55" s="66"/>
      <x:c r="P55" s="66"/>
      <x:c r="Q55" s="66"/>
    </x:row>
    <x:row r="56">
      <x:c r="A56" s="66"/>
      <x:c r="B56" s="66"/>
      <x:c r="C56" s="66"/>
      <x:c r="D56" s="66"/>
      <x:c r="E56" s="66"/>
      <x:c r="F56" s="66"/>
      <x:c r="G56" s="66"/>
      <x:c r="H56" s="66"/>
      <x:c r="I56" s="66"/>
      <x:c r="J56" s="66"/>
      <x:c r="K56" s="66"/>
      <x:c r="L56" s="66"/>
      <x:c r="M56" s="66"/>
      <x:c r="N56" s="66"/>
      <x:c r="O56" s="66"/>
      <x:c r="P56" s="66"/>
      <x:c r="Q56" s="66"/>
    </x:row>
    <x:row r="57">
      <x:c r="A57" s="66"/>
      <x:c r="B57" s="66"/>
      <x:c r="C57" s="66"/>
      <x:c r="D57" s="66"/>
      <x:c r="E57" s="66"/>
      <x:c r="F57" s="66"/>
      <x:c r="G57" s="66"/>
      <x:c r="H57" s="66"/>
      <x:c r="I57" s="66"/>
      <x:c r="J57" s="66"/>
      <x:c r="K57" s="66"/>
      <x:c r="L57" s="66"/>
      <x:c r="M57" s="66"/>
      <x:c r="N57" s="66"/>
      <x:c r="O57" s="66"/>
      <x:c r="P57" s="66"/>
      <x:c r="Q57" s="66"/>
    </x:row>
    <x:row r="58">
      <x:c r="A58" s="66"/>
      <x:c r="B58" s="66"/>
      <x:c r="C58" s="66"/>
      <x:c r="D58" s="66"/>
      <x:c r="E58" s="66"/>
      <x:c r="F58" s="66"/>
      <x:c r="G58" s="66"/>
      <x:c r="H58" s="66"/>
      <x:c r="I58" s="66"/>
      <x:c r="J58" s="66"/>
      <x:c r="K58" s="66"/>
      <x:c r="L58" s="66"/>
      <x:c r="M58" s="66"/>
      <x:c r="N58" s="66"/>
      <x:c r="O58" s="66"/>
      <x:c r="P58" s="66"/>
      <x:c r="Q58" s="66"/>
    </x:row>
    <x:row r="59">
      <x:c r="A59" s="66"/>
      <x:c r="B59" s="66"/>
      <x:c r="C59" s="66"/>
      <x:c r="D59" s="66"/>
      <x:c r="E59" s="66"/>
      <x:c r="F59" s="66"/>
      <x:c r="G59" s="66"/>
      <x:c r="H59" s="66"/>
      <x:c r="I59" s="66"/>
      <x:c r="J59" s="66"/>
      <x:c r="K59" s="66"/>
      <x:c r="L59" s="66"/>
      <x:c r="M59" s="66"/>
      <x:c r="N59" s="66"/>
      <x:c r="O59" s="66"/>
      <x:c r="P59" s="66"/>
      <x:c r="Q59" s="66"/>
    </x:row>
    <x:row r="60">
      <x:c r="A60" s="66"/>
      <x:c r="B60" s="66"/>
      <x:c r="C60" s="66"/>
      <x:c r="D60" s="66"/>
      <x:c r="E60" s="66"/>
      <x:c r="F60" s="66"/>
      <x:c r="G60" s="66"/>
      <x:c r="H60" s="66"/>
      <x:c r="I60" s="66"/>
      <x:c r="J60" s="66"/>
      <x:c r="K60" s="66"/>
      <x:c r="L60" s="66"/>
      <x:c r="M60" s="66"/>
      <x:c r="N60" s="66"/>
      <x:c r="O60" s="66"/>
      <x:c r="P60" s="66"/>
      <x:c r="Q60" s="66"/>
    </x:row>
    <x:row r="61">
      <x:c r="A61" s="66"/>
      <x:c r="B61" s="66"/>
      <x:c r="C61" s="66"/>
      <x:c r="D61" s="66"/>
      <x:c r="E61" s="66"/>
      <x:c r="F61" s="66"/>
      <x:c r="G61" s="66"/>
      <x:c r="H61" s="66"/>
      <x:c r="I61" s="66"/>
      <x:c r="J61" s="66"/>
      <x:c r="K61" s="66"/>
      <x:c r="L61" s="66"/>
      <x:c r="M61" s="66"/>
      <x:c r="N61" s="66"/>
      <x:c r="O61" s="66"/>
      <x:c r="P61" s="66"/>
      <x:c r="Q61" s="66"/>
    </x:row>
    <x:row r="62">
      <x:c r="A62" s="66"/>
      <x:c r="B62" s="66"/>
      <x:c r="C62" s="66"/>
      <x:c r="D62" s="66"/>
      <x:c r="E62" s="66"/>
      <x:c r="F62" s="66"/>
      <x:c r="G62" s="66"/>
      <x:c r="H62" s="66"/>
      <x:c r="I62" s="66"/>
      <x:c r="J62" s="66"/>
      <x:c r="K62" s="66"/>
      <x:c r="L62" s="66"/>
      <x:c r="M62" s="66"/>
      <x:c r="N62" s="66"/>
      <x:c r="O62" s="66"/>
      <x:c r="P62" s="66"/>
      <x:c r="Q62" s="66"/>
    </x:row>
    <x:row r="63">
      <x:c r="A63" s="66"/>
      <x:c r="B63" s="66"/>
      <x:c r="C63" s="66"/>
      <x:c r="D63" s="66"/>
      <x:c r="E63" s="66"/>
      <x:c r="F63" s="66"/>
      <x:c r="G63" s="66"/>
      <x:c r="H63" s="66"/>
      <x:c r="I63" s="66"/>
      <x:c r="J63" s="66"/>
      <x:c r="K63" s="66"/>
      <x:c r="L63" s="66"/>
      <x:c r="M63" s="66"/>
      <x:c r="N63" s="66"/>
      <x:c r="O63" s="66"/>
      <x:c r="P63" s="66"/>
      <x:c r="Q63" s="66"/>
    </x:row>
    <x:row r="64">
      <x:c r="A64" s="66"/>
      <x:c r="B64" s="66"/>
      <x:c r="C64" s="66"/>
      <x:c r="D64" s="66"/>
      <x:c r="E64" s="66"/>
      <x:c r="F64" s="66"/>
      <x:c r="G64" s="66"/>
      <x:c r="H64" s="66"/>
      <x:c r="I64" s="66"/>
      <x:c r="J64" s="66"/>
      <x:c r="K64" s="66"/>
      <x:c r="L64" s="66"/>
      <x:c r="M64" s="66"/>
      <x:c r="N64" s="66"/>
      <x:c r="O64" s="66"/>
      <x:c r="P64" s="66"/>
      <x:c r="Q64" s="66"/>
    </x:row>
    <x:row r="65">
      <x:c r="A65" s="66"/>
      <x:c r="B65" s="66"/>
      <x:c r="C65" s="66"/>
      <x:c r="D65" s="66"/>
      <x:c r="E65" s="66"/>
      <x:c r="F65" s="66"/>
      <x:c r="G65" s="66"/>
      <x:c r="H65" s="66"/>
      <x:c r="I65" s="66"/>
      <x:c r="J65" s="66"/>
      <x:c r="K65" s="66"/>
      <x:c r="L65" s="66"/>
      <x:c r="M65" s="66"/>
      <x:c r="N65" s="66"/>
      <x:c r="O65" s="66"/>
      <x:c r="P65" s="66"/>
      <x:c r="Q65" s="66"/>
    </x:row>
    <x:row r="66">
      <x:c r="A66" s="66"/>
      <x:c r="B66" s="66"/>
      <x:c r="C66" s="66"/>
      <x:c r="D66" s="66"/>
      <x:c r="E66" s="66"/>
      <x:c r="F66" s="66"/>
      <x:c r="G66" s="66"/>
      <x:c r="H66" s="66"/>
      <x:c r="I66" s="66"/>
      <x:c r="J66" s="66"/>
      <x:c r="K66" s="66"/>
      <x:c r="L66" s="66"/>
      <x:c r="M66" s="66"/>
      <x:c r="N66" s="66"/>
      <x:c r="O66" s="66"/>
      <x:c r="P66" s="66"/>
      <x:c r="Q66" s="66"/>
    </x:row>
    <x:row r="67">
      <x:c r="A67" s="66"/>
      <x:c r="B67" s="66"/>
      <x:c r="C67" s="66"/>
      <x:c r="D67" s="66"/>
      <x:c r="E67" s="66"/>
      <x:c r="F67" s="66"/>
      <x:c r="G67" s="66"/>
      <x:c r="H67" s="66"/>
      <x:c r="I67" s="66"/>
      <x:c r="J67" s="66"/>
      <x:c r="K67" s="66"/>
      <x:c r="L67" s="66"/>
      <x:c r="M67" s="66"/>
      <x:c r="N67" s="66"/>
      <x:c r="O67" s="66"/>
      <x:c r="P67" s="66"/>
      <x:c r="Q67" s="66"/>
    </x:row>
    <x:row r="68">
      <x:c r="A68" s="66"/>
      <x:c r="B68" s="66"/>
      <x:c r="C68" s="66"/>
      <x:c r="D68" s="66"/>
      <x:c r="E68" s="66"/>
      <x:c r="F68" s="66"/>
      <x:c r="G68" s="66"/>
      <x:c r="H68" s="66"/>
      <x:c r="I68" s="66"/>
      <x:c r="J68" s="66"/>
      <x:c r="K68" s="66"/>
      <x:c r="L68" s="66"/>
      <x:c r="M68" s="66"/>
      <x:c r="N68" s="66"/>
      <x:c r="O68" s="66"/>
      <x:c r="P68" s="66"/>
      <x:c r="Q68" s="66"/>
    </x:row>
    <x:row r="69">
      <x:c r="A69" s="66"/>
      <x:c r="B69" s="66"/>
      <x:c r="C69" s="66"/>
      <x:c r="D69" s="66"/>
      <x:c r="E69" s="66"/>
      <x:c r="F69" s="66"/>
      <x:c r="G69" s="66"/>
      <x:c r="H69" s="66"/>
      <x:c r="I69" s="66"/>
      <x:c r="J69" s="66"/>
      <x:c r="K69" s="66"/>
      <x:c r="L69" s="66"/>
      <x:c r="M69" s="66"/>
      <x:c r="N69" s="66"/>
      <x:c r="O69" s="66"/>
      <x:c r="P69" s="66"/>
      <x:c r="Q69" s="66"/>
    </x:row>
    <x:row r="70">
      <x:c r="A70" s="66"/>
      <x:c r="B70" s="66"/>
      <x:c r="C70" s="66"/>
      <x:c r="D70" s="66"/>
      <x:c r="E70" s="66"/>
      <x:c r="F70" s="66"/>
      <x:c r="G70" s="66"/>
      <x:c r="H70" s="66"/>
      <x:c r="I70" s="66"/>
      <x:c r="J70" s="66"/>
      <x:c r="K70" s="66"/>
      <x:c r="L70" s="66"/>
      <x:c r="M70" s="66"/>
      <x:c r="N70" s="66"/>
      <x:c r="O70" s="66"/>
      <x:c r="P70" s="66"/>
      <x:c r="Q70" s="66"/>
    </x:row>
    <x:row r="71">
      <x:c r="A71" s="66"/>
      <x:c r="B71" s="66"/>
      <x:c r="C71" s="66"/>
      <x:c r="D71" s="66"/>
      <x:c r="E71" s="66"/>
      <x:c r="F71" s="66"/>
      <x:c r="G71" s="66"/>
      <x:c r="H71" s="66"/>
      <x:c r="I71" s="66"/>
      <x:c r="J71" s="66"/>
      <x:c r="K71" s="66"/>
      <x:c r="L71" s="66"/>
      <x:c r="M71" s="66"/>
      <x:c r="N71" s="66"/>
      <x:c r="O71" s="66"/>
      <x:c r="P71" s="66"/>
      <x:c r="Q71" s="66"/>
    </x:row>
    <x:row r="72">
      <x:c r="A72" s="66"/>
      <x:c r="B72" s="66"/>
      <x:c r="C72" s="66"/>
      <x:c r="D72" s="66"/>
      <x:c r="E72" s="66"/>
      <x:c r="F72" s="66"/>
      <x:c r="G72" s="66"/>
      <x:c r="H72" s="66"/>
      <x:c r="I72" s="66"/>
      <x:c r="J72" s="66"/>
      <x:c r="K72" s="66"/>
      <x:c r="L72" s="66"/>
      <x:c r="M72" s="66"/>
      <x:c r="N72" s="66"/>
      <x:c r="O72" s="66"/>
      <x:c r="P72" s="66"/>
      <x:c r="Q72" s="66"/>
    </x:row>
    <x:row r="73">
      <x:c r="A73" s="66"/>
      <x:c r="B73" s="66"/>
      <x:c r="C73" s="66"/>
      <x:c r="D73" s="66"/>
      <x:c r="E73" s="66"/>
      <x:c r="F73" s="66"/>
      <x:c r="G73" s="66"/>
      <x:c r="H73" s="66"/>
      <x:c r="I73" s="66"/>
      <x:c r="J73" s="66"/>
      <x:c r="K73" s="66"/>
      <x:c r="L73" s="66"/>
      <x:c r="M73" s="66"/>
      <x:c r="N73" s="66"/>
      <x:c r="O73" s="66"/>
      <x:c r="P73" s="66"/>
      <x:c r="Q73" s="66"/>
    </x:row>
    <x:row r="74">
      <x:c r="A74" s="66"/>
      <x:c r="B74" s="66"/>
      <x:c r="C74" s="66"/>
      <x:c r="D74" s="66"/>
      <x:c r="E74" s="66"/>
      <x:c r="F74" s="66"/>
      <x:c r="G74" s="66"/>
      <x:c r="H74" s="66"/>
      <x:c r="I74" s="66"/>
      <x:c r="J74" s="66"/>
      <x:c r="K74" s="66"/>
      <x:c r="L74" s="66"/>
      <x:c r="M74" s="66"/>
      <x:c r="N74" s="66"/>
      <x:c r="O74" s="66"/>
      <x:c r="P74" s="66"/>
      <x:c r="Q74" s="66"/>
    </x:row>
    <x:row r="75">
      <x:c r="A75" s="66"/>
      <x:c r="B75" s="66"/>
      <x:c r="C75" s="66"/>
      <x:c r="D75" s="66"/>
      <x:c r="E75" s="66"/>
      <x:c r="F75" s="66"/>
      <x:c r="G75" s="66"/>
      <x:c r="H75" s="66"/>
      <x:c r="I75" s="66"/>
      <x:c r="J75" s="66"/>
      <x:c r="K75" s="66"/>
      <x:c r="L75" s="66"/>
      <x:c r="M75" s="66"/>
      <x:c r="N75" s="66"/>
      <x:c r="O75" s="66"/>
      <x:c r="P75" s="66"/>
      <x:c r="Q75" s="66"/>
    </x:row>
    <x:row r="76">
      <x:c r="A76" s="66"/>
      <x:c r="B76" s="66"/>
      <x:c r="C76" s="66"/>
      <x:c r="D76" s="66"/>
      <x:c r="E76" s="66"/>
      <x:c r="F76" s="66"/>
      <x:c r="G76" s="66"/>
      <x:c r="H76" s="66"/>
      <x:c r="I76" s="66"/>
      <x:c r="J76" s="66"/>
      <x:c r="K76" s="66"/>
      <x:c r="L76" s="66"/>
      <x:c r="M76" s="66"/>
      <x:c r="N76" s="66"/>
      <x:c r="O76" s="66"/>
      <x:c r="P76" s="66"/>
      <x:c r="Q76" s="66"/>
    </x:row>
    <x:row r="77">
      <x:c r="A77" s="66"/>
      <x:c r="B77" s="66"/>
      <x:c r="C77" s="66"/>
      <x:c r="D77" s="66"/>
      <x:c r="E77" s="66"/>
      <x:c r="F77" s="66"/>
      <x:c r="G77" s="66"/>
      <x:c r="H77" s="66"/>
      <x:c r="I77" s="66"/>
      <x:c r="J77" s="66"/>
      <x:c r="K77" s="66"/>
      <x:c r="L77" s="66"/>
      <x:c r="M77" s="66"/>
      <x:c r="N77" s="66"/>
      <x:c r="O77" s="66"/>
      <x:c r="P77" s="66"/>
      <x:c r="Q77" s="66"/>
    </x:row>
    <x:row r="78">
      <x:c r="A78" s="66"/>
      <x:c r="B78" s="66"/>
      <x:c r="C78" s="66"/>
      <x:c r="D78" s="66"/>
      <x:c r="E78" s="66"/>
      <x:c r="F78" s="66"/>
      <x:c r="G78" s="66"/>
      <x:c r="H78" s="66"/>
      <x:c r="I78" s="66"/>
      <x:c r="J78" s="66"/>
      <x:c r="K78" s="66"/>
      <x:c r="L78" s="66"/>
      <x:c r="M78" s="66"/>
      <x:c r="N78" s="66"/>
      <x:c r="O78" s="66"/>
      <x:c r="P78" s="66"/>
      <x:c r="Q78" s="66"/>
    </x:row>
    <x:row r="79">
      <x:c r="A79" s="66"/>
      <x:c r="B79" s="66"/>
      <x:c r="C79" s="66"/>
      <x:c r="D79" s="66"/>
      <x:c r="E79" s="66"/>
      <x:c r="F79" s="66"/>
      <x:c r="G79" s="66"/>
      <x:c r="H79" s="66"/>
      <x:c r="I79" s="66"/>
      <x:c r="J79" s="66"/>
      <x:c r="K79" s="66"/>
      <x:c r="L79" s="66"/>
      <x:c r="M79" s="66"/>
      <x:c r="N79" s="66"/>
      <x:c r="O79" s="66"/>
      <x:c r="P79" s="66"/>
      <x:c r="Q79" s="66"/>
    </x:row>
    <x:row r="80">
      <x:c r="A80" s="66"/>
      <x:c r="B80" s="66"/>
      <x:c r="C80" s="66"/>
      <x:c r="D80" s="66"/>
      <x:c r="E80" s="66"/>
      <x:c r="F80" s="66"/>
      <x:c r="G80" s="66"/>
      <x:c r="H80" s="66"/>
      <x:c r="I80" s="66"/>
      <x:c r="J80" s="66"/>
      <x:c r="K80" s="66"/>
      <x:c r="L80" s="66"/>
      <x:c r="M80" s="66"/>
      <x:c r="N80" s="66"/>
      <x:c r="O80" s="66"/>
      <x:c r="P80" s="66"/>
      <x:c r="Q80" s="66"/>
    </x:row>
    <x:row r="81">
      <x:c r="A81" s="66"/>
      <x:c r="B81" s="66"/>
      <x:c r="C81" s="66"/>
      <x:c r="D81" s="66"/>
      <x:c r="E81" s="66"/>
      <x:c r="F81" s="66"/>
      <x:c r="G81" s="66"/>
      <x:c r="H81" s="66"/>
      <x:c r="I81" s="66"/>
      <x:c r="J81" s="66"/>
      <x:c r="K81" s="66"/>
      <x:c r="L81" s="66"/>
      <x:c r="M81" s="66"/>
      <x:c r="N81" s="66"/>
      <x:c r="O81" s="66"/>
      <x:c r="P81" s="66"/>
      <x:c r="Q81" s="66"/>
    </x:row>
    <x:row r="82">
      <x:c r="A82" s="66"/>
      <x:c r="B82" s="66"/>
      <x:c r="C82" s="66"/>
      <x:c r="D82" s="66"/>
      <x:c r="E82" s="66"/>
      <x:c r="F82" s="66"/>
      <x:c r="G82" s="66"/>
      <x:c r="H82" s="66"/>
      <x:c r="I82" s="66"/>
      <x:c r="J82" s="66"/>
      <x:c r="K82" s="66"/>
      <x:c r="L82" s="66"/>
      <x:c r="M82" s="66"/>
      <x:c r="N82" s="66"/>
      <x:c r="O82" s="66"/>
      <x:c r="P82" s="66"/>
      <x:c r="Q82" s="66"/>
    </x:row>
    <x:row r="83">
      <x:c r="A83" s="66"/>
      <x:c r="B83" s="66"/>
      <x:c r="C83" s="66"/>
      <x:c r="D83" s="66"/>
      <x:c r="E83" s="66"/>
      <x:c r="F83" s="66"/>
      <x:c r="G83" s="66"/>
      <x:c r="H83" s="66"/>
      <x:c r="I83" s="66"/>
      <x:c r="J83" s="66"/>
      <x:c r="K83" s="66"/>
      <x:c r="L83" s="66"/>
      <x:c r="M83" s="66"/>
      <x:c r="N83" s="66"/>
      <x:c r="O83" s="66"/>
      <x:c r="P83" s="66"/>
      <x:c r="Q83" s="66"/>
    </x:row>
    <x:row r="84">
      <x:c r="A84" s="66"/>
      <x:c r="B84" s="66"/>
      <x:c r="C84" s="66"/>
      <x:c r="D84" s="66"/>
      <x:c r="E84" s="66"/>
      <x:c r="F84" s="66"/>
      <x:c r="G84" s="66"/>
      <x:c r="H84" s="66"/>
      <x:c r="I84" s="66"/>
      <x:c r="J84" s="66"/>
      <x:c r="K84" s="66"/>
      <x:c r="L84" s="66"/>
      <x:c r="M84" s="66"/>
      <x:c r="N84" s="66"/>
      <x:c r="O84" s="66"/>
      <x:c r="P84" s="66"/>
      <x:c r="Q84" s="66"/>
    </x:row>
    <x:row r="85">
      <x:c r="A85" s="66"/>
      <x:c r="B85" s="66"/>
      <x:c r="C85" s="66"/>
      <x:c r="D85" s="66"/>
      <x:c r="E85" s="66"/>
      <x:c r="F85" s="66"/>
      <x:c r="G85" s="66"/>
      <x:c r="H85" s="66"/>
      <x:c r="I85" s="66"/>
      <x:c r="J85" s="66"/>
      <x:c r="K85" s="66"/>
      <x:c r="L85" s="66"/>
      <x:c r="M85" s="66"/>
      <x:c r="N85" s="66"/>
      <x:c r="O85" s="66"/>
      <x:c r="P85" s="66"/>
      <x:c r="Q85" s="66"/>
    </x:row>
    <x:row r="86">
      <x:c r="A86" s="66"/>
      <x:c r="B86" s="66"/>
      <x:c r="C86" s="66"/>
      <x:c r="D86" s="66"/>
      <x:c r="E86" s="66"/>
      <x:c r="F86" s="66"/>
      <x:c r="G86" s="66"/>
      <x:c r="H86" s="66"/>
      <x:c r="I86" s="66"/>
      <x:c r="J86" s="66"/>
      <x:c r="K86" s="66"/>
      <x:c r="L86" s="66"/>
      <x:c r="M86" s="66"/>
      <x:c r="N86" s="66"/>
      <x:c r="O86" s="66"/>
      <x:c r="P86" s="66"/>
      <x:c r="Q86" s="66"/>
    </x:row>
    <x:row r="87">
      <x:c r="A87" s="66"/>
      <x:c r="B87" s="66"/>
      <x:c r="C87" s="66"/>
      <x:c r="D87" s="66"/>
      <x:c r="E87" s="66"/>
      <x:c r="F87" s="66"/>
      <x:c r="G87" s="66"/>
      <x:c r="H87" s="66"/>
      <x:c r="I87" s="66"/>
      <x:c r="J87" s="66"/>
      <x:c r="K87" s="66"/>
      <x:c r="L87" s="66"/>
      <x:c r="M87" s="66"/>
      <x:c r="N87" s="66"/>
      <x:c r="O87" s="66"/>
      <x:c r="P87" s="66"/>
      <x:c r="Q87" s="66"/>
    </x:row>
    <x:row r="88">
      <x:c r="A88" s="66"/>
      <x:c r="B88" s="66"/>
      <x:c r="C88" s="66"/>
      <x:c r="D88" s="66"/>
      <x:c r="E88" s="66"/>
      <x:c r="F88" s="66"/>
      <x:c r="G88" s="66"/>
      <x:c r="H88" s="66"/>
      <x:c r="I88" s="66"/>
      <x:c r="J88" s="66"/>
      <x:c r="K88" s="66"/>
      <x:c r="L88" s="66"/>
      <x:c r="M88" s="66"/>
      <x:c r="N88" s="66"/>
      <x:c r="O88" s="66"/>
      <x:c r="P88" s="66"/>
      <x:c r="Q88" s="66"/>
    </x:row>
    <x:row r="89">
      <x:c r="A89" s="66"/>
      <x:c r="B89" s="66"/>
      <x:c r="C89" s="66"/>
      <x:c r="D89" s="66"/>
      <x:c r="E89" s="66"/>
      <x:c r="F89" s="66"/>
      <x:c r="G89" s="66"/>
      <x:c r="H89" s="66"/>
      <x:c r="I89" s="66"/>
      <x:c r="J89" s="66"/>
      <x:c r="K89" s="66"/>
      <x:c r="L89" s="66"/>
      <x:c r="M89" s="66"/>
      <x:c r="N89" s="66"/>
      <x:c r="O89" s="66"/>
      <x:c r="P89" s="66"/>
      <x:c r="Q89" s="66"/>
    </x:row>
    <x:row r="90">
      <x:c r="A90" s="66"/>
      <x:c r="B90" s="66"/>
      <x:c r="C90" s="66"/>
      <x:c r="D90" s="66"/>
      <x:c r="E90" s="66"/>
      <x:c r="F90" s="66"/>
      <x:c r="G90" s="66"/>
      <x:c r="H90" s="66"/>
      <x:c r="I90" s="66"/>
      <x:c r="J90" s="66"/>
      <x:c r="K90" s="66"/>
      <x:c r="L90" s="66"/>
      <x:c r="M90" s="66"/>
      <x:c r="N90" s="66"/>
      <x:c r="O90" s="66"/>
      <x:c r="P90" s="66"/>
      <x:c r="Q90" s="66"/>
    </x:row>
    <x:row r="91">
      <x:c r="A91" s="66"/>
      <x:c r="B91" s="66"/>
      <x:c r="C91" s="66"/>
      <x:c r="D91" s="66"/>
      <x:c r="E91" s="66"/>
      <x:c r="F91" s="66"/>
      <x:c r="G91" s="66"/>
      <x:c r="H91" s="66"/>
      <x:c r="I91" s="66"/>
      <x:c r="J91" s="66"/>
      <x:c r="K91" s="66"/>
      <x:c r="L91" s="66"/>
      <x:c r="M91" s="66"/>
      <x:c r="N91" s="66"/>
      <x:c r="O91" s="66"/>
      <x:c r="P91" s="66"/>
      <x:c r="Q91" s="66"/>
    </x:row>
    <x:row r="92">
      <x:c r="A92" s="66"/>
      <x:c r="B92" s="66"/>
      <x:c r="C92" s="66"/>
      <x:c r="D92" s="66"/>
      <x:c r="E92" s="66"/>
      <x:c r="F92" s="66"/>
      <x:c r="G92" s="66"/>
      <x:c r="H92" s="66"/>
      <x:c r="I92" s="66"/>
      <x:c r="J92" s="66"/>
      <x:c r="K92" s="66"/>
      <x:c r="L92" s="66"/>
      <x:c r="M92" s="66"/>
      <x:c r="N92" s="66"/>
      <x:c r="O92" s="66"/>
      <x:c r="P92" s="66"/>
      <x:c r="Q92" s="66"/>
    </x:row>
    <x:row r="93">
      <x:c r="A93" s="66"/>
      <x:c r="B93" s="66"/>
      <x:c r="C93" s="66"/>
      <x:c r="D93" s="66"/>
      <x:c r="E93" s="66"/>
      <x:c r="F93" s="66"/>
      <x:c r="G93" s="66"/>
      <x:c r="H93" s="66"/>
      <x:c r="I93" s="66"/>
      <x:c r="J93" s="66"/>
      <x:c r="K93" s="66"/>
      <x:c r="L93" s="66"/>
      <x:c r="M93" s="66"/>
      <x:c r="N93" s="66"/>
      <x:c r="O93" s="66"/>
      <x:c r="P93" s="66"/>
      <x:c r="Q93" s="66"/>
    </x:row>
    <x:row r="94">
      <x:c r="A94" s="66"/>
      <x:c r="B94" s="66"/>
      <x:c r="C94" s="66"/>
      <x:c r="D94" s="66"/>
      <x:c r="E94" s="66"/>
      <x:c r="F94" s="66"/>
      <x:c r="G94" s="66"/>
      <x:c r="H94" s="66"/>
      <x:c r="I94" s="66"/>
      <x:c r="J94" s="66"/>
      <x:c r="K94" s="66"/>
      <x:c r="L94" s="66"/>
      <x:c r="M94" s="66"/>
      <x:c r="N94" s="66"/>
      <x:c r="O94" s="66"/>
      <x:c r="P94" s="66"/>
      <x:c r="Q94" s="66"/>
    </x:row>
    <x:row r="95">
      <x:c r="A95" s="66"/>
      <x:c r="B95" s="66"/>
      <x:c r="C95" s="66"/>
      <x:c r="D95" s="66"/>
      <x:c r="E95" s="66"/>
      <x:c r="F95" s="66"/>
      <x:c r="G95" s="66"/>
      <x:c r="H95" s="66"/>
      <x:c r="I95" s="66"/>
      <x:c r="J95" s="66"/>
      <x:c r="K95" s="66"/>
      <x:c r="L95" s="66"/>
      <x:c r="M95" s="66"/>
      <x:c r="N95" s="66"/>
      <x:c r="O95" s="66"/>
      <x:c r="P95" s="66"/>
      <x:c r="Q95" s="66"/>
    </x:row>
    <x:row r="96">
      <x:c r="A96" s="66"/>
      <x:c r="B96" s="66"/>
      <x:c r="C96" s="66"/>
      <x:c r="D96" s="66"/>
      <x:c r="E96" s="66"/>
      <x:c r="F96" s="66"/>
      <x:c r="G96" s="66"/>
      <x:c r="H96" s="66"/>
      <x:c r="I96" s="66"/>
      <x:c r="J96" s="66"/>
      <x:c r="K96" s="66"/>
      <x:c r="L96" s="66"/>
      <x:c r="M96" s="66"/>
      <x:c r="N96" s="66"/>
      <x:c r="O96" s="66"/>
      <x:c r="P96" s="66"/>
      <x:c r="Q96" s="66"/>
    </x:row>
    <x:row r="97">
      <x:c r="A97" s="66"/>
      <x:c r="B97" s="66"/>
      <x:c r="C97" s="66"/>
      <x:c r="D97" s="66"/>
      <x:c r="E97" s="66"/>
      <x:c r="F97" s="66"/>
      <x:c r="G97" s="66"/>
      <x:c r="H97" s="66"/>
      <x:c r="I97" s="66"/>
      <x:c r="J97" s="66"/>
      <x:c r="K97" s="66"/>
      <x:c r="L97" s="66"/>
      <x:c r="M97" s="66"/>
      <x:c r="N97" s="66"/>
      <x:c r="O97" s="66"/>
      <x:c r="P97" s="66"/>
      <x:c r="Q97" s="66"/>
    </x:row>
    <x:row r="98">
      <x:c r="A98" s="66"/>
      <x:c r="B98" s="66"/>
      <x:c r="C98" s="66"/>
      <x:c r="D98" s="66"/>
      <x:c r="E98" s="66"/>
      <x:c r="F98" s="66"/>
      <x:c r="G98" s="66"/>
      <x:c r="H98" s="66"/>
      <x:c r="I98" s="66"/>
      <x:c r="J98" s="66"/>
      <x:c r="K98" s="66"/>
      <x:c r="L98" s="66"/>
      <x:c r="M98" s="66"/>
      <x:c r="N98" s="66"/>
      <x:c r="O98" s="66"/>
      <x:c r="P98" s="66"/>
      <x:c r="Q98" s="66"/>
    </x:row>
    <x:row r="99">
      <x:c r="A99" s="66"/>
      <x:c r="B99" s="66"/>
      <x:c r="C99" s="66"/>
      <x:c r="D99" s="66"/>
      <x:c r="E99" s="66"/>
      <x:c r="F99" s="66"/>
      <x:c r="G99" s="66"/>
      <x:c r="H99" s="66"/>
      <x:c r="I99" s="66"/>
      <x:c r="J99" s="66"/>
      <x:c r="K99" s="66"/>
      <x:c r="L99" s="66"/>
      <x:c r="M99" s="66"/>
      <x:c r="N99" s="66"/>
      <x:c r="O99" s="66"/>
      <x:c r="P99" s="66"/>
      <x:c r="Q99" s="66"/>
    </x:row>
    <x:row r="100">
      <x:c r="A100" s="66"/>
      <x:c r="B100" s="66"/>
      <x:c r="C100" s="66"/>
      <x:c r="D100" s="66"/>
      <x:c r="E100" s="66"/>
      <x:c r="F100" s="66"/>
      <x:c r="G100" s="66"/>
      <x:c r="H100" s="66"/>
      <x:c r="I100" s="66"/>
      <x:c r="J100" s="66"/>
      <x:c r="K100" s="66"/>
      <x:c r="L100" s="66"/>
      <x:c r="M100" s="66"/>
      <x:c r="N100" s="66"/>
      <x:c r="O100" s="66"/>
      <x:c r="P100" s="66"/>
      <x:c r="Q100" s="66"/>
    </x:row>
  </x:sheetData>
  <x:dataValidations count="6">
    <x:dataValidation type="list" sqref="I7:I46">
      <x:formula1>"정합,보정 필요,판독불가"</x:formula1>
    </x:dataValidation>
    <x:dataValidation type="list" sqref="J7:K46">
      <x:formula1>"있음,없음,판독불가"</x:formula1>
    </x:dataValidation>
    <x:dataValidation type="list" sqref="L7:L46">
      <x:formula1>"없음,고정,임시,공사,판독불가"</x:formula1>
    </x:dataValidation>
    <x:dataValidation type="list" sqref="M7:M46">
      <x:formula1>"충분,일부,판독불가"</x:formula1>
    </x:dataValidation>
    <x:dataValidation type="list" sqref="N7:N46">
      <x:formula1>"통과 가능 후보,물리 제약 후보,판독불가"</x:formula1>
    </x:dataValidation>
    <x:dataValidation type="list" sqref="O7:O46">
      <x:formula1>"안내 양호 후보,안내 위험 후보,판독불가"</x:formula1>
    </x:dataValidation>
  </x:dataValidations>
  <x:pageMargins left="0.7" right="0.7" top="0.75" bottom="0.75" header="0.3" footer="0.3"/>
</x:worksheet>
</file>